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901e710741349b0" /></Relationships>
</file>

<file path=xl/workbook.xml><?xml version="1.0" encoding="utf-8"?>
<x:workbook xmlns:x="http://schemas.openxmlformats.org/spreadsheetml/2006/main">
  <x:sheets>
    <x:sheet xmlns:r="http://schemas.openxmlformats.org/officeDocument/2006/relationships" name="Quarterly indexes" sheetId="1" r:id="Rad34f23e84c5462d"/>
    <x:sheet xmlns:r="http://schemas.openxmlformats.org/officeDocument/2006/relationships" name="Quarterly data" sheetId="2" r:id="Rc1c310eeb270478c"/>
    <x:sheet xmlns:r="http://schemas.openxmlformats.org/officeDocument/2006/relationships" name="Monthly data" sheetId="3" r:id="Rd4342de5e3bb4d60"/>
    <x:sheet xmlns:r="http://schemas.openxmlformats.org/officeDocument/2006/relationships" name="Industry groups" sheetId="4" r:id="R840e19ee10cb495d"/>
    <x:sheet xmlns:r="http://schemas.openxmlformats.org/officeDocument/2006/relationships" name="Industry payrolls" sheetId="5" r:id="Ra071029fa7314bad"/>
    <x:sheet xmlns:r="http://schemas.openxmlformats.org/officeDocument/2006/relationships" name="Notes and sources" sheetId="6" r:id="R905108ad6ff84b21"/>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
    <x:numFmt numFmtId="201" formatCode="0.00"/>
    <x:numFmt numFmtId="202" formatCode="0.00%"/>
    <x:numFmt numFmtId="203" formatCode="0"/>
    <x:numFmt numFmtId="204" formatCode="mmm yyyy"/>
  </x:numFmts>
  <x:fonts count="5">
    <x:font>
      <x:sz val="11"/>
      <x:name val="Carlito"/>
    </x:font>
    <x:font>
      <x:sz val="10"/>
      <x:color rgb="FF203443"/>
      <x:name val="Helvetica Neue"/>
    </x:font>
    <x:font>
      <x:b/>
      <x:sz val="16"/>
      <x:color rgb="FF243B53"/>
      <x:name val="Helvetica Neue"/>
    </x:font>
    <x:font>
      <x:i/>
      <x:sz val="10"/>
      <x:color rgb="FF536A79"/>
      <x:name val="Helvetica Neue"/>
    </x:font>
    <x:font>
      <x:b/>
      <x:sz val="10"/>
      <x:color rgb="FFFFFFFF"/>
      <x:name val="Helvetica Neue"/>
    </x:font>
  </x:fonts>
  <x:fills count="3">
    <x:fill>
      <x:patternFill patternType="none"/>
    </x:fill>
    <x:fill>
      <x:patternFill patternType="gray125"/>
    </x:fill>
    <x:fill>
      <x:patternFill patternType="solid">
        <x:fgColor rgb="FF243B53"/>
      </x:patternFill>
    </x:fill>
  </x:fills>
  <x:borders count="5">
    <x:border/>
    <x:border>
      <x:bottom style="thin">
        <x:color rgb="FFB5C5D0"/>
      </x:bottom>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3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2" xfId="0" applyNumberFormat="1" applyFont="1" applyFill="1" applyBorder="1" applyAlignment="1">
      <x:alignment vertical="center"/>
    </x:xf>
    <x:xf numFmtId="0" fontId="4" fillId="2" borderId="3" xfId="0" applyNumberFormat="1" applyFont="1" applyFill="1" applyBorder="1" applyAlignment="1">
      <x:alignment vertical="center"/>
    </x:xf>
    <x:xf numFmtId="0" fontId="4" fillId="2" borderId="4" xfId="0" applyNumberFormat="1" applyFont="1" applyFill="1" applyBorder="1" applyAlignment="1">
      <x:alignment vertical="center"/>
    </x:xf>
    <x:xf numFmtId="0" fontId="4" fillId="2" borderId="2" xfId="0" applyNumberFormat="1" applyFont="1" applyFill="1" applyBorder="1" applyAlignment="1">
      <x:alignment vertical="center" wrapText="1"/>
    </x:xf>
    <x:xf numFmtId="0" fontId="4" fillId="2" borderId="3" xfId="0" applyNumberFormat="1" applyFont="1" applyFill="1" applyBorder="1" applyAlignment="1">
      <x:alignment vertical="center" wrapText="1"/>
    </x:xf>
    <x:xf numFmtId="0" fontId="4" fillId="2" borderId="4" xfId="0" applyNumberFormat="1" applyFont="1" applyFill="1" applyBorder="1" applyAlignment="1">
      <x:alignment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0" fontId="1" fillId="0" borderId="0" xfId="0" applyNumberFormat="1" applyFont="1" applyFill="1" applyBorder="1" applyAlignment="1">
      <x:alignment horizontal="right" vertical="center"/>
    </x:xf>
    <x:xf numFmtId="201" fontId="1" fillId="0" borderId="0" xfId="0" applyNumberFormat="1" applyFont="1" applyFill="1" applyBorder="1" applyAlignment="1">
      <x:alignment vertical="center"/>
    </x:xf>
    <x:xf numFmtId="201" fontId="1" fillId="0" borderId="0" xfId="0" applyNumberFormat="1" applyFont="1" applyFill="1" applyBorder="1" applyAlignment="1">
      <x:alignment horizontal="right" vertical="center"/>
    </x:xf>
    <x:xf numFmtId="202" fontId="1" fillId="0" borderId="0" xfId="0" applyNumberFormat="1" applyFont="1" applyFill="1" applyBorder="1" applyAlignment="1">
      <x:alignment vertical="center"/>
    </x:xf>
    <x:xf numFmtId="202" fontId="1" fillId="0" borderId="0" xfId="0" applyNumberFormat="1" applyFont="1" applyFill="1" applyBorder="1" applyAlignment="1">
      <x:alignment horizontal="right" vertical="center"/>
    </x:xf>
    <x:xf numFmtId="203" fontId="1" fillId="0" borderId="0" xfId="0" applyNumberFormat="1" applyFont="1" applyFill="1" applyBorder="1" applyAlignment="1">
      <x:alignment vertical="center"/>
    </x:xf>
    <x:xf numFmtId="203" fontId="1" fillId="0" borderId="0" xfId="0" applyNumberFormat="1" applyFont="1" applyFill="1" applyBorder="1" applyAlignment="1">
      <x:alignment horizontal="right" vertical="center"/>
    </x:xf>
    <x:xf numFmtId="204" fontId="1" fillId="0" borderId="0" xfId="0" applyNumberFormat="1" applyFont="1" applyFill="1" applyBorder="1" applyAlignment="1">
      <x:alignment vertical="center"/>
    </x:xf>
    <x:xf numFmtId="204" fontId="1" fillId="0" borderId="0" xfId="0" applyNumberFormat="1" applyFont="1" applyFill="1" applyBorder="1" applyAlignment="1">
      <x:alignment horizontal="righ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621a2bbb5914798" /><Relationship Type="http://schemas.openxmlformats.org/officeDocument/2006/relationships/theme" Target="/xl/theme/theme1.xml" Id="R30602651068845f5" /><Relationship Type="http://schemas.microsoft.com/office/2022/11/relationships/FeaturePropertyBag" Target="/xl/featurePropertyBag/featurePropertyBag.xml" Id="Re89c7774ed8b421c" /><Relationship Type="http://schemas.openxmlformats.org/officeDocument/2006/relationships/sharedStrings" Target="/xl/sharedStrings.xml" Id="Rc977468940794c61" /><Relationship Type="http://schemas.openxmlformats.org/officeDocument/2006/relationships/worksheet" Target="/xl/worksheets/sheet1.xml" Id="Rad34f23e84c5462d" /><Relationship Type="http://schemas.openxmlformats.org/officeDocument/2006/relationships/worksheet" Target="/xl/worksheets/sheet2.xml" Id="Rc1c310eeb270478c" /><Relationship Type="http://schemas.openxmlformats.org/officeDocument/2006/relationships/worksheet" Target="/xl/worksheets/sheet3.xml" Id="Rd4342de5e3bb4d60" /><Relationship Type="http://schemas.openxmlformats.org/officeDocument/2006/relationships/worksheet" Target="/xl/worksheets/sheet4.xml" Id="R840e19ee10cb495d" /><Relationship Type="http://schemas.openxmlformats.org/officeDocument/2006/relationships/worksheet" Target="/xl/worksheets/sheet5.xml" Id="Ra071029fa7314bad" /><Relationship Type="http://schemas.openxmlformats.org/officeDocument/2006/relationships/worksheet" Target="/xl/worksheets/sheet6.xml" Id="R905108ad6ff84b2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2" name="QuarterlyindexesTable" displayName="QuarterlyindexesTable" ref="A5:Q38" headerRowCount="1" totalsRowCount="0" totalsRowShown="0">
  <x:autoFilter ref="A5:Q38"/>
  <x:tableColumns count="17">
    <x:tableColumn id="1" name="Source"/>
    <x:tableColumn id="2" name="Grouping"/>
    <x:tableColumn id="3" name="AI group"/>
    <x:tableColumn id="4" name="2023Q1"/>
    <x:tableColumn id="5" name="2023Q2"/>
    <x:tableColumn id="6" name="2023Q3"/>
    <x:tableColumn id="7" name="2023Q4"/>
    <x:tableColumn id="8" name="2024Q1"/>
    <x:tableColumn id="9" name="2024Q2"/>
    <x:tableColumn id="10" name="2024Q3"/>
    <x:tableColumn id="11" name="2024Q4"/>
    <x:tableColumn id="12" name="2025Q1"/>
    <x:tableColumn id="13" name="2025Q2"/>
    <x:tableColumn id="14" name="2025Q3"/>
    <x:tableColumn id="15" name="2025Q4"/>
    <x:tableColumn id="16" name="2026Q1"/>
    <x:tableColumn id="17" name="2026Q2"/>
  </x:tableColumns>
  <x:tableStyleInfo name="TableStyleMedium2" showFirstColumn="0" showLastColumn="0" showRowStripes="1" showColumnStripes="0"/>
</x:table>
</file>

<file path=xl/tables/table2.xml><?xml version="1.0" encoding="utf-8"?>
<x:table xmlns:x="http://schemas.openxmlformats.org/spreadsheetml/2006/main" id="1" name="QuarterlydataTable" displayName="QuarterlydataTable" ref="A5:M467" headerRowCount="1" totalsRowCount="0" totalsRowShown="0">
  <x:autoFilter ref="A5:M467"/>
  <x:tableColumns count="13">
    <x:tableColumn id="1" name="Source"/>
    <x:tableColumn id="2" name="Grouping"/>
    <x:tableColumn id="3" name="AI group"/>
    <x:tableColumn id="4" name="Quarter"/>
    <x:tableColumn id="5" name="Payroll jobs (thousands)"/>
    <x:tableColumn id="6" name="2023 Q1 jobs (thousands)"/>
    <x:tableColumn id="7" name="Employment index"/>
    <x:tableColumn id="8" name="Growth since 2023 Q1"/>
    <x:tableColumn id="9" name="Industries"/>
    <x:tableColumn id="10" name="Observed months"/>
    <x:tableColumn id="11" name="Preliminary"/>
    <x:tableColumn id="12" name="Adoption ranking date"/>
    <x:tableColumn id="13" name="Adoption source URL"/>
  </x:tableColumns>
  <x:tableStyleInfo name="TableStyleMedium2" showFirstColumn="0" showLastColumn="0" showRowStripes="1" showColumnStripes="0"/>
</x:table>
</file>

<file path=xl/tables/table3.xml><?xml version="1.0" encoding="utf-8"?>
<x:table xmlns:x="http://schemas.openxmlformats.org/spreadsheetml/2006/main" id="3" name="MonthlydataTable" displayName="MonthlydataTable" ref="A5:M1457" headerRowCount="1" totalsRowCount="0" totalsRowShown="0">
  <x:autoFilter ref="A5:M1457"/>
  <x:tableColumns count="13">
    <x:tableColumn id="1" name="Source"/>
    <x:tableColumn id="2" name="Grouping"/>
    <x:tableColumn id="3" name="AI group"/>
    <x:tableColumn id="4" name="Month"/>
    <x:tableColumn id="5" name="Quarter"/>
    <x:tableColumn id="6" name="Payroll jobs (thousands)"/>
    <x:tableColumn id="7" name="2023 Q1 jobs (thousands)"/>
    <x:tableColumn id="8" name="Employment index"/>
    <x:tableColumn id="9" name="Growth vs 2023 Q1 average"/>
    <x:tableColumn id="10" name="Industries"/>
    <x:tableColumn id="11" name="Preliminary"/>
    <x:tableColumn id="12" name="Adoption ranking date"/>
    <x:tableColumn id="13" name="Adoption source URL"/>
  </x:tableColumns>
  <x:tableStyleInfo name="TableStyleMedium2" showFirstColumn="0" showLastColumn="0" showRowStripes="1" showColumnStripes="0"/>
</x:table>
</file>

<file path=xl/tables/table4.xml><?xml version="1.0" encoding="utf-8"?>
<x:table xmlns:x="http://schemas.openxmlformats.org/spreadsheetml/2006/main" id="4" name="IndustrygroupsTable" displayName="IndustrygroupsTable" ref="A5:M167" headerRowCount="1" totalsRowCount="0" totalsRowShown="0">
  <x:autoFilter ref="A5:M167"/>
  <x:tableColumns count="13">
    <x:tableColumn id="1" name="Source"/>
    <x:tableColumn id="2" name="Grouping"/>
    <x:tableColumn id="3" name="AI group"/>
    <x:tableColumn id="4" name="NAICS"/>
    <x:tableColumn id="5" name="Industry"/>
    <x:tableColumn id="6" name="AI adoption rate"/>
    <x:tableColumn id="7" name="Adoption rank"/>
    <x:tableColumn id="8" name="CES series ID"/>
    <x:tableColumn id="9" name="2023 Q1 jobs (thousands)"/>
    <x:tableColumn id="10" name="Base employment weight"/>
    <x:tableColumn id="11" name="Adoption ranking date"/>
    <x:tableColumn id="12" name="Adoption SE (pp)"/>
    <x:tableColumn id="13" name="Adoption source URL"/>
  </x:tableColumns>
  <x:tableStyleInfo name="TableStyleMedium2" showFirstColumn="0" showLastColumn="0" showRowStripes="1" showColumnStripes="0"/>
</x:table>
</file>

<file path=xl/tables/table5.xml><?xml version="1.0" encoding="utf-8"?>
<x:table xmlns:x="http://schemas.openxmlformats.org/spreadsheetml/2006/main" id="5" name="IndustrypayrollsTable" displayName="IndustrypayrollsTable" ref="A5:H797" headerRowCount="1" totalsRowCount="0" totalsRowShown="0">
  <x:autoFilter ref="A5:H797"/>
  <x:tableColumns count="8">
    <x:tableColumn id="1" name="Month"/>
    <x:tableColumn id="2" name="NAICS"/>
    <x:tableColumn id="3" name="Industry"/>
    <x:tableColumn id="4" name="CES series ID"/>
    <x:tableColumn id="5" name="Payroll jobs (thousands)"/>
    <x:tableColumn id="6" name="Preliminary"/>
    <x:tableColumn id="7" name="Quarter"/>
    <x:tableColumn id="8" name="Employment source URL"/>
  </x:tableColumns>
  <x:tableStyleInfo name="TableStyleMedium2" showFirstColumn="0" showLastColumn="0" showRowStripes="1" showColumnStripes="0"/>
</x:table>
</file>

<file path=xl/tables/table6.xml><?xml version="1.0" encoding="utf-8"?>
<x:table xmlns:x="http://schemas.openxmlformats.org/spreadsheetml/2006/main" id="6" name="NotesandsourcesTable" displayName="NotesandsourcesTable" ref="A5:C24" headerRowCount="1" totalsRowCount="0" totalsRowShown="0">
  <x:autoFilter ref="A5:C24"/>
  <x:tableColumns count="3">
    <x:tableColumn id="1" name="Topic"/>
    <x:tableColumn id="2" name="Definition or method"/>
    <x:tableColumn id="3" name="Source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2bedcae883e48ae" /></Relationships>
</file>

<file path=xl/worksheets/_rels/sheet2.xml.rels>&#65279;<?xml version="1.0" encoding="utf-8"?><Relationships xmlns="http://schemas.openxmlformats.org/package/2006/relationships"><Relationship Type="http://schemas.openxmlformats.org/officeDocument/2006/relationships/table" Target="/xl/tables/table2.xml" Id="Rff45e9826e4f4cd8" /></Relationships>
</file>

<file path=xl/worksheets/_rels/sheet3.xml.rels>&#65279;<?xml version="1.0" encoding="utf-8"?><Relationships xmlns="http://schemas.openxmlformats.org/package/2006/relationships"><Relationship Type="http://schemas.openxmlformats.org/officeDocument/2006/relationships/table" Target="/xl/tables/table3.xml" Id="R5d8846b438bf40c5" /></Relationships>
</file>

<file path=xl/worksheets/_rels/sheet4.xml.rels>&#65279;<?xml version="1.0" encoding="utf-8"?><Relationships xmlns="http://schemas.openxmlformats.org/package/2006/relationships"><Relationship Type="http://schemas.openxmlformats.org/officeDocument/2006/relationships/table" Target="/xl/tables/table4.xml" Id="R37fdc659af6d4650" /></Relationships>
</file>

<file path=xl/worksheets/_rels/sheet5.xml.rels>&#65279;<?xml version="1.0" encoding="utf-8"?><Relationships xmlns="http://schemas.openxmlformats.org/package/2006/relationships"><Relationship Type="http://schemas.openxmlformats.org/officeDocument/2006/relationships/table" Target="/xl/tables/table5.xml" Id="R1a4debe0b3304d38" /></Relationships>
</file>

<file path=xl/worksheets/_rels/sheet6.xml.rels>&#65279;<?xml version="1.0" encoding="utf-8"?><Relationships xmlns="http://schemas.openxmlformats.org/package/2006/relationships"><Relationship Type="http://schemas.openxmlformats.org/officeDocument/2006/relationships/table" Target="/xl/tables/table6.xml" Id="Reec9aee2c32742df" /></Relationships>
</file>

<file path=xl/worksheets/sheet1.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18" hidden="0" customWidth="1"/>
    <x:col min="2" max="2" width="16" hidden="0" customWidth="1"/>
    <x:col min="3" max="3" width="16"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s>
  <x:sheetData>
    <x:row r="1" ht="30" customHeight="1">
      <x:c r="A1" s="4" t="str">
        <x:v>Quarterly indexes</x:v>
      </x:c>
      <x:c r="B1" s="5"/>
      <x:c r="C1" s="5"/>
      <x:c r="D1" s="5"/>
      <x:c r="E1" s="5"/>
      <x:c r="F1" s="5"/>
      <x:c r="G1" s="5"/>
      <x:c r="H1" s="5"/>
      <x:c r="I1" s="5"/>
      <x:c r="J1" s="5"/>
      <x:c r="K1" s="5"/>
      <x:c r="L1" s="5"/>
      <x:c r="M1" s="5"/>
      <x:c r="N1" s="5"/>
      <x:c r="O1" s="5"/>
      <x:c r="P1" s="5"/>
      <x:c r="Q1" s="5"/>
    </x:row>
    <x:row r="2" ht="24" customHeight="1">
      <x:c r="A2" s="6" t="str">
        <x:v>All nine charts, 2023 Q1 = 100. Each row is one series. Group 1 has the lowest adoption.</x:v>
      </x:c>
      <x:c r="B2" s="2"/>
      <x:c r="C2" s="2"/>
      <x:c r="D2" s="2"/>
      <x:c r="E2" s="2"/>
      <x:c r="F2" s="2"/>
      <x:c r="G2" s="2"/>
      <x:c r="H2" s="2"/>
      <x:c r="I2" s="2"/>
      <x:c r="J2" s="2"/>
      <x:c r="K2" s="2"/>
      <x:c r="L2" s="2"/>
      <x:c r="M2" s="2"/>
      <x:c r="N2" s="2"/>
      <x:c r="O2" s="2"/>
      <x:c r="P2" s="2"/>
      <x:c r="Q2" s="2"/>
    </x:row>
    <x:row r="3" ht="24" customHeight="1">
      <x:c r="A3" s="2"/>
      <x:c r="B3" s="2"/>
      <x:c r="C3" s="2"/>
      <x:c r="D3" s="2"/>
      <x:c r="E3" s="2"/>
      <x:c r="F3" s="2"/>
      <x:c r="G3" s="2"/>
      <x:c r="H3" s="2"/>
      <x:c r="I3" s="2"/>
      <x:c r="J3" s="2"/>
      <x:c r="K3" s="2"/>
      <x:c r="L3" s="2"/>
      <x:c r="M3" s="2"/>
      <x:c r="N3" s="2"/>
      <x:c r="O3" s="2"/>
      <x:c r="P3" s="2"/>
      <x:c r="Q3" s="2"/>
    </x:row>
    <x:row r="4" ht="24" customHeight="1">
      <x:c r="A4" s="2"/>
      <x:c r="B4" s="2"/>
      <x:c r="C4" s="2"/>
      <x:c r="D4" s="2"/>
      <x:c r="E4" s="2"/>
      <x:c r="F4" s="2"/>
      <x:c r="G4" s="2"/>
      <x:c r="H4" s="2"/>
      <x:c r="I4" s="2"/>
      <x:c r="J4" s="2"/>
      <x:c r="K4" s="2"/>
      <x:c r="L4" s="2"/>
      <x:c r="M4" s="2"/>
      <x:c r="N4" s="2"/>
      <x:c r="O4" s="2"/>
      <x:c r="P4" s="2"/>
      <x:c r="Q4" s="2"/>
    </x:row>
    <x:row r="5" ht="44" customHeight="1">
      <x:c r="A5" s="16" t="str">
        <x:v>Source</x:v>
      </x:c>
      <x:c r="B5" s="17" t="str">
        <x:v>Grouping</x:v>
      </x:c>
      <x:c r="C5" s="17" t="str">
        <x:v>AI group</x:v>
      </x:c>
      <x:c r="D5" s="17" t="str">
        <x:v>2023Q1</x:v>
      </x:c>
      <x:c r="E5" s="17" t="str">
        <x:v>2023Q2</x:v>
      </x:c>
      <x:c r="F5" s="17" t="str">
        <x:v>2023Q3</x:v>
      </x:c>
      <x:c r="G5" s="17" t="str">
        <x:v>2023Q4</x:v>
      </x:c>
      <x:c r="H5" s="17" t="str">
        <x:v>2024Q1</x:v>
      </x:c>
      <x:c r="I5" s="17" t="str">
        <x:v>2024Q2</x:v>
      </x:c>
      <x:c r="J5" s="17" t="str">
        <x:v>2024Q3</x:v>
      </x:c>
      <x:c r="K5" s="17" t="str">
        <x:v>2024Q4</x:v>
      </x:c>
      <x:c r="L5" s="17" t="str">
        <x:v>2025Q1</x:v>
      </x:c>
      <x:c r="M5" s="17" t="str">
        <x:v>2025Q2</x:v>
      </x:c>
      <x:c r="N5" s="17" t="str">
        <x:v>2025Q3</x:v>
      </x:c>
      <x:c r="O5" s="17" t="str">
        <x:v>2025Q4</x:v>
      </x:c>
      <x:c r="P5" s="17" t="str">
        <x:v>2026Q1</x:v>
      </x:c>
      <x:c r="Q5" s="18" t="str">
        <x:v>2026Q2</x:v>
      </x:c>
    </x:row>
    <x:row r="6" ht="24" customHeight="1">
      <x:c r="A6" s="2" t="str">
        <x:v>Census BTOS</x:v>
      </x:c>
      <x:c r="B6" s="2" t="str">
        <x:v>Quartiles</x:v>
      </x:c>
      <x:c r="C6" s="2" t="str">
        <x:v>Q1</x:v>
      </x:c>
      <x:c r="D6" s="22" t="n">
        <x:f>'Quarterly data'!G6</x:f>
        <x:v>100</x:v>
      </x:c>
      <x:c r="E6" s="22" t="n">
        <x:f>'Quarterly data'!G10</x:f>
        <x:v>100.17362159432301</x:v>
      </x:c>
      <x:c r="F6" s="22" t="n">
        <x:f>'Quarterly data'!G14</x:f>
        <x:v>100.459932543227</x:v>
      </x:c>
      <x:c r="G6" s="22" t="n">
        <x:f>'Quarterly data'!G18</x:f>
        <x:v>100.59802993600155</x:v>
      </x:c>
      <x:c r="H6" s="22" t="n">
        <x:f>'Quarterly data'!G22</x:f>
        <x:v>100.67150935509866</x:v>
      </x:c>
      <x:c r="I6" s="22" t="n">
        <x:f>'Quarterly data'!G26</x:f>
        <x:v>100.77086733161497</x:v>
      </x:c>
      <x:c r="J6" s="22" t="n">
        <x:f>'Quarterly data'!G30</x:f>
        <x:v>100.6627263295501</x:v>
      </x:c>
      <x:c r="K6" s="22" t="n">
        <x:f>'Quarterly data'!G34</x:f>
        <x:v>100.7669463380665</x:v>
      </x:c>
      <x:c r="L6" s="22" t="n">
        <x:f>'Quarterly data'!G38</x:f>
        <x:v>100.79564801084076</x:v>
      </x:c>
      <x:c r="M6" s="22" t="n">
        <x:f>'Quarterly data'!G42</x:f>
        <x:v>100.74051884155037</x:v>
      </x:c>
      <x:c r="N6" s="22" t="n">
        <x:f>'Quarterly data'!G46</x:f>
        <x:v>100.76263324516333</x:v>
      </x:c>
      <x:c r="O6" s="22" t="n">
        <x:f>'Quarterly data'!G50</x:f>
        <x:v>100.82019343045388</x:v>
      </x:c>
      <x:c r="P6" s="22" t="n">
        <x:f>'Quarterly data'!G54</x:f>
        <x:v>100.82089920929259</x:v>
      </x:c>
      <x:c r="Q6" s="22" t="n">
        <x:f>'Quarterly data'!G58</x:f>
        <x:v>101.06431448877694</x:v>
      </x:c>
    </x:row>
    <x:row r="7" ht="24" customHeight="1">
      <x:c r="A7" s="2" t="str">
        <x:v>Census BTOS</x:v>
      </x:c>
      <x:c r="B7" s="2" t="str">
        <x:v>Quartiles</x:v>
      </x:c>
      <x:c r="C7" s="2" t="str">
        <x:v>Q2</x:v>
      </x:c>
      <x:c r="D7" s="22" t="n">
        <x:f>'Quarterly data'!G7</x:f>
        <x:v>100</x:v>
      </x:c>
      <x:c r="E7" s="22" t="n">
        <x:f>'Quarterly data'!G11</x:f>
        <x:v>100.7029863219057</x:v>
      </x:c>
      <x:c r="F7" s="22" t="n">
        <x:f>'Quarterly data'!G15</x:f>
        <x:v>101.28345888058432</x:v>
      </x:c>
      <x:c r="G7" s="22" t="n">
        <x:f>'Quarterly data'!G19</x:f>
        <x:v>101.94221499404068</x:v>
      </x:c>
      <x:c r="H7" s="22" t="n">
        <x:f>'Quarterly data'!G23</x:f>
        <x:v>102.43637993357659</x:v>
      </x:c>
      <x:c r="I7" s="22" t="n">
        <x:f>'Quarterly data'!G27</x:f>
        <x:v>102.74364288607984</x:v>
      </x:c>
      <x:c r="J7" s="22" t="n">
        <x:f>'Quarterly data'!G31</x:f>
        <x:v>103.08417634936387</x:v>
      </x:c>
      <x:c r="K7" s="22" t="n">
        <x:f>'Quarterly data'!G35</x:f>
        <x:v>103.33409659799263</x:v>
      </x:c>
      <x:c r="L7" s="22" t="n">
        <x:f>'Quarterly data'!G39</x:f>
        <x:v>103.32137552034101</x:v>
      </x:c>
      <x:c r="M7" s="22" t="n">
        <x:f>'Quarterly data'!G43</x:f>
        <x:v>103.41257586165712</x:v>
      </x:c>
      <x:c r="N7" s="22" t="n">
        <x:f>'Quarterly data'!G47</x:f>
        <x:v>103.34486058677439</x:v>
      </x:c>
      <x:c r="O7" s="22" t="n">
        <x:f>'Quarterly data'!G51</x:f>
        <x:v>103.3174613426019</x:v>
      </x:c>
      <x:c r="P7" s="22" t="n">
        <x:f>'Quarterly data'!G55</x:f>
        <x:v>103.591845202099</x:v>
      </x:c>
      <x:c r="Q7" s="22" t="n">
        <x:f>'Quarterly data'!G59</x:f>
        <x:v>103.68735113892767</x:v>
      </x:c>
    </x:row>
    <x:row r="8" ht="24" customHeight="1">
      <x:c r="A8" s="2" t="str">
        <x:v>Census BTOS</x:v>
      </x:c>
      <x:c r="B8" s="2" t="str">
        <x:v>Quartiles</x:v>
      </x:c>
      <x:c r="C8" s="2" t="str">
        <x:v>Q3</x:v>
      </x:c>
      <x:c r="D8" s="22" t="n">
        <x:f>'Quarterly data'!G8</x:f>
        <x:v>100.00000000000001</x:v>
      </x:c>
      <x:c r="E8" s="22" t="n">
        <x:f>'Quarterly data'!G12</x:f>
        <x:v>100.35949540234216</x:v>
      </x:c>
      <x:c r="F8" s="22" t="n">
        <x:f>'Quarterly data'!G16</x:f>
        <x:v>100.77492197167523</x:v>
      </x:c>
      <x:c r="G8" s="22" t="n">
        <x:f>'Quarterly data'!G20</x:f>
        <x:v>101.13304082975192</x:v>
      </x:c>
      <x:c r="H8" s="22" t="n">
        <x:f>'Quarterly data'!G24</x:f>
        <x:v>101.58664839002282</x:v>
      </x:c>
      <x:c r="I8" s="22" t="n">
        <x:f>'Quarterly data'!G28</x:f>
        <x:v>101.92962526118117</x:v>
      </x:c>
      <x:c r="J8" s="22" t="n">
        <x:f>'Quarterly data'!G32</x:f>
        <x:v>102.08734825410725</x:v>
      </x:c>
      <x:c r="K8" s="22" t="n">
        <x:f>'Quarterly data'!G36</x:f>
        <x:v>102.3265047077814</x:v>
      </x:c>
      <x:c r="L8" s="22" t="n">
        <x:f>'Quarterly data'!G40</x:f>
        <x:v>102.61101467251288</x:v>
      </x:c>
      <x:c r="M8" s="22" t="n">
        <x:f>'Quarterly data'!G44</x:f>
        <x:v>102.96174366137599</x:v>
      </x:c>
      <x:c r="N8" s="22" t="n">
        <x:f>'Quarterly data'!G48</x:f>
        <x:v>103.1326524993697</x:v>
      </x:c>
      <x:c r="O8" s="22" t="n">
        <x:f>'Quarterly data'!G52</x:f>
        <x:v>103.34029333433811</x:v>
      </x:c>
      <x:c r="P8" s="22" t="n">
        <x:f>'Quarterly data'!G56</x:f>
        <x:v>103.75564745397286</x:v>
      </x:c>
      <x:c r="Q8" s="22" t="n">
        <x:f>'Quarterly data'!G60</x:f>
        <x:v>104.17462405851619</x:v>
      </x:c>
    </x:row>
    <x:row r="9" ht="24" customHeight="1">
      <x:c r="A9" s="2" t="str">
        <x:v>Census BTOS</x:v>
      </x:c>
      <x:c r="B9" s="2" t="str">
        <x:v>Quartiles</x:v>
      </x:c>
      <x:c r="C9" s="2" t="str">
        <x:v>Q4</x:v>
      </x:c>
      <x:c r="D9" s="22" t="n">
        <x:f>'Quarterly data'!G9</x:f>
        <x:v>100</x:v>
      </x:c>
      <x:c r="E9" s="22" t="n">
        <x:f>'Quarterly data'!G13</x:f>
        <x:v>100.37458109327045</x:v>
      </x:c>
      <x:c r="F9" s="22" t="n">
        <x:f>'Quarterly data'!G17</x:f>
        <x:v>100.42222572388188</x:v>
      </x:c>
      <x:c r="G9" s="22" t="n">
        <x:f>'Quarterly data'!G21</x:f>
        <x:v>100.40287009269598</x:v>
      </x:c>
      <x:c r="H9" s="22" t="n">
        <x:f>'Quarterly data'!G25</x:f>
        <x:v>100.53513357246611</x:v>
      </x:c>
      <x:c r="I9" s="22" t="n">
        <x:f>'Quarterly data'!G29</x:f>
        <x:v>100.57173556733714</x:v>
      </x:c>
      <x:c r="J9" s="22" t="n">
        <x:f>'Quarterly data'!G33</x:f>
        <x:v>100.5846393214608</x:v>
      </x:c>
      <x:c r="K9" s="22" t="n">
        <x:f>'Quarterly data'!G37</x:f>
        <x:v>100.70375089798937</x:v>
      </x:c>
      <x:c r="L9" s="22" t="n">
        <x:f>'Quarterly data'!G41</x:f>
        <x:v>100.74519180065684</x:v>
      </x:c>
      <x:c r="M9" s="22" t="n">
        <x:f>'Quarterly data'!G45</x:f>
        <x:v>100.75027885757083</x:v>
      </x:c>
      <x:c r="N9" s="22" t="n">
        <x:f>'Quarterly data'!G49</x:f>
        <x:v>100.66243406988104</x:v>
      </x:c>
      <x:c r="O9" s="22" t="n">
        <x:f>'Quarterly data'!G53</x:f>
        <x:v>100.60362272897005</x:v>
      </x:c>
      <x:c r="P9" s="22" t="n">
        <x:f>'Quarterly data'!G57</x:f>
        <x:v>100.34728469031612</x:v>
      </x:c>
      <x:c r="Q9" s="22" t="n">
        <x:f>'Quarterly data'!G61</x:f>
        <x:v>100.2343768417315</x:v>
      </x:c>
    </x:row>
    <x:row r="10" ht="24" customHeight="1">
      <x:c r="A10" s="2" t="str">
        <x:v>Census BTOS</x:v>
      </x:c>
      <x:c r="B10" s="2" t="str">
        <x:v>Quintiles</x:v>
      </x:c>
      <x:c r="C10" s="2" t="str">
        <x:v>Q1</x:v>
      </x:c>
      <x:c r="D10" s="22" t="n">
        <x:f>'Quarterly data'!G62</x:f>
        <x:v>100</x:v>
      </x:c>
      <x:c r="E10" s="22" t="n">
        <x:f>'Quarterly data'!G67</x:f>
        <x:v>100.36261478676283</x:v>
      </x:c>
      <x:c r="F10" s="22" t="n">
        <x:f>'Quarterly data'!G72</x:f>
        <x:v>100.86780030197261</x:v>
      </x:c>
      <x:c r="G10" s="22" t="n">
        <x:f>'Quarterly data'!G77</x:f>
        <x:v>101.08066632014071</x:v>
      </x:c>
      <x:c r="H10" s="22" t="n">
        <x:f>'Quarterly data'!G82</x:f>
        <x:v>101.22670230934878</x:v>
      </x:c>
      <x:c r="I10" s="22" t="n">
        <x:f>'Quarterly data'!G87</x:f>
        <x:v>101.40169797777271</x:v>
      </x:c>
      <x:c r="J10" s="22" t="n">
        <x:f>'Quarterly data'!G92</x:f>
        <x:v>101.4429098289645</x:v>
      </x:c>
      <x:c r="K10" s="22" t="n">
        <x:f>'Quarterly data'!G97</x:f>
        <x:v>101.69847281007907</x:v>
      </x:c>
      <x:c r="L10" s="22" t="n">
        <x:f>'Quarterly data'!G102</x:f>
        <x:v>101.69884408801774</x:v>
      </x:c>
      <x:c r="M10" s="22" t="n">
        <x:f>'Quarterly data'!G107</x:f>
        <x:v>101.65082547461684</x:v>
      </x:c>
      <x:c r="N10" s="22" t="n">
        <x:f>'Quarterly data'!G112</x:f>
        <x:v>101.68968589886389</x:v>
      </x:c>
      <x:c r="O10" s="22" t="n">
        <x:f>'Quarterly data'!G117</x:f>
        <x:v>101.82421227197334</x:v>
      </x:c>
      <x:c r="P10" s="22" t="n">
        <x:f>'Quarterly data'!G122</x:f>
        <x:v>101.82656369891846</x:v>
      </x:c>
      <x:c r="Q10" s="22" t="n">
        <x:f>'Quarterly data'!G127</x:f>
        <x:v>102.07581495507537</x:v>
      </x:c>
    </x:row>
    <x:row r="11" ht="24" customHeight="1">
      <x:c r="A11" s="2" t="str">
        <x:v>Census BTOS</x:v>
      </x:c>
      <x:c r="B11" s="2" t="str">
        <x:v>Quintiles</x:v>
      </x:c>
      <x:c r="C11" s="2" t="str">
        <x:v>Q2</x:v>
      </x:c>
      <x:c r="D11" s="22" t="n">
        <x:f>'Quarterly data'!G63</x:f>
        <x:v>99.99999999999999</x:v>
      </x:c>
      <x:c r="E11" s="22" t="n">
        <x:f>'Quarterly data'!G68</x:f>
        <x:v>100.09802713468623</x:v>
      </x:c>
      <x:c r="F11" s="22" t="n">
        <x:f>'Quarterly data'!G73</x:f>
        <x:v>100.30280415756894</x:v>
      </x:c>
      <x:c r="G11" s="22" t="n">
        <x:f>'Quarterly data'!G78</x:f>
        <x:v>100.55064112238273</x:v>
      </x:c>
      <x:c r="H11" s="22" t="n">
        <x:f>'Quarterly data'!G83</x:f>
        <x:v>100.74904915063904</x:v>
      </x:c>
      <x:c r="I11" s="22" t="n">
        <x:f>'Quarterly data'!G88</x:f>
        <x:v>100.90910475473112</x:v>
      </x:c>
      <x:c r="J11" s="22" t="n">
        <x:f>'Quarterly data'!G93</x:f>
        <x:v>100.90315112931953</x:v>
      </x:c>
      <x:c r="K11" s="22" t="n">
        <x:f>'Quarterly data'!G98</x:f>
        <x:v>100.95687221442992</x:v>
      </x:c>
      <x:c r="L11" s="22" t="n">
        <x:f>'Quarterly data'!G103</x:f>
        <x:v>101.01613155573756</x:v>
      </x:c>
      <x:c r="M11" s="22" t="n">
        <x:f>'Quarterly data'!G108</x:f>
        <x:v>100.98608651586919</x:v>
      </x:c>
      <x:c r="N11" s="22" t="n">
        <x:f>'Quarterly data'!G113</x:f>
        <x:v>100.91298153406926</x:v>
      </x:c>
      <x:c r="O11" s="22" t="n">
        <x:f>'Quarterly data'!G118</x:f>
        <x:v>100.92475032848768</x:v>
      </x:c>
      <x:c r="P11" s="22" t="n">
        <x:f>'Quarterly data'!G123</x:f>
        <x:v>101.11249721356471</x:v>
      </x:c>
      <x:c r="Q11" s="22" t="n">
        <x:f>'Quarterly data'!G128</x:f>
        <x:v>101.30550544202899</x:v>
      </x:c>
    </x:row>
    <x:row r="12" ht="24" customHeight="1">
      <x:c r="A12" s="2" t="str">
        <x:v>Census BTOS</x:v>
      </x:c>
      <x:c r="B12" s="2" t="str">
        <x:v>Quintiles</x:v>
      </x:c>
      <x:c r="C12" s="2" t="str">
        <x:v>Q3</x:v>
      </x:c>
      <x:c r="D12" s="22" t="n">
        <x:f>'Quarterly data'!G64</x:f>
        <x:v>100</x:v>
      </x:c>
      <x:c r="E12" s="22" t="n">
        <x:f>'Quarterly data'!G69</x:f>
        <x:v>100.02856046627947</x:v>
      </x:c>
      <x:c r="F12" s="22" t="n">
        <x:f>'Quarterly data'!G74</x:f>
        <x:v>99.80061561276771</x:v>
      </x:c>
      <x:c r="G12" s="22" t="n">
        <x:f>'Quarterly data'!G79</x:f>
        <x:v>99.64272473314826</x:v>
      </x:c>
      <x:c r="H12" s="22" t="n">
        <x:f>'Quarterly data'!G84</x:f>
        <x:v>99.60284785570185</x:v>
      </x:c>
      <x:c r="I12" s="22" t="n">
        <x:f>'Quarterly data'!G89</x:f>
        <x:v>99.41531875635886</x:v>
      </x:c>
      <x:c r="J12" s="22" t="n">
        <x:f>'Quarterly data'!G94</x:f>
        <x:v>99.09177717231984</x:v>
      </x:c>
      <x:c r="K12" s="22" t="n">
        <x:f>'Quarterly data'!G99</x:f>
        <x:v>98.71186908313358</x:v>
      </x:c>
      <x:c r="L12" s="22" t="n">
        <x:f>'Quarterly data'!G104</x:f>
        <x:v>98.51334689865669</x:v>
      </x:c>
      <x:c r="M12" s="22" t="n">
        <x:f>'Quarterly data'!G109</x:f>
        <x:v>98.40417047472904</x:v>
      </x:c>
      <x:c r="N12" s="22" t="n">
        <x:f>'Quarterly data'!G114</x:f>
        <x:v>98.13516321498184</x:v>
      </x:c>
      <x:c r="O12" s="22" t="n">
        <x:f>'Quarterly data'!G119</x:f>
        <x:v>97.92252246038188</x:v>
      </x:c>
      <x:c r="P12" s="22" t="n">
        <x:f>'Quarterly data'!G124</x:f>
        <x:v>98.03751875291015</x:v>
      </x:c>
      <x:c r="Q12" s="22" t="n">
        <x:f>'Quarterly data'!G129</x:f>
        <x:v>98.21696470141939</x:v>
      </x:c>
    </x:row>
    <x:row r="13" ht="24" customHeight="1">
      <x:c r="A13" s="2" t="str">
        <x:v>Census BTOS</x:v>
      </x:c>
      <x:c r="B13" s="2" t="str">
        <x:v>Quintiles</x:v>
      </x:c>
      <x:c r="C13" s="2" t="str">
        <x:v>Q4</x:v>
      </x:c>
      <x:c r="D13" s="22" t="n">
        <x:f>'Quarterly data'!G65</x:f>
        <x:v>100</x:v>
      </x:c>
      <x:c r="E13" s="22" t="n">
        <x:f>'Quarterly data'!G70</x:f>
        <x:v>100.914109102934</x:v>
      </x:c>
      <x:c r="F13" s="22" t="n">
        <x:f>'Quarterly data'!G75</x:f>
        <x:v>102.05944825305559</x:v>
      </x:c>
      <x:c r="G13" s="22" t="n">
        <x:f>'Quarterly data'!G80</x:f>
        <x:v>103.09425994937855</x:v>
      </x:c>
      <x:c r="H13" s="22" t="n">
        <x:f>'Quarterly data'!G85</x:f>
        <x:v>104.05326685575443</x:v>
      </x:c>
      <x:c r="I13" s="22" t="n">
        <x:f>'Quarterly data'!G90</x:f>
        <x:v>104.8900448978032</x:v>
      </x:c>
      <x:c r="J13" s="22" t="n">
        <x:f>'Quarterly data'!G95</x:f>
        <x:v>105.56567416659233</x:v>
      </x:c>
      <x:c r="K13" s="22" t="n">
        <x:f>'Quarterly data'!G100</x:f>
        <x:v>106.46045050430521</x:v>
      </x:c>
      <x:c r="L13" s="22" t="n">
        <x:f>'Quarterly data'!G105</x:f>
        <x:v>107.18123195502574</x:v>
      </x:c>
      <x:c r="M13" s="22" t="n">
        <x:f>'Quarterly data'!G110</x:f>
        <x:v>108.00160258448531</x:v>
      </x:c>
      <x:c r="N13" s="22" t="n">
        <x:f>'Quarterly data'!G115</x:f>
        <x:v>108.64390827111633</x:v>
      </x:c>
      <x:c r="O13" s="22" t="n">
        <x:f>'Quarterly data'!G120</x:f>
        <x:v>109.17937499205067</x:v>
      </x:c>
      <x:c r="P13" s="22" t="n">
        <x:f>'Quarterly data'!G125</x:f>
        <x:v>109.75223535097858</x:v>
      </x:c>
      <x:c r="Q13" s="22" t="n">
        <x:f>'Quarterly data'!G130</x:f>
        <x:v>110.29164493850399</x:v>
      </x:c>
    </x:row>
    <x:row r="14" ht="24" customHeight="1">
      <x:c r="A14" s="2" t="str">
        <x:v>Census BTOS</x:v>
      </x:c>
      <x:c r="B14" s="2" t="str">
        <x:v>Quintiles</x:v>
      </x:c>
      <x:c r="C14" s="2" t="str">
        <x:v>Q5</x:v>
      </x:c>
      <x:c r="D14" s="22" t="n">
        <x:f>'Quarterly data'!G66</x:f>
        <x:v>100.00000000000001</x:v>
      </x:c>
      <x:c r="E14" s="22" t="n">
        <x:f>'Quarterly data'!G71</x:f>
        <x:v>100.37045176709749</x:v>
      </x:c>
      <x:c r="F14" s="22" t="n">
        <x:f>'Quarterly data'!G76</x:f>
        <x:v>100.40946114857877</x:v>
      </x:c>
      <x:c r="G14" s="22" t="n">
        <x:f>'Quarterly data'!G81</x:f>
        <x:v>100.37278683570703</x:v>
      </x:c>
      <x:c r="H14" s="22" t="n">
        <x:f>'Quarterly data'!G86</x:f>
        <x:v>100.51096795461726</x:v>
      </x:c>
      <x:c r="I14" s="22" t="n">
        <x:f>'Quarterly data'!G91</x:f>
        <x:v>100.5737400931279</x:v>
      </x:c>
      <x:c r="J14" s="22" t="n">
        <x:f>'Quarterly data'!G96</x:f>
        <x:v>100.5795090861639</x:v>
      </x:c>
      <x:c r="K14" s="22" t="n">
        <x:f>'Quarterly data'!G101</x:f>
        <x:v>100.70367979341484</x:v>
      </x:c>
      <x:c r="L14" s="22" t="n">
        <x:f>'Quarterly data'!G106</x:f>
        <x:v>100.7457110283914</x:v>
      </x:c>
      <x:c r="M14" s="22" t="n">
        <x:f>'Quarterly data'!G111</x:f>
        <x:v>100.72002527368363</x:v>
      </x:c>
      <x:c r="N14" s="22" t="n">
        <x:f>'Quarterly data'!G116</x:f>
        <x:v>100.61659546996675</x:v>
      </x:c>
      <x:c r="O14" s="22" t="n">
        <x:f>'Quarterly data'!G121</x:f>
        <x:v>100.55849346867561</x:v>
      </x:c>
      <x:c r="P14" s="22" t="n">
        <x:f>'Quarterly data'!G126</x:f>
        <x:v>100.30191063555047</x:v>
      </x:c>
      <x:c r="Q14" s="22" t="n">
        <x:f>'Quarterly data'!G131</x:f>
        <x:v>100.18529456203699</x:v>
      </x:c>
    </x:row>
    <x:row r="15" ht="24" customHeight="1">
      <x:c r="A15" s="2" t="str">
        <x:v>Census BTOS</x:v>
      </x:c>
      <x:c r="B15" s="2" t="str">
        <x:v>Halves</x:v>
      </x:c>
      <x:c r="C15" s="2" t="str">
        <x:v>Lower half</x:v>
      </x:c>
      <x:c r="D15" s="22" t="n">
        <x:f>'Quarterly data'!G132</x:f>
        <x:v>100</x:v>
      </x:c>
      <x:c r="E15" s="22" t="n">
        <x:f>'Quarterly data'!G134</x:f>
        <x:v>100.32505668616868</x:v>
      </x:c>
      <x:c r="F15" s="22" t="n">
        <x:f>'Quarterly data'!G136</x:f>
        <x:v>100.69551829353638</x:v>
      </x:c>
      <x:c r="G15" s="22" t="n">
        <x:f>'Quarterly data'!G138</x:f>
        <x:v>100.98256025529771</x:v>
      </x:c>
      <x:c r="H15" s="22" t="n">
        <x:f>'Quarterly data'!G140</x:f>
        <x:v>101.17638496206926</x:v>
      </x:c>
      <x:c r="I15" s="22" t="n">
        <x:f>'Quarterly data'!G142</x:f>
        <x:v>101.3352182067576</x:v>
      </x:c>
      <x:c r="J15" s="22" t="n">
        <x:f>'Quarterly data'!G144</x:f>
        <x:v>101.35542927525684</x:v>
      </x:c>
      <x:c r="K15" s="22" t="n">
        <x:f>'Quarterly data'!G146</x:f>
        <x:v>101.50132967555922</x:v>
      </x:c>
      <x:c r="L15" s="22" t="n">
        <x:f>'Quarterly data'!G148</x:f>
        <x:v>101.51818156369846</x:v>
      </x:c>
      <x:c r="M15" s="22" t="n">
        <x:f>'Quarterly data'!G150</x:f>
        <x:v>101.50491280127649</x:v>
      </x:c>
      <x:c r="N15" s="22" t="n">
        <x:f>'Quarterly data'!G152</x:f>
        <x:v>101.50132967555922</x:v>
      </x:c>
      <x:c r="O15" s="22" t="n">
        <x:f>'Quarterly data'!G154</x:f>
        <x:v>101.53458556112314</x:v>
      </x:c>
      <x:c r="P15" s="22" t="n">
        <x:f>'Quarterly data'!G156</x:f>
        <x:v>101.61358228592222</x:v>
      </x:c>
      <x:c r="Q15" s="22" t="n">
        <x:f>'Quarterly data'!G158</x:f>
        <x:v>101.8146852168072</x:v>
      </x:c>
    </x:row>
    <x:row r="16" ht="24" customHeight="1">
      <x:c r="A16" s="2" t="str">
        <x:v>Census BTOS</x:v>
      </x:c>
      <x:c r="B16" s="2" t="str">
        <x:v>Halves</x:v>
      </x:c>
      <x:c r="C16" s="2" t="str">
        <x:v>Higher half</x:v>
      </x:c>
      <x:c r="D16" s="22" t="n">
        <x:f>'Quarterly data'!G133</x:f>
        <x:v>100</x:v>
      </x:c>
      <x:c r="E16" s="22" t="n">
        <x:f>'Quarterly data'!G135</x:f>
        <x:v>100.3650568214304</x:v>
      </x:c>
      <x:c r="F16" s="22" t="n">
        <x:f>'Quarterly data'!G137</x:f>
        <x:v>100.6448986499622</x:v>
      </x:c>
      <x:c r="G16" s="22" t="n">
        <x:f>'Quarterly data'!G139</x:f>
        <x:v>100.86385955764128</x:v>
      </x:c>
      <x:c r="H16" s="22" t="n">
        <x:f>'Quarterly data'!G141</x:f>
        <x:v>101.19900193712026</x:v>
      </x:c>
      <x:c r="I16" s="22" t="n">
        <x:f>'Quarterly data'!G143</x:f>
        <x:v>101.4290321031362</x:v>
      </x:c>
      <x:c r="J16" s="22" t="n">
        <x:f>'Quarterly data'!G145</x:f>
        <x:v>101.53336672407124</x:v>
      </x:c>
      <x:c r="K16" s="22" t="n">
        <x:f>'Quarterly data'!G147</x:f>
        <x:v>101.72826800412587</x:v>
      </x:c>
      <x:c r="L16" s="22" t="n">
        <x:f>'Quarterly data'!G149</x:f>
        <x:v>101.92316928418033</x:v>
      </x:c>
      <x:c r="M16" s="22" t="n">
        <x:f>'Quarterly data'!G151</x:f>
        <x:v>102.14647556186772</x:v>
      </x:c>
      <x:c r="N16" s="22" t="n">
        <x:f>'Quarterly data'!G153</x:f>
        <x:v>102.22199351853763</x:v>
      </x:c>
      <x:c r="O16" s="22" t="n">
        <x:f>'Quarterly data'!G155</x:f>
        <x:v>102.33140536127178</x:v>
      </x:c>
      <x:c r="P16" s="22" t="n">
        <x:f>'Quarterly data'!G157</x:f>
        <x:v>102.4991366435904</x:v>
      </x:c>
      <x:c r="Q16" s="22" t="n">
        <x:f>'Quarterly data'!G159</x:f>
        <x:v>102.72203125464559</x:v>
      </x:c>
    </x:row>
    <x:row r="17" ht="24" customHeight="1">
      <x:c r="A17" s="2" t="str">
        <x:v>RPS</x:v>
      </x:c>
      <x:c r="B17" s="2" t="str">
        <x:v>Quartiles</x:v>
      </x:c>
      <x:c r="C17" s="2" t="str">
        <x:v>Q1</x:v>
      </x:c>
      <x:c r="D17" s="22" t="n">
        <x:f>'Quarterly data'!G160</x:f>
        <x:v>100.00000000000001</x:v>
      </x:c>
      <x:c r="E17" s="22" t="n">
        <x:f>'Quarterly data'!G164</x:f>
        <x:v>100.54043566171893</x:v>
      </x:c>
      <x:c r="F17" s="22" t="n">
        <x:f>'Quarterly data'!G168</x:f>
        <x:v>101.05068952918681</x:v>
      </x:c>
      <x:c r="G17" s="22" t="n">
        <x:f>'Quarterly data'!G172</x:f>
        <x:v>101.38688748544828</x:v>
      </x:c>
      <x:c r="H17" s="22" t="n">
        <x:f>'Quarterly data'!G176</x:f>
        <x:v>101.63844025933673</x:v>
      </x:c>
      <x:c r="I17" s="22" t="n">
        <x:f>'Quarterly data'!G180</x:f>
        <x:v>101.85776886191954</x:v>
      </x:c>
      <x:c r="J17" s="22" t="n">
        <x:f>'Quarterly data'!G184</x:f>
        <x:v>101.94048513262982</x:v>
      </x:c>
      <x:c r="K17" s="22" t="n">
        <x:f>'Quarterly data'!G188</x:f>
        <x:v>102.23708366711071</x:v>
      </x:c>
      <x:c r="L17" s="22" t="n">
        <x:f>'Quarterly data'!G192</x:f>
        <x:v>102.29665299786913</x:v>
      </x:c>
      <x:c r="M17" s="22" t="n">
        <x:f>'Quarterly data'!G196</x:f>
        <x:v>102.31628251067154</x:v>
      </x:c>
      <x:c r="N17" s="22" t="n">
        <x:f>'Quarterly data'!G200</x:f>
        <x:v>102.42055720584663</x:v>
      </x:c>
      <x:c r="O17" s="22" t="n">
        <x:f>'Quarterly data'!G204</x:f>
        <x:v>102.47955920964569</x:v>
      </x:c>
      <x:c r="P17" s="22" t="n">
        <x:f>'Quarterly data'!G208</x:f>
        <x:v>102.48171505209207</x:v>
      </x:c>
      <x:c r="Q17" s="22" t="n">
        <x:f>'Quarterly data'!G212</x:f>
        <x:v>102.712503659259</x:v>
      </x:c>
    </x:row>
    <x:row r="18" ht="24" customHeight="1">
      <x:c r="A18" s="2" t="str">
        <x:v>RPS</x:v>
      </x:c>
      <x:c r="B18" s="2" t="str">
        <x:v>Quartiles</x:v>
      </x:c>
      <x:c r="C18" s="2" t="str">
        <x:v>Q2</x:v>
      </x:c>
      <x:c r="D18" s="22" t="n">
        <x:f>'Quarterly data'!G161</x:f>
        <x:v>100</x:v>
      </x:c>
      <x:c r="E18" s="22" t="n">
        <x:f>'Quarterly data'!G165</x:f>
        <x:v>100.34791264716304</x:v>
      </x:c>
      <x:c r="F18" s="22" t="n">
        <x:f>'Quarterly data'!G169</x:f>
        <x:v>100.78890961530884</x:v>
      </x:c>
      <x:c r="G18" s="22" t="n">
        <x:f>'Quarterly data'!G173</x:f>
        <x:v>101.2000063983934</x:v>
      </x:c>
      <x:c r="H18" s="22" t="n">
        <x:f>'Quarterly data'!G177</x:f>
        <x:v>101.6736720872544</x:v>
      </x:c>
      <x:c r="I18" s="22" t="n">
        <x:f>'Quarterly data'!G181</x:f>
        <x:v>102.11214661180442</x:v>
      </x:c>
      <x:c r="J18" s="22" t="n">
        <x:f>'Quarterly data'!G185</x:f>
        <x:v>102.32021744694255</x:v>
      </x:c>
      <x:c r="K18" s="22" t="n">
        <x:f>'Quarterly data'!G189</x:f>
        <x:v>102.68086535811315</x:v>
      </x:c>
      <x:c r="L18" s="22" t="n">
        <x:f>'Quarterly data'!G193</x:f>
        <x:v>102.99586319250294</x:v>
      </x:c>
      <x:c r="M18" s="22" t="n">
        <x:f>'Quarterly data'!G197</x:f>
        <x:v>103.3011403905972</x:v>
      </x:c>
      <x:c r="N18" s="22" t="n">
        <x:f>'Quarterly data'!G201</x:f>
        <x:v>103.49303067291406</x:v>
      </x:c>
      <x:c r="O18" s="22" t="n">
        <x:f>'Quarterly data'!G205</x:f>
        <x:v>103.72558766783472</x:v>
      </x:c>
      <x:c r="P18" s="22" t="n">
        <x:f>'Quarterly data'!G209</x:f>
        <x:v>104.18159625152576</x:v>
      </x:c>
      <x:c r="Q18" s="22" t="n">
        <x:f>'Quarterly data'!G213</x:f>
        <x:v>104.59970665826665</x:v>
      </x:c>
    </x:row>
    <x:row r="19" ht="24" customHeight="1">
      <x:c r="A19" s="2" t="str">
        <x:v>RPS</x:v>
      </x:c>
      <x:c r="B19" s="2" t="str">
        <x:v>Quartiles</x:v>
      </x:c>
      <x:c r="C19" s="2" t="str">
        <x:v>Q3</x:v>
      </x:c>
      <x:c r="D19" s="22" t="n">
        <x:f>'Quarterly data'!G162</x:f>
        <x:v>100</x:v>
      </x:c>
      <x:c r="E19" s="22" t="n">
        <x:f>'Quarterly data'!G166</x:f>
        <x:v>100.23058131207877</x:v>
      </x:c>
      <x:c r="F19" s="22" t="n">
        <x:f>'Quarterly data'!G170</x:f>
        <x:v>100.43052002688387</x:v>
      </x:c>
      <x:c r="G19" s="22" t="n">
        <x:f>'Quarterly data'!G174</x:f>
        <x:v>100.63130522227733</x:v>
      </x:c>
      <x:c r="H19" s="22" t="n">
        <x:f>'Quarterly data'!G178</x:f>
        <x:v>100.810420514626</x:v>
      </x:c>
      <x:c r="I19" s="22" t="n">
        <x:f>'Quarterly data'!G182</x:f>
        <x:v>100.7152760965731</x:v>
      </x:c>
      <x:c r="J19" s="22" t="n">
        <x:f>'Quarterly data'!G186</x:f>
        <x:v>100.64501820779745</x:v>
      </x:c>
      <x:c r="K19" s="22" t="n">
        <x:f>'Quarterly data'!G190</x:f>
        <x:v>100.51076638659413</x:v>
      </x:c>
      <x:c r="L19" s="22" t="n">
        <x:f>'Quarterly data'!G194</x:f>
        <x:v>100.45269781828075</x:v>
      </x:c>
      <x:c r="M19" s="22" t="n">
        <x:f>'Quarterly data'!G198</x:f>
        <x:v>100.41850000253943</x:v>
      </x:c>
      <x:c r="N19" s="22" t="n">
        <x:f>'Quarterly data'!G202</x:f>
        <x:v>100.17437500105792</x:v>
      </x:c>
      <x:c r="O19" s="22" t="n">
        <x:f>'Quarterly data'!G206</x:f>
        <x:v>99.99221237859318</x:v>
      </x:c>
      <x:c r="P19" s="22" t="n">
        <x:f>'Quarterly data'!G210</x:f>
        <x:v>99.92212378593487</x:v>
      </x:c>
      <x:c r="Q19" s="22" t="n">
        <x:f>'Quarterly data'!G214</x:f>
        <x:v>99.99339745141623</x:v>
      </x:c>
    </x:row>
    <x:row r="20" ht="24" customHeight="1">
      <x:c r="A20" s="2" t="str">
        <x:v>RPS</x:v>
      </x:c>
      <x:c r="B20" s="2" t="str">
        <x:v>Quartiles</x:v>
      </x:c>
      <x:c r="C20" s="2" t="str">
        <x:v>Q4</x:v>
      </x:c>
      <x:c r="D20" s="22" t="n">
        <x:f>'Quarterly data'!G163</x:f>
        <x:v>100</x:v>
      </x:c>
      <x:c r="E20" s="22" t="n">
        <x:f>'Quarterly data'!G167</x:f>
        <x:v>100.22937929300433</x:v>
      </x:c>
      <x:c r="F20" s="22" t="n">
        <x:f>'Quarterly data'!G171</x:f>
        <x:v>100.21669314376493</x:v>
      </x:c>
      <x:c r="G20" s="22" t="n">
        <x:f>'Quarterly data'!G175</x:f>
        <x:v>100.11188955049876</x:v>
      </x:c>
      <x:c r="H20" s="22" t="n">
        <x:f>'Quarterly data'!G179</x:f>
        <x:v>100.09074596843297</x:v>
      </x:c>
      <x:c r="I20" s="22" t="n">
        <x:f>'Quarterly data'!G183</x:f>
        <x:v>100.01851492051155</x:v>
      </x:c>
      <x:c r="J20" s="22" t="n">
        <x:f>'Quarterly data'!G187</x:f>
        <x:v>99.89805364755341</x:v>
      </x:c>
      <x:c r="K20" s="22" t="n">
        <x:f>'Quarterly data'!G191</x:f>
        <x:v>99.80479330719888</x:v>
      </x:c>
      <x:c r="L20" s="22" t="n">
        <x:f>'Quarterly data'!G195</x:f>
        <x:v>99.72021897893642</x:v>
      </x:c>
      <x:c r="M20" s="22" t="n">
        <x:f>'Quarterly data'!G199</x:f>
        <x:v>99.68730356469364</x:v>
      </x:c>
      <x:c r="N20" s="22" t="n">
        <x:f>'Quarterly data'!G203</x:f>
        <x:v>99.57198532521092</x:v>
      </x:c>
      <x:c r="O20" s="22" t="n">
        <x:f>'Quarterly data'!G207</x:f>
        <x:v>99.54478439260762</x:v>
      </x:c>
      <x:c r="P20" s="22" t="n">
        <x:f>'Quarterly data'!G211</x:f>
        <x:v>99.32317679463294</x:v>
      </x:c>
      <x:c r="Q20" s="22" t="n">
        <x:f>'Quarterly data'!G215</x:f>
        <x:v>99.23334514326204</x:v>
      </x:c>
    </x:row>
    <x:row r="21" ht="24" customHeight="1">
      <x:c r="A21" s="2" t="str">
        <x:v>RPS</x:v>
      </x:c>
      <x:c r="B21" s="2" t="str">
        <x:v>Quintiles</x:v>
      </x:c>
      <x:c r="C21" s="2" t="str">
        <x:v>Q1</x:v>
      </x:c>
      <x:c r="D21" s="22" t="n">
        <x:f>'Quarterly data'!G216</x:f>
        <x:v>100</x:v>
      </x:c>
      <x:c r="E21" s="22" t="n">
        <x:f>'Quarterly data'!G221</x:f>
        <x:v>100.36261478676283</x:v>
      </x:c>
      <x:c r="F21" s="22" t="n">
        <x:f>'Quarterly data'!G226</x:f>
        <x:v>100.86780030197261</x:v>
      </x:c>
      <x:c r="G21" s="22" t="n">
        <x:f>'Quarterly data'!G231</x:f>
        <x:v>101.08066632014071</x:v>
      </x:c>
      <x:c r="H21" s="22" t="n">
        <x:f>'Quarterly data'!G236</x:f>
        <x:v>101.22670230934878</x:v>
      </x:c>
      <x:c r="I21" s="22" t="n">
        <x:f>'Quarterly data'!G241</x:f>
        <x:v>101.40169797777271</x:v>
      </x:c>
      <x:c r="J21" s="22" t="n">
        <x:f>'Quarterly data'!G246</x:f>
        <x:v>101.4429098289645</x:v>
      </x:c>
      <x:c r="K21" s="22" t="n">
        <x:f>'Quarterly data'!G251</x:f>
        <x:v>101.69847281007907</x:v>
      </x:c>
      <x:c r="L21" s="22" t="n">
        <x:f>'Quarterly data'!G256</x:f>
        <x:v>101.69884408801774</x:v>
      </x:c>
      <x:c r="M21" s="22" t="n">
        <x:f>'Quarterly data'!G261</x:f>
        <x:v>101.65082547461684</x:v>
      </x:c>
      <x:c r="N21" s="22" t="n">
        <x:f>'Quarterly data'!G266</x:f>
        <x:v>101.68968589886389</x:v>
      </x:c>
      <x:c r="O21" s="22" t="n">
        <x:f>'Quarterly data'!G271</x:f>
        <x:v>101.82421227197334</x:v>
      </x:c>
      <x:c r="P21" s="22" t="n">
        <x:f>'Quarterly data'!G276</x:f>
        <x:v>101.82656369891846</x:v>
      </x:c>
      <x:c r="Q21" s="22" t="n">
        <x:f>'Quarterly data'!G281</x:f>
        <x:v>102.07581495507537</x:v>
      </x:c>
    </x:row>
    <x:row r="22" ht="24" customHeight="1">
      <x:c r="A22" s="2" t="str">
        <x:v>RPS</x:v>
      </x:c>
      <x:c r="B22" s="2" t="str">
        <x:v>Quintiles</x:v>
      </x:c>
      <x:c r="C22" s="2" t="str">
        <x:v>Q2</x:v>
      </x:c>
      <x:c r="D22" s="22" t="n">
        <x:f>'Quarterly data'!G217</x:f>
        <x:v>100</x:v>
      </x:c>
      <x:c r="E22" s="22" t="n">
        <x:f>'Quarterly data'!G222</x:f>
        <x:v>100.640598697367</x:v>
      </x:c>
      <x:c r="F22" s="22" t="n">
        <x:f>'Quarterly data'!G227</x:f>
        <x:v>101.36991661414106</x:v>
      </x:c>
      <x:c r="G22" s="22" t="n">
        <x:f>'Quarterly data'!G232</x:f>
        <x:v>102.14967604300371</x:v>
      </x:c>
      <x:c r="H22" s="22" t="n">
        <x:f>'Quarterly data'!G237</x:f>
        <x:v>102.86376793842213</x:v>
      </x:c>
      <x:c r="I22" s="22" t="n">
        <x:f>'Quarterly data'!G242</x:f>
        <x:v>103.50283552749666</x:v>
      </x:c>
      <x:c r="J22" s="22" t="n">
        <x:f>'Quarterly data'!G247</x:f>
        <x:v>103.83721256631613</x:v>
      </x:c>
      <x:c r="K22" s="22" t="n">
        <x:f>'Quarterly data'!G252</x:f>
        <x:v>104.40448818877545</x:v>
      </x:c>
      <x:c r="L22" s="22" t="n">
        <x:f>'Quarterly data'!G257</x:f>
        <x:v>104.95347557329363</x:v>
      </x:c>
      <x:c r="M22" s="22" t="n">
        <x:f>'Quarterly data'!G262</x:f>
        <x:v>105.48630125916637</x:v>
      </x:c>
      <x:c r="N22" s="22" t="n">
        <x:f>'Quarterly data'!G267</x:f>
        <x:v>105.9898657643336</x:v>
      </x:c>
      <x:c r="O22" s="22" t="n">
        <x:f>'Quarterly data'!G272</x:f>
        <x:v>106.28400867968269</x:v>
      </x:c>
      <x:c r="P22" s="22" t="n">
        <x:f>'Quarterly data'!G277</x:f>
        <x:v>106.70514852175755</x:v>
      </x:c>
      <x:c r="Q22" s="22" t="n">
        <x:f>'Quarterly data'!G282</x:f>
        <x:v>107.1691593960288</x:v>
      </x:c>
    </x:row>
    <x:row r="23" ht="24" customHeight="1">
      <x:c r="A23" s="2" t="str">
        <x:v>RPS</x:v>
      </x:c>
      <x:c r="B23" s="2" t="str">
        <x:v>Quintiles</x:v>
      </x:c>
      <x:c r="C23" s="2" t="str">
        <x:v>Q3</x:v>
      </x:c>
      <x:c r="D23" s="22" t="n">
        <x:f>'Quarterly data'!G218</x:f>
        <x:v>100</x:v>
      </x:c>
      <x:c r="E23" s="22" t="n">
        <x:f>'Quarterly data'!G223</x:f>
        <x:v>100.0678027701436</x:v>
      </x:c>
      <x:c r="F23" s="22" t="n">
        <x:f>'Quarterly data'!G228</x:f>
        <x:v>100.04972854467293</x:v>
      </x:c>
      <x:c r="G23" s="22" t="n">
        <x:f>'Quarterly data'!G233</x:f>
        <x:v>100.01289620411956</x:v>
      </x:c>
      <x:c r="H23" s="22" t="n">
        <x:f>'Quarterly data'!G238</x:f>
        <x:v>100.14517999486095</x:v>
      </x:c>
      <x:c r="I23" s="22" t="n">
        <x:f>'Quarterly data'!G243</x:f>
        <x:v>100.1352147462231</x:v>
      </x:c>
      <x:c r="J23" s="22" t="n">
        <x:f>'Quarterly data'!G248</x:f>
        <x:v>100.06877975530409</x:v>
      </x:c>
      <x:c r="K23" s="22" t="n">
        <x:f>'Quarterly data'!G253</x:f>
        <x:v>99.9488059775859</x:v>
      </x:c>
      <x:c r="L23" s="22" t="n">
        <x:f>'Quarterly data'!G258</x:f>
        <x:v>99.82179790671158</x:v>
      </x:c>
      <x:c r="M23" s="22" t="n">
        <x:f>'Quarterly data'!G263</x:f>
        <x:v>99.70309420970203</x:v>
      </x:c>
      <x:c r="N23" s="22" t="n">
        <x:f>'Quarterly data'!G268</x:f>
        <x:v>99.37873513639191</x:v>
      </x:c>
      <x:c r="O23" s="22" t="n">
        <x:f>'Quarterly data'!G273</x:f>
        <x:v>99.25641659428834</x:v>
      </x:c>
      <x:c r="P23" s="22" t="n">
        <x:f>'Quarterly data'!G278</x:f>
        <x:v>99.47526127025635</x:v>
      </x:c>
      <x:c r="Q23" s="22" t="n">
        <x:f>'Quarterly data'!G283</x:f>
        <x:v>99.64828534219394</x:v>
      </x:c>
    </x:row>
    <x:row r="24" ht="24" customHeight="1">
      <x:c r="A24" s="2" t="str">
        <x:v>RPS</x:v>
      </x:c>
      <x:c r="B24" s="2" t="str">
        <x:v>Quintiles</x:v>
      </x:c>
      <x:c r="C24" s="2" t="str">
        <x:v>Q4</x:v>
      </x:c>
      <x:c r="D24" s="22" t="n">
        <x:f>'Quarterly data'!G219</x:f>
        <x:v>100</x:v>
      </x:c>
      <x:c r="E24" s="22" t="n">
        <x:f>'Quarterly data'!G224</x:f>
        <x:v>100.35191389839952</x:v>
      </x:c>
      <x:c r="F24" s="22" t="n">
        <x:f>'Quarterly data'!G229</x:f>
        <x:v>100.72435610753939</x:v>
      </x:c>
      <x:c r="G24" s="22" t="n">
        <x:f>'Quarterly data'!G234</x:f>
        <x:v>100.97912710690191</x:v>
      </x:c>
      <x:c r="H24" s="22" t="n">
        <x:f>'Quarterly data'!G239</x:f>
        <x:v>100.92670659911911</x:v>
      </x:c>
      <x:c r="I24" s="22" t="n">
        <x:f>'Quarterly data'!G244</x:f>
        <x:v>100.7144585291469</x:v>
      </x:c>
      <x:c r="J24" s="22" t="n">
        <x:f>'Quarterly data'!G249</x:f>
        <x:v>100.6363776329395</x:v>
      </x:c>
      <x:c r="K24" s="22" t="n">
        <x:f>'Quarterly data'!G254</x:f>
        <x:v>100.55609727486713</x:v>
      </x:c>
      <x:c r="L24" s="22" t="n">
        <x:f>'Quarterly data'!G259</x:f>
        <x:v>100.37024274727484</x:v>
      </x:c>
      <x:c r="M24" s="22" t="n">
        <x:f>'Quarterly data'!G264</x:f>
        <x:v>100.39920232849695</x:v>
      </x:c>
      <x:c r="N24" s="22" t="n">
        <x:f>'Quarterly data'!G269</x:f>
        <x:v>100.11583832489057</x:v>
      </x:c>
      <x:c r="O24" s="22" t="n">
        <x:f>'Quarterly data'!G274</x:f>
        <x:v>100.08651216669024</x:v>
      </x:c>
      <x:c r="P24" s="22" t="n">
        <x:f>'Quarterly data'!G279</x:f>
        <x:v>100.02895958122318</x:v>
      </x:c>
      <x:c r="Q24" s="22" t="n">
        <x:f>'Quarterly data'!G284</x:f>
        <x:v>100.09311055228524</x:v>
      </x:c>
    </x:row>
    <x:row r="25" ht="24" customHeight="1">
      <x:c r="A25" s="2" t="str">
        <x:v>RPS</x:v>
      </x:c>
      <x:c r="B25" s="2" t="str">
        <x:v>Quintiles</x:v>
      </x:c>
      <x:c r="C25" s="2" t="str">
        <x:v>Q5</x:v>
      </x:c>
      <x:c r="D25" s="22" t="n">
        <x:f>'Quarterly data'!G220</x:f>
        <x:v>99.99999999999999</x:v>
      </x:c>
      <x:c r="E25" s="22" t="n">
        <x:f>'Quarterly data'!G225</x:f>
        <x:v>100.24148065771733</x:v>
      </x:c>
      <x:c r="F25" s="22" t="n">
        <x:f>'Quarterly data'!G230</x:f>
        <x:v>100.1328721322368</x:v>
      </x:c>
      <x:c r="G25" s="22" t="n">
        <x:f>'Quarterly data'!G235</x:f>
        <x:v>99.94641786841355</x:v>
      </x:c>
      <x:c r="H25" s="22" t="n">
        <x:f>'Quarterly data'!G240</x:f>
        <x:v>99.94685114710562</x:v>
      </x:c>
      <x:c r="I25" s="22" t="n">
        <x:f>'Quarterly data'!G245</x:f>
        <x:v>99.89196917944251</x:v>
      </x:c>
      <x:c r="J25" s="22" t="n">
        <x:f>'Quarterly data'!G250</x:f>
        <x:v>99.78668245726804</x:v>
      </x:c>
      <x:c r="K25" s="22" t="n">
        <x:f>'Quarterly data'!G255</x:f>
        <x:v>99.72602344037739</x:v>
      </x:c>
      <x:c r="L25" s="22" t="n">
        <x:f>'Quarterly data'!G260</x:f>
        <x:v>99.71331393207664</x:v>
      </x:c>
      <x:c r="M25" s="22" t="n">
        <x:f>'Quarterly data'!G265</x:f>
        <x:v>99.69959344016075</x:v>
      </x:c>
      <x:c r="N25" s="22" t="n">
        <x:f>'Quarterly data'!G270</x:f>
        <x:v>99.61958130835724</x:v>
      </x:c>
      <x:c r="O25" s="22" t="n">
        <x:f>'Quarterly data'!G275</x:f>
        <x:v>99.58679655399041</x:v>
      </x:c>
      <x:c r="P25" s="22" t="n">
        <x:f>'Quarterly data'!G280</x:f>
        <x:v>99.30155474837339</x:v>
      </x:c>
      <x:c r="Q25" s="22" t="n">
        <x:f>'Quarterly data'!G285</x:f>
        <x:v>99.16434982921626</x:v>
      </x:c>
    </x:row>
    <x:row r="26" ht="24" customHeight="1">
      <x:c r="A26" s="2" t="str">
        <x:v>RPS</x:v>
      </x:c>
      <x:c r="B26" s="2" t="str">
        <x:v>Halves</x:v>
      </x:c>
      <x:c r="C26" s="2" t="str">
        <x:v>Lower half</x:v>
      </x:c>
      <x:c r="D26" s="22" t="n">
        <x:f>'Quarterly data'!G286</x:f>
        <x:v>100</x:v>
      </x:c>
      <x:c r="E26" s="22" t="n">
        <x:f>'Quarterly data'!G288</x:f>
        <x:v>100.41560053838982</x:v>
      </x:c>
      <x:c r="F26" s="22" t="n">
        <x:f>'Quarterly data'!G290</x:f>
        <x:v>100.88094708094278</x:v>
      </x:c>
      <x:c r="G26" s="22" t="n">
        <x:f>'Quarterly data'!G292</x:f>
        <x:v>101.26571068170774</x:v>
      </x:c>
      <x:c r="H26" s="22" t="n">
        <x:f>'Quarterly data'!G294</x:f>
        <x:v>101.66128516228682</x:v>
      </x:c>
      <x:c r="I26" s="22" t="n">
        <x:f>'Quarterly data'!G296</x:f>
        <x:v>102.02271162396964</x:v>
      </x:c>
      <x:c r="J26" s="22" t="n">
        <x:f>'Quarterly data'!G298</x:f>
        <x:v>102.18670987827193</x:v>
      </x:c>
      <x:c r="K26" s="22" t="n">
        <x:f>'Quarterly data'!G300</x:f>
        <x:v>102.52483909341797</x:v>
      </x:c>
      <x:c r="L26" s="22" t="n">
        <x:f>'Quarterly data'!G302</x:f>
        <x:v>102.75003251242457</x:v>
      </x:c>
      <x:c r="M26" s="22" t="n">
        <x:f>'Quarterly data'!G304</x:f>
        <x:v>102.95488073325686</x:v>
      </x:c>
      <x:c r="N26" s="22" t="n">
        <x:f>'Quarterly data'!G306</x:f>
        <x:v>103.11596683174199</x:v>
      </x:c>
      <x:c r="O26" s="22" t="n">
        <x:f>'Quarterly data'!G308</x:f>
        <x:v>103.28750477713236</x:v>
      </x:c>
      <x:c r="P26" s="22" t="n">
        <x:f>'Quarterly data'!G310</x:f>
        <x:v>103.58394628229405</x:v>
      </x:c>
      <x:c r="Q26" s="22" t="n">
        <x:f>'Quarterly data'!G312</x:f>
        <x:v>103.93619745852571</x:v>
      </x:c>
    </x:row>
    <x:row r="27" ht="24" customHeight="1">
      <x:c r="A27" s="2" t="str">
        <x:v>RPS</x:v>
      </x:c>
      <x:c r="B27" s="2" t="str">
        <x:v>Halves</x:v>
      </x:c>
      <x:c r="C27" s="2" t="str">
        <x:v>Higher half</x:v>
      </x:c>
      <x:c r="D27" s="22" t="n">
        <x:f>'Quarterly data'!G287</x:f>
        <x:v>99.99999999999999</x:v>
      </x:c>
      <x:c r="E27" s="22" t="n">
        <x:f>'Quarterly data'!G289</x:f>
        <x:v>100.22986372608487</x:v>
      </x:c>
      <x:c r="F27" s="22" t="n">
        <x:f>'Quarterly data'!G291</x:f>
        <x:v>100.30286882757225</x:v>
      </x:c>
      <x:c r="G27" s="22" t="n">
        <x:f>'Quarterly data'!G293</x:f>
        <x:v>100.3212224465444</x:v>
      </x:c>
      <x:c r="H27" s="22" t="n">
        <x:f>'Quarterly data'!G295</x:f>
        <x:v>100.38078642187001</x:v>
      </x:c>
      <x:c r="I27" s="22" t="n">
        <x:f>'Quarterly data'!G297</x:f>
        <x:v>100.29932091609817</x:v>
      </x:c>
      <x:c r="J27" s="22" t="n">
        <x:f>'Quarterly data'!G299</x:f>
        <x:v>100.19909241695336</x:v>
      </x:c>
      <x:c r="K27" s="22" t="n">
        <x:f>'Quarterly data'!G301</x:f>
        <x:v>100.0893118484552</x:v>
      </x:c>
      <x:c r="L27" s="22" t="n">
        <x:f>'Quarterly data'!G303</x:f>
        <x:v>100.01541976909932</x:v>
      </x:c>
      <x:c r="M27" s="22" t="n">
        <x:f>'Quarterly data'!G305</x:f>
        <x:v>99.98198752636202</x:v>
      </x:c>
      <x:c r="N27" s="22" t="n">
        <x:f>'Quarterly data'!G307</x:f>
        <x:v>99.81475808360925</x:v>
      </x:c>
      <x:c r="O27" s="22" t="n">
        <x:f>'Quarterly data'!G309</x:f>
        <x:v>99.72510508982016</x:v>
      </x:c>
      <x:c r="P27" s="22" t="n">
        <x:f>'Quarterly data'!G311</x:f>
        <x:v>99.56456209561493</x:v>
      </x:c>
      <x:c r="Q27" s="22" t="n">
        <x:f>'Quarterly data'!G313</x:f>
        <x:v>99.539658486229</x:v>
      </x:c>
    </x:row>
    <x:row r="28" ht="24" customHeight="1">
      <x:c r="A28" s="2" t="str">
        <x:v>Ramp</x:v>
      </x:c>
      <x:c r="B28" s="2" t="str">
        <x:v>Quartiles</x:v>
      </x:c>
      <x:c r="C28" s="2" t="str">
        <x:v>Q1</x:v>
      </x:c>
      <x:c r="D28" s="22" t="n">
        <x:f>'Quarterly data'!G314</x:f>
        <x:v>100</x:v>
      </x:c>
      <x:c r="E28" s="22" t="n">
        <x:f>'Quarterly data'!G318</x:f>
        <x:v>100.7997640147127</x:v>
      </x:c>
      <x:c r="F28" s="22" t="n">
        <x:f>'Quarterly data'!G322</x:f>
        <x:v>101.77437285545446</x:v>
      </x:c>
      <x:c r="G28" s="22" t="n">
        <x:f>'Quarterly data'!G326</x:f>
        <x:v>102.5697186434226</x:v>
      </x:c>
      <x:c r="H28" s="22" t="n">
        <x:f>'Quarterly data'!G330</x:f>
        <x:v>103.31639896327607</x:v>
      </x:c>
      <x:c r="I28" s="22" t="n">
        <x:f>'Quarterly data'!G334</x:f>
        <x:v>103.90285358971184</x:v>
      </x:c>
      <x:c r="J28" s="22" t="n">
        <x:f>'Quarterly data'!G338</x:f>
        <x:v>104.3809317130571</x:v>
      </x:c>
      <x:c r="K28" s="22" t="n">
        <x:f>'Quarterly data'!G342</x:f>
        <x:v>105.04873369073334</x:v>
      </x:c>
      <x:c r="L28" s="22" t="n">
        <x:f>'Quarterly data'!G346</x:f>
        <x:v>105.41317242324793</x:v>
      </x:c>
      <x:c r="M28" s="22" t="n">
        <x:f>'Quarterly data'!G350</x:f>
        <x:v>105.8619473074483</x:v>
      </x:c>
      <x:c r="N28" s="22" t="n">
        <x:f>'Quarterly data'!G354</x:f>
        <x:v>106.27284239470501</x:v>
      </x:c>
      <x:c r="O28" s="22" t="n">
        <x:f>'Quarterly data'!G358</x:f>
        <x:v>106.74955606567305</x:v>
      </x:c>
      <x:c r="P28" s="22" t="n">
        <x:f>'Quarterly data'!G362</x:f>
        <x:v>107.2037237854587</x:v>
      </x:c>
      <x:c r="Q28" s="22" t="n">
        <x:f>'Quarterly data'!G366</x:f>
        <x:v>107.55003479353567</x:v>
      </x:c>
    </x:row>
    <x:row r="29" ht="24" customHeight="1">
      <x:c r="A29" s="2" t="str">
        <x:v>Ramp</x:v>
      </x:c>
      <x:c r="B29" s="2" t="str">
        <x:v>Quartiles</x:v>
      </x:c>
      <x:c r="C29" s="2" t="str">
        <x:v>Q2</x:v>
      </x:c>
      <x:c r="D29" s="22" t="n">
        <x:f>'Quarterly data'!G315</x:f>
        <x:v>100</x:v>
      </x:c>
      <x:c r="E29" s="22" t="n">
        <x:f>'Quarterly data'!G319</x:f>
        <x:v>99.98054827402323</x:v>
      </x:c>
      <x:c r="F29" s="22" t="n">
        <x:f>'Quarterly data'!G323</x:f>
        <x:v>99.95686215871802</x:v>
      </x:c>
      <x:c r="G29" s="22" t="n">
        <x:f>'Quarterly data'!G327</x:f>
        <x:v>100.00423438932802</x:v>
      </x:c>
      <x:c r="H29" s="22" t="n">
        <x:f>'Quarterly data'!G331</x:f>
        <x:v>99.9343669654114</x:v>
      </x:c>
      <x:c r="I29" s="22" t="n">
        <x:f>'Quarterly data'!G335</x:f>
        <x:v>100.03109629662943</x:v>
      </x:c>
      <x:c r="J29" s="22" t="n">
        <x:f>'Quarterly data'!G339</x:f>
        <x:v>99.82850723220466</x:v>
      </x:c>
      <x:c r="K29" s="22" t="n">
        <x:f>'Quarterly data'!G343</x:f>
        <x:v>99.78206127426009</x:v>
      </x:c>
      <x:c r="L29" s="22" t="n">
        <x:f>'Quarterly data'!G347</x:f>
        <x:v>99.90221207144978</x:v>
      </x:c>
      <x:c r="M29" s="22" t="n">
        <x:f>'Quarterly data'!G351</x:f>
        <x:v>99.79674931224257</x:v>
      </x:c>
      <x:c r="N29" s="22" t="n">
        <x:f>'Quarterly data'!G355</x:f>
        <x:v>99.67077622972594</x:v>
      </x:c>
      <x:c r="O29" s="22" t="n">
        <x:f>'Quarterly data'!G359</x:f>
        <x:v>99.33745039479066</x:v>
      </x:c>
      <x:c r="P29" s="22" t="n">
        <x:f>'Quarterly data'!G363</x:f>
        <x:v>99.20790454627831</x:v>
      </x:c>
      <x:c r="Q29" s="22" t="n">
        <x:f>'Quarterly data'!G367</x:f>
        <x:v>99.51833821390787</x:v>
      </x:c>
    </x:row>
    <x:row r="30" ht="24" customHeight="1">
      <x:c r="A30" s="2" t="str">
        <x:v>Ramp</x:v>
      </x:c>
      <x:c r="B30" s="2" t="str">
        <x:v>Quartiles</x:v>
      </x:c>
      <x:c r="C30" s="2" t="str">
        <x:v>Q3</x:v>
      </x:c>
      <x:c r="D30" s="22" t="n">
        <x:f>'Quarterly data'!G316</x:f>
        <x:v>100</x:v>
      </x:c>
      <x:c r="E30" s="22" t="n">
        <x:f>'Quarterly data'!G320</x:f>
        <x:v>99.97717229853284</x:v>
      </x:c>
      <x:c r="F30" s="22" t="n">
        <x:f>'Quarterly data'!G324</x:f>
        <x:v>99.83318218158465</x:v>
      </x:c>
      <x:c r="G30" s="22" t="n">
        <x:f>'Quarterly data'!G328</x:f>
        <x:v>99.67070265937578</x:v>
      </x:c>
      <x:c r="H30" s="22" t="n">
        <x:f>'Quarterly data'!G332</x:f>
        <x:v>99.63516994758935</x:v>
      </x:c>
      <x:c r="I30" s="22" t="n">
        <x:f>'Quarterly data'!G336</x:f>
        <x:v>99.47155420494535</x:v>
      </x:c>
      <x:c r="J30" s="22" t="n">
        <x:f>'Quarterly data'!G340</x:f>
        <x:v>99.20660825805022</x:v>
      </x:c>
      <x:c r="K30" s="22" t="n">
        <x:f>'Quarterly data'!G344</x:f>
        <x:v>98.92833754423523</x:v>
      </x:c>
      <x:c r="L30" s="22" t="n">
        <x:f>'Quarterly data'!G348</x:f>
        <x:v>98.72774299106952</x:v>
      </x:c>
      <x:c r="M30" s="22" t="n">
        <x:f>'Quarterly data'!G352</x:f>
        <x:v>98.57920799238113</x:v>
      </x:c>
      <x:c r="N30" s="22" t="n">
        <x:f>'Quarterly data'!G356</x:f>
        <x:v>98.24299003637971</x:v>
      </x:c>
      <x:c r="O30" s="22" t="n">
        <x:f>'Quarterly data'!G360</x:f>
        <x:v>98.07224709282507</x:v>
      </x:c>
      <x:c r="P30" s="22" t="n">
        <x:f>'Quarterly data'!G364</x:f>
        <x:v>98.1730608332423</x:v>
      </x:c>
      <x:c r="Q30" s="22" t="n">
        <x:f>'Quarterly data'!G368</x:f>
        <x:v>98.34710914533498</x:v>
      </x:c>
    </x:row>
    <x:row r="31" ht="24" customHeight="1">
      <x:c r="A31" s="2" t="str">
        <x:v>Ramp</x:v>
      </x:c>
      <x:c r="B31" s="2" t="str">
        <x:v>Quartiles</x:v>
      </x:c>
      <x:c r="C31" s="2" t="str">
        <x:v>Q4</x:v>
      </x:c>
      <x:c r="D31" s="22" t="n">
        <x:f>'Quarterly data'!G317</x:f>
        <x:v>100</x:v>
      </x:c>
      <x:c r="E31" s="22" t="n">
        <x:f>'Quarterly data'!G321</x:f>
        <x:v>100.2601953297333</x:v>
      </x:c>
      <x:c r="F31" s="22" t="n">
        <x:f>'Quarterly data'!G325</x:f>
        <x:v>100.16265731880426</x:v>
      </x:c>
      <x:c r="G31" s="22" t="n">
        <x:f>'Quarterly data'!G329</x:f>
        <x:v>100.00591993707953</x:v>
      </x:c>
      <x:c r="H31" s="22" t="n">
        <x:f>'Quarterly data'!G333</x:f>
        <x:v>100.02974063628034</x:v>
      </x:c>
      <x:c r="I31" s="22" t="n">
        <x:f>'Quarterly data'!G337</x:f>
        <x:v>99.98646871524679</x:v>
      </x:c>
      <x:c r="J31" s="22" t="n">
        <x:f>'Quarterly data'!G341</x:f>
        <x:v>99.89907916788223</x:v>
      </x:c>
      <x:c r="K31" s="22" t="n">
        <x:f>'Quarterly data'!G345</x:f>
        <x:v>99.84749114476062</x:v>
      </x:c>
      <x:c r="L31" s="22" t="n">
        <x:f>'Quarterly data'!G349</x:f>
        <x:v>99.84565878328378</x:v>
      </x:c>
      <x:c r="M31" s="22" t="n">
        <x:f>'Quarterly data'!G353</x:f>
        <x:v>99.84185310944694</x:v>
      </x:c>
      <x:c r="N31" s="22" t="n">
        <x:f>'Quarterly data'!G357</x:f>
        <x:v>99.7671491415385</x:v>
      </x:c>
      <x:c r="O31" s="22" t="n">
        <x:f>'Quarterly data'!G361</x:f>
        <x:v>99.74191893350938</x:v>
      </x:c>
      <x:c r="P31" s="22" t="n">
        <x:f>'Quarterly data'!G365</x:f>
        <x:v>99.47284369815637</x:v>
      </x:c>
      <x:c r="Q31" s="22" t="n">
        <x:f>'Quarterly data'!G369</x:f>
        <x:v>99.34655170712676</x:v>
      </x:c>
    </x:row>
    <x:row r="32" ht="24" customHeight="1">
      <x:c r="A32" s="2" t="str">
        <x:v>Ramp</x:v>
      </x:c>
      <x:c r="B32" s="2" t="str">
        <x:v>Quintiles</x:v>
      </x:c>
      <x:c r="C32" s="2" t="str">
        <x:v>Q1</x:v>
      </x:c>
      <x:c r="D32" s="22" t="n">
        <x:f>'Quarterly data'!G370</x:f>
        <x:v>100</x:v>
      </x:c>
      <x:c r="E32" s="22" t="n">
        <x:f>'Quarterly data'!G375</x:f>
        <x:v>100.65215010404533</x:v>
      </x:c>
      <x:c r="F32" s="22" t="n">
        <x:f>'Quarterly data'!G380</x:f>
        <x:v>101.36127345721431</x:v>
      </x:c>
      <x:c r="G32" s="22" t="n">
        <x:f>'Quarterly data'!G385</x:f>
        <x:v>101.84338883523438</x:v>
      </x:c>
      <x:c r="H32" s="22" t="n">
        <x:f>'Quarterly data'!G390</x:f>
        <x:v>102.27384109220475</x:v>
      </x:c>
      <x:c r="I32" s="22" t="n">
        <x:f>'Quarterly data'!G395</x:f>
        <x:v>102.48237424676397</x:v>
      </x:c>
      <x:c r="J32" s="22" t="n">
        <x:f>'Quarterly data'!G400</x:f>
        <x:v>102.71590925433622</x:v>
      </x:c>
      <x:c r="K32" s="22" t="n">
        <x:f>'Quarterly data'!G405</x:f>
        <x:v>103.0944771349204</x:v>
      </x:c>
      <x:c r="L32" s="22" t="n">
        <x:f>'Quarterly data'!G410</x:f>
        <x:v>103.09890224164833</x:v>
      </x:c>
      <x:c r="M32" s="22" t="n">
        <x:f>'Quarterly data'!G415</x:f>
        <x:v>103.1972502386793</x:v>
      </x:c>
      <x:c r="N32" s="22" t="n">
        <x:f>'Quarterly data'!G420</x:f>
        <x:v>103.30533347051154</x:v>
      </x:c>
      <x:c r="O32" s="22" t="n">
        <x:f>'Quarterly data'!G425</x:f>
        <x:v>103.63268074071874</x:v>
      </x:c>
      <x:c r="P32" s="22" t="n">
        <x:f>'Quarterly data'!G430</x:f>
        <x:v>103.8571442794986</x:v>
      </x:c>
      <x:c r="Q32" s="22" t="n">
        <x:f>'Quarterly data'!G435</x:f>
        <x:v>103.96611253267653</x:v>
      </x:c>
    </x:row>
    <x:row r="33" ht="24" customHeight="1">
      <x:c r="A33" s="2" t="str">
        <x:v>Ramp</x:v>
      </x:c>
      <x:c r="B33" s="2" t="str">
        <x:v>Quintiles</x:v>
      </x:c>
      <x:c r="C33" s="2" t="str">
        <x:v>Q2</x:v>
      </x:c>
      <x:c r="D33" s="22" t="n">
        <x:f>'Quarterly data'!G371</x:f>
        <x:v>100</x:v>
      </x:c>
      <x:c r="E33" s="22" t="n">
        <x:f>'Quarterly data'!G376</x:f>
        <x:v>100.7507494249628</x:v>
      </x:c>
      <x:c r="F33" s="22" t="n">
        <x:f>'Quarterly data'!G381</x:f>
        <x:v>101.72478113259191</x:v>
      </x:c>
      <x:c r="G33" s="22" t="n">
        <x:f>'Quarterly data'!G386</x:f>
        <x:v>102.63766682707379</x:v>
      </x:c>
      <x:c r="H33" s="22" t="n">
        <x:f>'Quarterly data'!G391</x:f>
        <x:v>103.45121784315717</x:v>
      </x:c>
      <x:c r="I33" s="22" t="n">
        <x:f>'Quarterly data'!G396</x:f>
        <x:v>104.36112349728707</x:v>
      </x:c>
      <x:c r="J33" s="22" t="n">
        <x:f>'Quarterly data'!G401</x:f>
        <x:v>104.9686102416262</x:v>
      </x:c>
      <x:c r="K33" s="22" t="n">
        <x:f>'Quarterly data'!G406</x:f>
        <x:v>105.76582622170639</x:v>
      </x:c>
      <x:c r="L33" s="22" t="n">
        <x:f>'Quarterly data'!G411</x:f>
        <x:v>106.44637914060063</x:v>
      </x:c>
      <x:c r="M33" s="22" t="n">
        <x:f>'Quarterly data'!G416</x:f>
        <x:v>107.06766236805045</x:v>
      </x:c>
      <x:c r="N33" s="22" t="n">
        <x:f>'Quarterly data'!G421</x:f>
        <x:v>107.58618938929041</x:v>
      </x:c>
      <x:c r="O33" s="22" t="n">
        <x:f>'Quarterly data'!G426</x:f>
        <x:v>107.83463645715165</x:v>
      </x:c>
      <x:c r="P33" s="22" t="n">
        <x:f>'Quarterly data'!G431</x:f>
        <x:v>108.2800973038362</x:v>
      </x:c>
      <x:c r="Q33" s="22" t="n">
        <x:f>'Quarterly data'!G436</x:f>
        <x:v>108.88096173628212</x:v>
      </x:c>
    </x:row>
    <x:row r="34" ht="24" customHeight="1">
      <x:c r="A34" s="2" t="str">
        <x:v>Ramp</x:v>
      </x:c>
      <x:c r="B34" s="2" t="str">
        <x:v>Quintiles</x:v>
      </x:c>
      <x:c r="C34" s="2" t="str">
        <x:v>Q3</x:v>
      </x:c>
      <x:c r="D34" s="22" t="n">
        <x:f>'Quarterly data'!G372</x:f>
        <x:v>100</x:v>
      </x:c>
      <x:c r="E34" s="22" t="n">
        <x:f>'Quarterly data'!G377</x:f>
        <x:v>99.8432537703612</x:v>
      </x:c>
      <x:c r="F34" s="22" t="n">
        <x:f>'Quarterly data'!G382</x:f>
        <x:v>99.56881663420806</x:v>
      </x:c>
      <x:c r="G34" s="22" t="n">
        <x:f>'Quarterly data'!G387</x:f>
        <x:v>99.30970766250763</x:v>
      </x:c>
      <x:c r="H34" s="22" t="n">
        <x:f>'Quarterly data'!G392</x:f>
        <x:v>99.13595346957213</x:v>
      </x:c>
      <x:c r="I34" s="22" t="n">
        <x:f>'Quarterly data'!G397</x:f>
        <x:v>98.95527010640475</x:v>
      </x:c>
      <x:c r="J34" s="22" t="n">
        <x:f>'Quarterly data'!G402</x:f>
        <x:v>98.55358820781223</x:v>
      </x:c>
      <x:c r="K34" s="22" t="n">
        <x:f>'Quarterly data'!G407</x:f>
        <x:v>98.29720890923322</x:v>
      </x:c>
      <x:c r="L34" s="22" t="n">
        <x:f>'Quarterly data'!G412</x:f>
        <x:v>98.17720827930866</x:v>
      </x:c>
      <x:c r="M34" s="22" t="n">
        <x:f>'Quarterly data'!G417</x:f>
        <x:v>98.03316552842819</x:v>
      </x:c>
      <x:c r="N34" s="22" t="n">
        <x:f>'Quarterly data'!G422</x:f>
        <x:v>97.77762612927103</x:v>
      </x:c>
      <x:c r="O34" s="22" t="n">
        <x:f>'Quarterly data'!G427</x:f>
        <x:v>97.66864917926078</x:v>
      </x:c>
      <x:c r="P34" s="22" t="n">
        <x:f>'Quarterly data'!G432</x:f>
        <x:v>97.78864980918536</x:v>
      </x:c>
      <x:c r="Q34" s="22" t="n">
        <x:f>'Quarterly data'!G437</x:f>
        <x:v>98.05342810198489</x:v>
      </x:c>
    </x:row>
    <x:row r="35" ht="24" customHeight="1">
      <x:c r="A35" s="2" t="str">
        <x:v>Ramp</x:v>
      </x:c>
      <x:c r="B35" s="2" t="str">
        <x:v>Quintiles</x:v>
      </x:c>
      <x:c r="C35" s="2" t="str">
        <x:v>Q4</x:v>
      </x:c>
      <x:c r="D35" s="22" t="n">
        <x:f>'Quarterly data'!G373</x:f>
        <x:v>100</x:v>
      </x:c>
      <x:c r="E35" s="22" t="n">
        <x:f>'Quarterly data'!G378</x:f>
        <x:v>100.18309160285547</x:v>
      </x:c>
      <x:c r="F35" s="22" t="n">
        <x:f>'Quarterly data'!G383</x:f>
        <x:v>100.33973087781963</x:v>
      </x:c>
      <x:c r="G35" s="22" t="n">
        <x:f>'Quarterly data'!G388</x:f>
        <x:v>100.50847252502147</x:v>
      </x:c>
      <x:c r="H35" s="22" t="n">
        <x:f>'Quarterly data'!G393</x:f>
        <x:v>100.69398460232469</x:v>
      </x:c>
      <x:c r="I35" s="22" t="n">
        <x:f>'Quarterly data'!G398</x:f>
        <x:v>100.62534686263254</x:v>
      </x:c>
      <x:c r="J35" s="22" t="n">
        <x:f>'Quarterly data'!G403</x:f>
        <x:v>100.54495253276683</x:v>
      </x:c>
      <x:c r="K35" s="22" t="n">
        <x:f>'Quarterly data'!G408</x:f>
        <x:v>100.38693012954724</x:v>
      </x:c>
      <x:c r="L35" s="22" t="n">
        <x:f>'Quarterly data'!G413</x:f>
        <x:v>100.30740025484104</x:v>
      </x:c>
      <x:c r="M35" s="22" t="n">
        <x:f>'Quarterly data'!G418</x:f>
        <x:v>100.2648690609766</x:v>
      </x:c>
      <x:c r="N35" s="22" t="n">
        <x:f>'Quarterly data'!G423</x:f>
        <x:v>100.07831963748207</x:v>
      </x:c>
      <x:c r="O35" s="22" t="n">
        <x:f>'Quarterly data'!G428</x:f>
        <x:v>99.89540092565841</x:v>
      </x:c>
      <x:c r="P35" s="22" t="n">
        <x:f>'Quarterly data'!G433</x:f>
        <x:v>99.82295958326311</x:v>
      </x:c>
      <x:c r="Q35" s="22" t="n">
        <x:f>'Quarterly data'!G438</x:f>
        <x:v>99.88329855342073</x:v>
      </x:c>
    </x:row>
    <x:row r="36" ht="24" customHeight="1">
      <x:c r="A36" s="2" t="str">
        <x:v>Ramp</x:v>
      </x:c>
      <x:c r="B36" s="2" t="str">
        <x:v>Quintiles</x:v>
      </x:c>
      <x:c r="C36" s="2" t="str">
        <x:v>Q5</x:v>
      </x:c>
      <x:c r="D36" s="22" t="n">
        <x:f>'Quarterly data'!G374</x:f>
        <x:v>100</x:v>
      </x:c>
      <x:c r="E36" s="22" t="n">
        <x:f>'Quarterly data'!G379</x:f>
        <x:v>100.24131870219942</x:v>
      </x:c>
      <x:c r="F36" s="22" t="n">
        <x:f>'Quarterly data'!G384</x:f>
        <x:v>100.11590898294618</x:v>
      </x:c>
      <x:c r="G36" s="22" t="n">
        <x:f>'Quarterly data'!G389</x:f>
        <x:v>99.92225230788702</x:v>
      </x:c>
      <x:c r="H36" s="22" t="n">
        <x:f>'Quarterly data'!G394</x:f>
        <x:v>99.93951197884518</x:v>
      </x:c>
      <x:c r="I36" s="22" t="n">
        <x:f>'Quarterly data'!G399</x:f>
        <x:v>99.91655186610281</x:v>
      </x:c>
      <x:c r="J36" s="22" t="n">
        <x:f>'Quarterly data'!G404</x:f>
        <x:v>99.80856016341266</x:v>
      </x:c>
      <x:c r="K36" s="22" t="n">
        <x:f>'Quarterly data'!G409</x:f>
        <x:v>99.74173831805281</x:v>
      </x:c>
      <x:c r="L36" s="22" t="n">
        <x:f>'Quarterly data'!G414</x:f>
        <x:v>99.7352461482433</x:v>
      </x:c>
      <x:c r="M36" s="22" t="n">
        <x:f>'Quarterly data'!G419</x:f>
        <x:v>99.69486801893828</x:v>
      </x:c>
      <x:c r="N36" s="22" t="n">
        <x:f>'Quarterly data'!G424</x:f>
        <x:v>99.60381929599542</x:v>
      </x:c>
      <x:c r="O36" s="22" t="n">
        <x:f>'Quarterly data'!G429</x:f>
        <x:v>99.58355105854021</x:v>
      </x:c>
      <x:c r="P36" s="22" t="n">
        <x:f>'Quarterly data'!G434</x:f>
        <x:v>99.31262172818393</x:v>
      </x:c>
      <x:c r="Q36" s="22" t="n">
        <x:f>'Quarterly data'!G439</x:f>
        <x:v>99.1804031479108</x:v>
      </x:c>
    </x:row>
    <x:row r="37" ht="24" customHeight="1">
      <x:c r="A37" s="2" t="str">
        <x:v>Ramp</x:v>
      </x:c>
      <x:c r="B37" s="2" t="str">
        <x:v>Halves</x:v>
      </x:c>
      <x:c r="C37" s="2" t="str">
        <x:v>Lower half</x:v>
      </x:c>
      <x:c r="D37" s="22" t="n">
        <x:f>'Quarterly data'!G440</x:f>
        <x:v>100</x:v>
      </x:c>
      <x:c r="E37" s="22" t="n">
        <x:f>'Quarterly data'!G442</x:f>
        <x:v>100.52998175001179</x:v>
      </x:c>
      <x:c r="F37" s="22" t="n">
        <x:f>'Quarterly data'!G444</x:f>
        <x:v>101.17583436610484</x:v>
      </x:c>
      <x:c r="G37" s="22" t="n">
        <x:f>'Quarterly data'!G446</x:f>
        <x:v>101.72485920317102</x:v>
      </x:c>
      <x:c r="H37" s="22" t="n">
        <x:f>'Quarterly data'!G448</x:f>
        <x:v>102.20263587700175</x:v>
      </x:c>
      <x:c r="I37" s="22" t="n">
        <x:f>'Quarterly data'!G450</x:f>
        <x:v>102.62781528292712</x:v>
      </x:c>
      <x:c r="J37" s="22" t="n">
        <x:f>'Quarterly data'!G452</x:f>
        <x:v>102.88173763593797</x:v>
      </x:c>
      <x:c r="K37" s="22" t="n">
        <x:f>'Quarterly data'!G454</x:f>
        <x:v>103.31432510776554</x:v>
      </x:c>
      <x:c r="L37" s="22" t="n">
        <x:f>'Quarterly data'!G456</x:f>
        <x:v>103.59831549296761</x:v>
      </x:c>
      <x:c r="M37" s="22" t="n">
        <x:f>'Quarterly data'!G458</x:f>
        <x:v>103.86457009686261</x:v>
      </x:c>
      <x:c r="N37" s="22" t="n">
        <x:f>'Quarterly data'!G460</x:f>
        <x:v>104.09866497937071</x:v>
      </x:c>
      <x:c r="O37" s="22" t="n">
        <x:f>'Quarterly data'!G462</x:f>
        <x:v>104.30861828240943</x:v>
      </x:c>
      <x:c r="P37" s="22" t="n">
        <x:f>'Quarterly data'!G464</x:f>
        <x:v>104.570558777338</x:v>
      </x:c>
      <x:c r="Q37" s="22" t="n">
        <x:f>'Quarterly data'!G466</x:f>
        <x:v>104.90505474124929</x:v>
      </x:c>
    </x:row>
    <x:row r="38" ht="24" customHeight="1">
      <x:c r="A38" s="2" t="str">
        <x:v>Ramp</x:v>
      </x:c>
      <x:c r="B38" s="2" t="str">
        <x:v>Halves</x:v>
      </x:c>
      <x:c r="C38" s="2" t="str">
        <x:v>Higher half</x:v>
      </x:c>
      <x:c r="D38" s="22" t="n">
        <x:f>'Quarterly data'!G441</x:f>
        <x:v>100</x:v>
      </x:c>
      <x:c r="E38" s="22" t="n">
        <x:f>'Quarterly data'!G443</x:f>
        <x:v>100.09686520357495</x:v>
      </x:c>
      <x:c r="F38" s="22" t="n">
        <x:f>'Quarterly data'!G445</x:f>
        <x:v>99.97252008686286</x:v>
      </x:c>
      <x:c r="G38" s="22" t="n">
        <x:f>'Quarterly data'!G447</x:f>
        <x:v>99.81246896587912</x:v>
      </x:c>
      <x:c r="H38" s="22" t="n">
        <x:f>'Quarterly data'!G449</x:f>
        <x:v>99.80203732857095</x:v>
      </x:c>
      <x:c r="I38" s="22" t="n">
        <x:f>'Quarterly data'!G451</x:f>
        <x:v>99.68931603628785</x:v>
      </x:c>
      <x:c r="J38" s="22" t="n">
        <x:f>'Quarterly data'!G453</x:f>
        <x:v>99.499460237281</x:v>
      </x:c>
      <x:c r="K38" s="22" t="n">
        <x:f>'Quarterly data'!G455</x:f>
        <x:v>99.31705560777998</x:v>
      </x:c>
      <x:c r="L38" s="22" t="n">
        <x:f>'Quarterly data'!G457</x:f>
        <x:v>99.20051931670999</x:v>
      </x:c>
      <x:c r="M38" s="22" t="n">
        <x:f>'Quarterly data'!G459</x:f>
        <x:v>99.11319161010235</x:v>
      </x:c>
      <x:c r="N38" s="22" t="n">
        <x:f>'Quarterly data'!G461</x:f>
        <x:v>98.88757019746802</x:v>
      </x:c>
      <x:c r="O38" s="22" t="n">
        <x:f>'Quarterly data'!G463</x:f>
        <x:v>98.77836585719153</x:v>
      </x:c>
      <x:c r="P38" s="22" t="n">
        <x:f>'Quarterly data'!G465</x:f>
        <x:v>98.72275032800053</x:v>
      </x:c>
      <x:c r="Q38" s="22" t="n">
        <x:f>'Quarterly data'!G467</x:f>
        <x:v>98.7697821099209</x:v>
      </x:c>
    </x:row>
  </x:sheetData>
  <x:pageMargins left="0.7" right="0.7" top="0.75" bottom="0.75" header="0.3" footer="0.3"/>
  <x:tableParts count="1">
    <x:tablePart xmlns:r="http://schemas.openxmlformats.org/officeDocument/2006/relationships" r:id="R42bedcae883e48ae"/>
  </x:tableParts>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8" hidden="0" customWidth="1"/>
    <x:col min="2" max="2" width="16" hidden="0" customWidth="1"/>
    <x:col min="3" max="3" width="16" hidden="0" customWidth="1"/>
    <x:col min="4" max="4" width="13" hidden="0" customWidth="1"/>
    <x:col min="5" max="5" width="21" hidden="0" customWidth="1"/>
    <x:col min="6" max="6" width="23" hidden="0" customWidth="1"/>
    <x:col min="7" max="7" width="18" hidden="0" customWidth="1"/>
    <x:col min="8" max="8" width="22" hidden="0" customWidth="1"/>
    <x:col min="9" max="9" width="12" hidden="0" customWidth="1"/>
    <x:col min="10" max="10" width="14" hidden="0" customWidth="1"/>
    <x:col min="11" max="11" width="14" hidden="0" customWidth="1"/>
    <x:col min="12" max="12" width="26" hidden="0" customWidth="1"/>
    <x:col min="13" max="13" width="64" hidden="0" customWidth="1"/>
  </x:cols>
  <x:sheetData>
    <x:row r="1" ht="30" customHeight="1">
      <x:c r="A1" s="4" t="str">
        <x:v>Quarterly data</x:v>
      </x:c>
      <x:c r="B1" s="5"/>
      <x:c r="C1" s="5"/>
      <x:c r="D1" s="5"/>
      <x:c r="E1" s="5"/>
      <x:c r="F1" s="5"/>
      <x:c r="G1" s="5"/>
      <x:c r="H1" s="5"/>
      <x:c r="I1" s="5"/>
      <x:c r="J1" s="5"/>
      <x:c r="K1" s="5"/>
      <x:c r="L1" s="5"/>
      <x:c r="M1" s="5"/>
    </x:row>
    <x:row r="2" ht="24" customHeight="1">
      <x:c r="A2" s="6" t="str">
        <x:v>Complete-quarter averages, 2023 Q1 = 100. Payroll levels: BLS CES. Source definitions are on Notes and sources.</x:v>
      </x:c>
      <x:c r="B2" s="2"/>
      <x:c r="C2" s="2"/>
      <x:c r="D2" s="2"/>
      <x:c r="E2" s="2"/>
      <x:c r="F2" s="2"/>
      <x:c r="G2" s="2"/>
      <x:c r="H2" s="2"/>
      <x:c r="I2" s="2"/>
      <x:c r="J2" s="2"/>
      <x:c r="K2" s="2"/>
      <x:c r="L2" s="2"/>
      <x:c r="M2" s="2"/>
    </x:row>
    <x:row r="3" ht="24" customHeight="1">
      <x:c r="A3" s="2"/>
      <x:c r="B3" s="2"/>
      <x:c r="C3" s="2"/>
      <x:c r="D3" s="2"/>
      <x:c r="E3" s="2"/>
      <x:c r="F3" s="2"/>
      <x:c r="G3" s="2"/>
      <x:c r="H3" s="2"/>
      <x:c r="I3" s="2"/>
      <x:c r="J3" s="2"/>
      <x:c r="K3" s="2"/>
      <x:c r="L3" s="2"/>
      <x:c r="M3" s="2"/>
    </x:row>
    <x:row r="4" ht="24" customHeight="1">
      <x:c r="A4" s="2"/>
      <x:c r="B4" s="2"/>
      <x:c r="C4" s="2"/>
      <x:c r="D4" s="2"/>
      <x:c r="E4" s="2"/>
      <x:c r="F4" s="2"/>
      <x:c r="G4" s="2"/>
      <x:c r="H4" s="2"/>
      <x:c r="I4" s="2"/>
      <x:c r="J4" s="2"/>
      <x:c r="K4" s="2"/>
      <x:c r="L4" s="2"/>
      <x:c r="M4" s="2"/>
    </x:row>
    <x:row r="5" ht="44" customHeight="1">
      <x:c r="A5" s="16" t="str">
        <x:v>Source</x:v>
      </x:c>
      <x:c r="B5" s="17" t="str">
        <x:v>Grouping</x:v>
      </x:c>
      <x:c r="C5" s="17" t="str">
        <x:v>AI group</x:v>
      </x:c>
      <x:c r="D5" s="17" t="str">
        <x:v>Quarter</x:v>
      </x:c>
      <x:c r="E5" s="17" t="str">
        <x:v>Payroll jobs (thousands)</x:v>
      </x:c>
      <x:c r="F5" s="17" t="str">
        <x:v>2023 Q1 jobs (thousands)</x:v>
      </x:c>
      <x:c r="G5" s="17" t="str">
        <x:v>Employment index</x:v>
      </x:c>
      <x:c r="H5" s="17" t="str">
        <x:v>Growth since 2023 Q1</x:v>
      </x:c>
      <x:c r="I5" s="17" t="str">
        <x:v>Industries</x:v>
      </x:c>
      <x:c r="J5" s="17" t="str">
        <x:v>Observed months</x:v>
      </x:c>
      <x:c r="K5" s="17" t="str">
        <x:v>Preliminary</x:v>
      </x:c>
      <x:c r="L5" s="17" t="str">
        <x:v>Adoption ranking date</x:v>
      </x:c>
      <x:c r="M5" s="18" t="str">
        <x:v>Adoption source URL</x:v>
      </x:c>
    </x:row>
    <x:row r="6" ht="24" customHeight="1">
      <x:c r="A6" s="2" t="str">
        <x:v>Census BTOS</x:v>
      </x:c>
      <x:c r="B6" s="2" t="str">
        <x:v>Quartiles</x:v>
      </x:c>
      <x:c r="C6" s="2" t="str">
        <x:v>Q1</x:v>
      </x:c>
      <x:c r="D6" s="2" t="str">
        <x:v>2023Q1</x:v>
      </x:c>
      <x:c r="E6" s="20" t="n">
        <x:v>42506.2333333333</x:v>
      </x:c>
      <x:c r="F6" s="20" t="n">
        <x:f>$E$6</x:f>
        <x:v>42506.2333333333</x:v>
      </x:c>
      <x:c r="G6" s="22" t="n">
        <x:f>100*E6/F6</x:f>
        <x:v>100</x:v>
      </x:c>
      <x:c r="H6" s="24" t="n">
        <x:f>G6/100-1</x:f>
        <x:v>0</x:v>
      </x:c>
      <x:c r="I6" s="26" t="n">
        <x:v>5</x:v>
      </x:c>
      <x:c r="J6" s="26" t="n">
        <x:v>3</x:v>
      </x:c>
      <x:c r="K6" s="7" t="b">
        <x:v>0</x:v>
      </x:c>
      <x:c r="L6" s="2" t="str">
        <x:v>Aug 10–23, 2026</x:v>
      </x:c>
      <x:c r="M6" s="2" t="str">
        <x:v>https://www.census.gov/hfp/btos/downloads/Sector.xlsx</x:v>
      </x:c>
    </x:row>
    <x:row r="7" ht="24" customHeight="1">
      <x:c r="A7" s="2" t="str">
        <x:v>Census BTOS</x:v>
      </x:c>
      <x:c r="B7" s="2" t="str">
        <x:v>Quartiles</x:v>
      </x:c>
      <x:c r="C7" s="2" t="str">
        <x:v>Q2</x:v>
      </x:c>
      <x:c r="D7" s="2" t="str">
        <x:v>2023Q1</x:v>
      </x:c>
      <x:c r="E7" s="20" t="n">
        <x:v>17032.1</x:v>
      </x:c>
      <x:c r="F7" s="20" t="n">
        <x:f>$E$7</x:f>
        <x:v>17032.1</x:v>
      </x:c>
      <x:c r="G7" s="22" t="n">
        <x:f>100*E7/F7</x:f>
        <x:v>100</x:v>
      </x:c>
      <x:c r="H7" s="24" t="n">
        <x:f>G7/100-1</x:f>
        <x:v>0</x:v>
      </x:c>
      <x:c r="I7" s="26" t="n">
        <x:v>4</x:v>
      </x:c>
      <x:c r="J7" s="26" t="n">
        <x:v>3</x:v>
      </x:c>
      <x:c r="K7" s="7" t="b">
        <x:v>0</x:v>
      </x:c>
      <x:c r="L7" s="2" t="str">
        <x:v>Aug 10–23, 2026</x:v>
      </x:c>
      <x:c r="M7" s="2" t="str">
        <x:v>https://www.census.gov/hfp/btos/downloads/Sector.xlsx</x:v>
      </x:c>
    </x:row>
    <x:row r="8" ht="24" customHeight="1">
      <x:c r="A8" s="2" t="str">
        <x:v>Census BTOS</x:v>
      </x:c>
      <x:c r="B8" s="2" t="str">
        <x:v>Quartiles</x:v>
      </x:c>
      <x:c r="C8" s="2" t="str">
        <x:v>Q3</x:v>
      </x:c>
      <x:c r="D8" s="2" t="str">
        <x:v>2023Q1</x:v>
      </x:c>
      <x:c r="E8" s="20" t="n">
        <x:v>46008.9333333333</x:v>
      </x:c>
      <x:c r="F8" s="20" t="n">
        <x:f>$E$8</x:f>
        <x:v>46008.9333333333</x:v>
      </x:c>
      <x:c r="G8" s="22" t="n">
        <x:f>100*E8/F8</x:f>
        <x:v>100.00000000000001</x:v>
      </x:c>
      <x:c r="H8" s="24" t="n">
        <x:f>G8/100-1</x:f>
        <x:v>2.220446049250313e-16</x:v>
      </x:c>
      <x:c r="I8" s="26" t="n">
        <x:v>4</x:v>
      </x:c>
      <x:c r="J8" s="26" t="n">
        <x:v>3</x:v>
      </x:c>
      <x:c r="K8" s="7" t="b">
        <x:v>0</x:v>
      </x:c>
      <x:c r="L8" s="2" t="str">
        <x:v>Aug 10–23, 2026</x:v>
      </x:c>
      <x:c r="M8" s="2" t="str">
        <x:v>https://www.census.gov/hfp/btos/downloads/Sector.xlsx</x:v>
      </x:c>
    </x:row>
    <x:row r="9" ht="24" customHeight="1">
      <x:c r="A9" s="2" t="str">
        <x:v>Census BTOS</x:v>
      </x:c>
      <x:c r="B9" s="2" t="str">
        <x:v>Quartiles</x:v>
      </x:c>
      <x:c r="C9" s="2" t="str">
        <x:v>Q4</x:v>
      </x:c>
      <x:c r="D9" s="2" t="str">
        <x:v>2023Q1</x:v>
      </x:c>
      <x:c r="E9" s="20" t="n">
        <x:v>26865.5666666667</x:v>
      </x:c>
      <x:c r="F9" s="20" t="n">
        <x:f>$E$9</x:f>
        <x:v>26865.5666666667</x:v>
      </x:c>
      <x:c r="G9" s="22" t="n">
        <x:f>100*E9/F9</x:f>
        <x:v>100</x:v>
      </x:c>
      <x:c r="H9" s="24" t="n">
        <x:f>G9/100-1</x:f>
        <x:v>0</x:v>
      </x:c>
      <x:c r="I9" s="26" t="n">
        <x:v>5</x:v>
      </x:c>
      <x:c r="J9" s="26" t="n">
        <x:v>3</x:v>
      </x:c>
      <x:c r="K9" s="7" t="b">
        <x:v>0</x:v>
      </x:c>
      <x:c r="L9" s="2" t="str">
        <x:v>Aug 10–23, 2026</x:v>
      </x:c>
      <x:c r="M9" s="2" t="str">
        <x:v>https://www.census.gov/hfp/btos/downloads/Sector.xlsx</x:v>
      </x:c>
    </x:row>
    <x:row r="10" ht="24" customHeight="1">
      <x:c r="A10" s="2" t="str">
        <x:v>Census BTOS</x:v>
      </x:c>
      <x:c r="B10" s="2" t="str">
        <x:v>Quartiles</x:v>
      </x:c>
      <x:c r="C10" s="2" t="str">
        <x:v>Q1</x:v>
      </x:c>
      <x:c r="D10" s="2" t="str">
        <x:v>2023Q2</x:v>
      </x:c>
      <x:c r="E10" s="20" t="n">
        <x:v>42580.0333333333</x:v>
      </x:c>
      <x:c r="F10" s="20" t="n">
        <x:f>$E$6</x:f>
        <x:v>42506.2333333333</x:v>
      </x:c>
      <x:c r="G10" s="22" t="n">
        <x:f>100*E10/F10</x:f>
        <x:v>100.17362159432301</x:v>
      </x:c>
      <x:c r="H10" s="24" t="n">
        <x:f>G10/100-1</x:f>
        <x:v>0.001736215943230146</x:v>
      </x:c>
      <x:c r="I10" s="26" t="n">
        <x:v>5</x:v>
      </x:c>
      <x:c r="J10" s="26" t="n">
        <x:v>3</x:v>
      </x:c>
      <x:c r="K10" s="7" t="b">
        <x:v>0</x:v>
      </x:c>
      <x:c r="L10" s="2" t="str">
        <x:v>Aug 10–23, 2026</x:v>
      </x:c>
      <x:c r="M10" s="2" t="str">
        <x:v>https://www.census.gov/hfp/btos/downloads/Sector.xlsx</x:v>
      </x:c>
    </x:row>
    <x:row r="11" ht="24" customHeight="1">
      <x:c r="A11" s="2" t="str">
        <x:v>Census BTOS</x:v>
      </x:c>
      <x:c r="B11" s="2" t="str">
        <x:v>Quartiles</x:v>
      </x:c>
      <x:c r="C11" s="2" t="str">
        <x:v>Q2</x:v>
      </x:c>
      <x:c r="D11" s="2" t="str">
        <x:v>2023Q2</x:v>
      </x:c>
      <x:c r="E11" s="20" t="n">
        <x:v>17151.8333333333</x:v>
      </x:c>
      <x:c r="F11" s="20" t="n">
        <x:f>$E$7</x:f>
        <x:v>17032.1</x:v>
      </x:c>
      <x:c r="G11" s="22" t="n">
        <x:f>100*E11/F11</x:f>
        <x:v>100.7029863219057</x:v>
      </x:c>
      <x:c r="H11" s="24" t="n">
        <x:f>G11/100-1</x:f>
        <x:v>0.007029863219057075</x:v>
      </x:c>
      <x:c r="I11" s="26" t="n">
        <x:v>4</x:v>
      </x:c>
      <x:c r="J11" s="26" t="n">
        <x:v>3</x:v>
      </x:c>
      <x:c r="K11" s="7" t="b">
        <x:v>0</x:v>
      </x:c>
      <x:c r="L11" s="2" t="str">
        <x:v>Aug 10–23, 2026</x:v>
      </x:c>
      <x:c r="M11" s="2" t="str">
        <x:v>https://www.census.gov/hfp/btos/downloads/Sector.xlsx</x:v>
      </x:c>
    </x:row>
    <x:row r="12" ht="24" customHeight="1">
      <x:c r="A12" s="2" t="str">
        <x:v>Census BTOS</x:v>
      </x:c>
      <x:c r="B12" s="2" t="str">
        <x:v>Quartiles</x:v>
      </x:c>
      <x:c r="C12" s="2" t="str">
        <x:v>Q3</x:v>
      </x:c>
      <x:c r="D12" s="2" t="str">
        <x:v>2023Q2</x:v>
      </x:c>
      <x:c r="E12" s="20" t="n">
        <x:v>46174.3333333333</x:v>
      </x:c>
      <x:c r="F12" s="20" t="n">
        <x:f>$E$8</x:f>
        <x:v>46008.9333333333</x:v>
      </x:c>
      <x:c r="G12" s="22" t="n">
        <x:f>100*E12/F12</x:f>
        <x:v>100.35949540234216</x:v>
      </x:c>
      <x:c r="H12" s="24" t="n">
        <x:f>G12/100-1</x:f>
        <x:v>0.0035949540234216926</x:v>
      </x:c>
      <x:c r="I12" s="26" t="n">
        <x:v>4</x:v>
      </x:c>
      <x:c r="J12" s="26" t="n">
        <x:v>3</x:v>
      </x:c>
      <x:c r="K12" s="7" t="b">
        <x:v>0</x:v>
      </x:c>
      <x:c r="L12" s="2" t="str">
        <x:v>Aug 10–23, 2026</x:v>
      </x:c>
      <x:c r="M12" s="2" t="str">
        <x:v>https://www.census.gov/hfp/btos/downloads/Sector.xlsx</x:v>
      </x:c>
    </x:row>
    <x:row r="13" ht="24" customHeight="1">
      <x:c r="A13" s="2" t="str">
        <x:v>Census BTOS</x:v>
      </x:c>
      <x:c r="B13" s="2" t="str">
        <x:v>Quartiles</x:v>
      </x:c>
      <x:c r="C13" s="2" t="str">
        <x:v>Q4</x:v>
      </x:c>
      <x:c r="D13" s="2" t="str">
        <x:v>2023Q2</x:v>
      </x:c>
      <x:c r="E13" s="20" t="n">
        <x:v>26966.2</x:v>
      </x:c>
      <x:c r="F13" s="20" t="n">
        <x:f>$E$9</x:f>
        <x:v>26865.5666666667</x:v>
      </x:c>
      <x:c r="G13" s="22" t="n">
        <x:f>100*E13/F13</x:f>
        <x:v>100.37458109327045</x:v>
      </x:c>
      <x:c r="H13" s="24" t="n">
        <x:f>G13/100-1</x:f>
        <x:v>0.0037458109327044298</x:v>
      </x:c>
      <x:c r="I13" s="26" t="n">
        <x:v>5</x:v>
      </x:c>
      <x:c r="J13" s="26" t="n">
        <x:v>3</x:v>
      </x:c>
      <x:c r="K13" s="7" t="b">
        <x:v>0</x:v>
      </x:c>
      <x:c r="L13" s="2" t="str">
        <x:v>Aug 10–23, 2026</x:v>
      </x:c>
      <x:c r="M13" s="2" t="str">
        <x:v>https://www.census.gov/hfp/btos/downloads/Sector.xlsx</x:v>
      </x:c>
    </x:row>
    <x:row r="14" ht="24" customHeight="1">
      <x:c r="A14" s="2" t="str">
        <x:v>Census BTOS</x:v>
      </x:c>
      <x:c r="B14" s="2" t="str">
        <x:v>Quartiles</x:v>
      </x:c>
      <x:c r="C14" s="2" t="str">
        <x:v>Q1</x:v>
      </x:c>
      <x:c r="D14" s="2" t="str">
        <x:v>2023Q3</x:v>
      </x:c>
      <x:c r="E14" s="20" t="n">
        <x:v>42701.7333333333</x:v>
      </x:c>
      <x:c r="F14" s="20" t="n">
        <x:f>$E$6</x:f>
        <x:v>42506.2333333333</x:v>
      </x:c>
      <x:c r="G14" s="22" t="n">
        <x:f>100*E14/F14</x:f>
        <x:v>100.459932543227</x:v>
      </x:c>
      <x:c r="H14" s="24" t="n">
        <x:f>G14/100-1</x:f>
        <x:v>0.0045993254322700405</x:v>
      </x:c>
      <x:c r="I14" s="26" t="n">
        <x:v>5</x:v>
      </x:c>
      <x:c r="J14" s="26" t="n">
        <x:v>3</x:v>
      </x:c>
      <x:c r="K14" s="7" t="b">
        <x:v>0</x:v>
      </x:c>
      <x:c r="L14" s="2" t="str">
        <x:v>Aug 10–23, 2026</x:v>
      </x:c>
      <x:c r="M14" s="2" t="str">
        <x:v>https://www.census.gov/hfp/btos/downloads/Sector.xlsx</x:v>
      </x:c>
    </x:row>
    <x:row r="15" ht="24" customHeight="1">
      <x:c r="A15" s="2" t="str">
        <x:v>Census BTOS</x:v>
      </x:c>
      <x:c r="B15" s="2" t="str">
        <x:v>Quartiles</x:v>
      </x:c>
      <x:c r="C15" s="2" t="str">
        <x:v>Q2</x:v>
      </x:c>
      <x:c r="D15" s="2" t="str">
        <x:v>2023Q3</x:v>
      </x:c>
      <x:c r="E15" s="20" t="n">
        <x:v>17250.7</x:v>
      </x:c>
      <x:c r="F15" s="20" t="n">
        <x:f>$E$7</x:f>
        <x:v>17032.1</x:v>
      </x:c>
      <x:c r="G15" s="22" t="n">
        <x:f>100*E15/F15</x:f>
        <x:v>101.28345888058432</x:v>
      </x:c>
      <x:c r="H15" s="24" t="n">
        <x:f>G15/100-1</x:f>
        <x:v>0.012834588805843206</x:v>
      </x:c>
      <x:c r="I15" s="26" t="n">
        <x:v>4</x:v>
      </x:c>
      <x:c r="J15" s="26" t="n">
        <x:v>3</x:v>
      </x:c>
      <x:c r="K15" s="7" t="b">
        <x:v>0</x:v>
      </x:c>
      <x:c r="L15" s="2" t="str">
        <x:v>Aug 10–23, 2026</x:v>
      </x:c>
      <x:c r="M15" s="2" t="str">
        <x:v>https://www.census.gov/hfp/btos/downloads/Sector.xlsx</x:v>
      </x:c>
    </x:row>
    <x:row r="16" ht="24" customHeight="1">
      <x:c r="A16" s="2" t="str">
        <x:v>Census BTOS</x:v>
      </x:c>
      <x:c r="B16" s="2" t="str">
        <x:v>Quartiles</x:v>
      </x:c>
      <x:c r="C16" s="2" t="str">
        <x:v>Q3</x:v>
      </x:c>
      <x:c r="D16" s="2" t="str">
        <x:v>2023Q3</x:v>
      </x:c>
      <x:c r="E16" s="20" t="n">
        <x:v>46365.4666666667</x:v>
      </x:c>
      <x:c r="F16" s="20" t="n">
        <x:f>$E$8</x:f>
        <x:v>46008.9333333333</x:v>
      </x:c>
      <x:c r="G16" s="22" t="n">
        <x:f>100*E16/F16</x:f>
        <x:v>100.77492197167523</x:v>
      </x:c>
      <x:c r="H16" s="24" t="n">
        <x:f>G16/100-1</x:f>
        <x:v>0.0077492197167523535</x:v>
      </x:c>
      <x:c r="I16" s="26" t="n">
        <x:v>4</x:v>
      </x:c>
      <x:c r="J16" s="26" t="n">
        <x:v>3</x:v>
      </x:c>
      <x:c r="K16" s="7" t="b">
        <x:v>0</x:v>
      </x:c>
      <x:c r="L16" s="2" t="str">
        <x:v>Aug 10–23, 2026</x:v>
      </x:c>
      <x:c r="M16" s="2" t="str">
        <x:v>https://www.census.gov/hfp/btos/downloads/Sector.xlsx</x:v>
      </x:c>
    </x:row>
    <x:row r="17" ht="24" customHeight="1">
      <x:c r="A17" s="2" t="str">
        <x:v>Census BTOS</x:v>
      </x:c>
      <x:c r="B17" s="2" t="str">
        <x:v>Quartiles</x:v>
      </x:c>
      <x:c r="C17" s="2" t="str">
        <x:v>Q4</x:v>
      </x:c>
      <x:c r="D17" s="2" t="str">
        <x:v>2023Q3</x:v>
      </x:c>
      <x:c r="E17" s="20" t="n">
        <x:v>26979</x:v>
      </x:c>
      <x:c r="F17" s="20" t="n">
        <x:f>$E$9</x:f>
        <x:v>26865.5666666667</x:v>
      </x:c>
      <x:c r="G17" s="22" t="n">
        <x:f>100*E17/F17</x:f>
        <x:v>100.42222572388188</x:v>
      </x:c>
      <x:c r="H17" s="24" t="n">
        <x:f>G17/100-1</x:f>
        <x:v>0.004222257238818861</x:v>
      </x:c>
      <x:c r="I17" s="26" t="n">
        <x:v>5</x:v>
      </x:c>
      <x:c r="J17" s="26" t="n">
        <x:v>3</x:v>
      </x:c>
      <x:c r="K17" s="7" t="b">
        <x:v>0</x:v>
      </x:c>
      <x:c r="L17" s="2" t="str">
        <x:v>Aug 10–23, 2026</x:v>
      </x:c>
      <x:c r="M17" s="2" t="str">
        <x:v>https://www.census.gov/hfp/btos/downloads/Sector.xlsx</x:v>
      </x:c>
    </x:row>
    <x:row r="18" ht="24" customHeight="1">
      <x:c r="A18" s="2" t="str">
        <x:v>Census BTOS</x:v>
      </x:c>
      <x:c r="B18" s="2" t="str">
        <x:v>Quartiles</x:v>
      </x:c>
      <x:c r="C18" s="2" t="str">
        <x:v>Q1</x:v>
      </x:c>
      <x:c r="D18" s="2" t="str">
        <x:v>2023Q4</x:v>
      </x:c>
      <x:c r="E18" s="20" t="n">
        <x:v>42760.4333333333</x:v>
      </x:c>
      <x:c r="F18" s="20" t="n">
        <x:f>$E$6</x:f>
        <x:v>42506.2333333333</x:v>
      </x:c>
      <x:c r="G18" s="22" t="n">
        <x:f>100*E18/F18</x:f>
        <x:v>100.59802993600155</x:v>
      </x:c>
      <x:c r="H18" s="24" t="n">
        <x:f>G18/100-1</x:f>
        <x:v>0.00598029936001554</x:v>
      </x:c>
      <x:c r="I18" s="26" t="n">
        <x:v>5</x:v>
      </x:c>
      <x:c r="J18" s="26" t="n">
        <x:v>3</x:v>
      </x:c>
      <x:c r="K18" s="7" t="b">
        <x:v>0</x:v>
      </x:c>
      <x:c r="L18" s="2" t="str">
        <x:v>Aug 10–23, 2026</x:v>
      </x:c>
      <x:c r="M18" s="2" t="str">
        <x:v>https://www.census.gov/hfp/btos/downloads/Sector.xlsx</x:v>
      </x:c>
    </x:row>
    <x:row r="19" ht="24" customHeight="1">
      <x:c r="A19" s="2" t="str">
        <x:v>Census BTOS</x:v>
      </x:c>
      <x:c r="B19" s="2" t="str">
        <x:v>Quartiles</x:v>
      </x:c>
      <x:c r="C19" s="2" t="str">
        <x:v>Q2</x:v>
      </x:c>
      <x:c r="D19" s="2" t="str">
        <x:v>2023Q4</x:v>
      </x:c>
      <x:c r="E19" s="20" t="n">
        <x:v>17362.9</x:v>
      </x:c>
      <x:c r="F19" s="20" t="n">
        <x:f>$E$7</x:f>
        <x:v>17032.1</x:v>
      </x:c>
      <x:c r="G19" s="22" t="n">
        <x:f>100*E19/F19</x:f>
        <x:v>101.94221499404068</x:v>
      </x:c>
      <x:c r="H19" s="24" t="n">
        <x:f>G19/100-1</x:f>
        <x:v>0.019422149940406808</x:v>
      </x:c>
      <x:c r="I19" s="26" t="n">
        <x:v>4</x:v>
      </x:c>
      <x:c r="J19" s="26" t="n">
        <x:v>3</x:v>
      </x:c>
      <x:c r="K19" s="7" t="b">
        <x:v>0</x:v>
      </x:c>
      <x:c r="L19" s="2" t="str">
        <x:v>Aug 10–23, 2026</x:v>
      </x:c>
      <x:c r="M19" s="2" t="str">
        <x:v>https://www.census.gov/hfp/btos/downloads/Sector.xlsx</x:v>
      </x:c>
    </x:row>
    <x:row r="20" ht="24" customHeight="1">
      <x:c r="A20" s="2" t="str">
        <x:v>Census BTOS</x:v>
      </x:c>
      <x:c r="B20" s="2" t="str">
        <x:v>Quartiles</x:v>
      </x:c>
      <x:c r="C20" s="2" t="str">
        <x:v>Q3</x:v>
      </x:c>
      <x:c r="D20" s="2" t="str">
        <x:v>2023Q4</x:v>
      </x:c>
      <x:c r="E20" s="20" t="n">
        <x:v>46530.2333333333</x:v>
      </x:c>
      <x:c r="F20" s="20" t="n">
        <x:f>$E$8</x:f>
        <x:v>46008.9333333333</x:v>
      </x:c>
      <x:c r="G20" s="22" t="n">
        <x:f>100*E20/F20</x:f>
        <x:v>101.13304082975192</x:v>
      </x:c>
      <x:c r="H20" s="24" t="n">
        <x:f>G20/100-1</x:f>
        <x:v>0.01133040829751919</x:v>
      </x:c>
      <x:c r="I20" s="26" t="n">
        <x:v>4</x:v>
      </x:c>
      <x:c r="J20" s="26" t="n">
        <x:v>3</x:v>
      </x:c>
      <x:c r="K20" s="7" t="b">
        <x:v>0</x:v>
      </x:c>
      <x:c r="L20" s="2" t="str">
        <x:v>Aug 10–23, 2026</x:v>
      </x:c>
      <x:c r="M20" s="2" t="str">
        <x:v>https://www.census.gov/hfp/btos/downloads/Sector.xlsx</x:v>
      </x:c>
    </x:row>
    <x:row r="21" ht="24" customHeight="1">
      <x:c r="A21" s="2" t="str">
        <x:v>Census BTOS</x:v>
      </x:c>
      <x:c r="B21" s="2" t="str">
        <x:v>Quartiles</x:v>
      </x:c>
      <x:c r="C21" s="2" t="str">
        <x:v>Q4</x:v>
      </x:c>
      <x:c r="D21" s="2" t="str">
        <x:v>2023Q4</x:v>
      </x:c>
      <x:c r="E21" s="20" t="n">
        <x:v>26973.8</x:v>
      </x:c>
      <x:c r="F21" s="20" t="n">
        <x:f>$E$9</x:f>
        <x:v>26865.5666666667</x:v>
      </x:c>
      <x:c r="G21" s="22" t="n">
        <x:f>100*E21/F21</x:f>
        <x:v>100.40287009269598</x:v>
      </x:c>
      <x:c r="H21" s="24" t="n">
        <x:f>G21/100-1</x:f>
        <x:v>0.004028700926959727</x:v>
      </x:c>
      <x:c r="I21" s="26" t="n">
        <x:v>5</x:v>
      </x:c>
      <x:c r="J21" s="26" t="n">
        <x:v>3</x:v>
      </x:c>
      <x:c r="K21" s="7" t="b">
        <x:v>0</x:v>
      </x:c>
      <x:c r="L21" s="2" t="str">
        <x:v>Aug 10–23, 2026</x:v>
      </x:c>
      <x:c r="M21" s="2" t="str">
        <x:v>https://www.census.gov/hfp/btos/downloads/Sector.xlsx</x:v>
      </x:c>
    </x:row>
    <x:row r="22" ht="24" customHeight="1">
      <x:c r="A22" s="2" t="str">
        <x:v>Census BTOS</x:v>
      </x:c>
      <x:c r="B22" s="2" t="str">
        <x:v>Quartiles</x:v>
      </x:c>
      <x:c r="C22" s="2" t="str">
        <x:v>Q1</x:v>
      </x:c>
      <x:c r="D22" s="2" t="str">
        <x:v>2024Q1</x:v>
      </x:c>
      <x:c r="E22" s="20" t="n">
        <x:v>42791.6666666667</x:v>
      </x:c>
      <x:c r="F22" s="20" t="n">
        <x:f>$E$6</x:f>
        <x:v>42506.2333333333</x:v>
      </x:c>
      <x:c r="G22" s="22" t="n">
        <x:f>100*E22/F22</x:f>
        <x:v>100.67150935509866</x:v>
      </x:c>
      <x:c r="H22" s="24" t="n">
        <x:f>G22/100-1</x:f>
        <x:v>0.0067150935509865395</x:v>
      </x:c>
      <x:c r="I22" s="26" t="n">
        <x:v>5</x:v>
      </x:c>
      <x:c r="J22" s="26" t="n">
        <x:v>3</x:v>
      </x:c>
      <x:c r="K22" s="7" t="b">
        <x:v>0</x:v>
      </x:c>
      <x:c r="L22" s="2" t="str">
        <x:v>Aug 10–23, 2026</x:v>
      </x:c>
      <x:c r="M22" s="2" t="str">
        <x:v>https://www.census.gov/hfp/btos/downloads/Sector.xlsx</x:v>
      </x:c>
    </x:row>
    <x:row r="23" ht="24" customHeight="1">
      <x:c r="A23" s="2" t="str">
        <x:v>Census BTOS</x:v>
      </x:c>
      <x:c r="B23" s="2" t="str">
        <x:v>Quartiles</x:v>
      </x:c>
      <x:c r="C23" s="2" t="str">
        <x:v>Q2</x:v>
      </x:c>
      <x:c r="D23" s="2" t="str">
        <x:v>2024Q1</x:v>
      </x:c>
      <x:c r="E23" s="20" t="n">
        <x:v>17447.0666666667</x:v>
      </x:c>
      <x:c r="F23" s="20" t="n">
        <x:f>$E$7</x:f>
        <x:v>17032.1</x:v>
      </x:c>
      <x:c r="G23" s="22" t="n">
        <x:f>100*E23/F23</x:f>
        <x:v>102.43637993357659</x:v>
      </x:c>
      <x:c r="H23" s="24" t="n">
        <x:f>G23/100-1</x:f>
        <x:v>0.024363799335765934</x:v>
      </x:c>
      <x:c r="I23" s="26" t="n">
        <x:v>4</x:v>
      </x:c>
      <x:c r="J23" s="26" t="n">
        <x:v>3</x:v>
      </x:c>
      <x:c r="K23" s="7" t="b">
        <x:v>0</x:v>
      </x:c>
      <x:c r="L23" s="2" t="str">
        <x:v>Aug 10–23, 2026</x:v>
      </x:c>
      <x:c r="M23" s="2" t="str">
        <x:v>https://www.census.gov/hfp/btos/downloads/Sector.xlsx</x:v>
      </x:c>
    </x:row>
    <x:row r="24" ht="24" customHeight="1">
      <x:c r="A24" s="2" t="str">
        <x:v>Census BTOS</x:v>
      </x:c>
      <x:c r="B24" s="2" t="str">
        <x:v>Quartiles</x:v>
      </x:c>
      <x:c r="C24" s="2" t="str">
        <x:v>Q3</x:v>
      </x:c>
      <x:c r="D24" s="2" t="str">
        <x:v>2024Q1</x:v>
      </x:c>
      <x:c r="E24" s="20" t="n">
        <x:v>46738.9333333333</x:v>
      </x:c>
      <x:c r="F24" s="20" t="n">
        <x:f>$E$8</x:f>
        <x:v>46008.9333333333</x:v>
      </x:c>
      <x:c r="G24" s="22" t="n">
        <x:f>100*E24/F24</x:f>
        <x:v>101.58664839002282</x:v>
      </x:c>
      <x:c r="H24" s="24" t="n">
        <x:f>G24/100-1</x:f>
        <x:v>0.015866483900228268</x:v>
      </x:c>
      <x:c r="I24" s="26" t="n">
        <x:v>4</x:v>
      </x:c>
      <x:c r="J24" s="26" t="n">
        <x:v>3</x:v>
      </x:c>
      <x:c r="K24" s="7" t="b">
        <x:v>0</x:v>
      </x:c>
      <x:c r="L24" s="2" t="str">
        <x:v>Aug 10–23, 2026</x:v>
      </x:c>
      <x:c r="M24" s="2" t="str">
        <x:v>https://www.census.gov/hfp/btos/downloads/Sector.xlsx</x:v>
      </x:c>
    </x:row>
    <x:row r="25" ht="24" customHeight="1">
      <x:c r="A25" s="2" t="str">
        <x:v>Census BTOS</x:v>
      </x:c>
      <x:c r="B25" s="2" t="str">
        <x:v>Quartiles</x:v>
      </x:c>
      <x:c r="C25" s="2" t="str">
        <x:v>Q4</x:v>
      </x:c>
      <x:c r="D25" s="2" t="str">
        <x:v>2024Q1</x:v>
      </x:c>
      <x:c r="E25" s="20" t="n">
        <x:v>27009.3333333333</x:v>
      </x:c>
      <x:c r="F25" s="20" t="n">
        <x:f>$E$9</x:f>
        <x:v>26865.5666666667</x:v>
      </x:c>
      <x:c r="G25" s="22" t="n">
        <x:f>100*E25/F25</x:f>
        <x:v>100.53513357246611</x:v>
      </x:c>
      <x:c r="H25" s="24" t="n">
        <x:f>G25/100-1</x:f>
        <x:v>0.005351335724661066</x:v>
      </x:c>
      <x:c r="I25" s="26" t="n">
        <x:v>5</x:v>
      </x:c>
      <x:c r="J25" s="26" t="n">
        <x:v>3</x:v>
      </x:c>
      <x:c r="K25" s="7" t="b">
        <x:v>0</x:v>
      </x:c>
      <x:c r="L25" s="2" t="str">
        <x:v>Aug 10–23, 2026</x:v>
      </x:c>
      <x:c r="M25" s="2" t="str">
        <x:v>https://www.census.gov/hfp/btos/downloads/Sector.xlsx</x:v>
      </x:c>
    </x:row>
    <x:row r="26" ht="24" customHeight="1">
      <x:c r="A26" s="2" t="str">
        <x:v>Census BTOS</x:v>
      </x:c>
      <x:c r="B26" s="2" t="str">
        <x:v>Quartiles</x:v>
      </x:c>
      <x:c r="C26" s="2" t="str">
        <x:v>Q1</x:v>
      </x:c>
      <x:c r="D26" s="2" t="str">
        <x:v>2024Q2</x:v>
      </x:c>
      <x:c r="E26" s="20" t="n">
        <x:v>42833.9</x:v>
      </x:c>
      <x:c r="F26" s="20" t="n">
        <x:f>$E$6</x:f>
        <x:v>42506.2333333333</x:v>
      </x:c>
      <x:c r="G26" s="22" t="n">
        <x:f>100*E26/F26</x:f>
        <x:v>100.77086733161497</x:v>
      </x:c>
      <x:c r="H26" s="24" t="n">
        <x:f>G26/100-1</x:f>
        <x:v>0.00770867331614955</x:v>
      </x:c>
      <x:c r="I26" s="26" t="n">
        <x:v>5</x:v>
      </x:c>
      <x:c r="J26" s="26" t="n">
        <x:v>3</x:v>
      </x:c>
      <x:c r="K26" s="7" t="b">
        <x:v>0</x:v>
      </x:c>
      <x:c r="L26" s="2" t="str">
        <x:v>Aug 10–23, 2026</x:v>
      </x:c>
      <x:c r="M26" s="2" t="str">
        <x:v>https://www.census.gov/hfp/btos/downloads/Sector.xlsx</x:v>
      </x:c>
    </x:row>
    <x:row r="27" ht="24" customHeight="1">
      <x:c r="A27" s="2" t="str">
        <x:v>Census BTOS</x:v>
      </x:c>
      <x:c r="B27" s="2" t="str">
        <x:v>Quartiles</x:v>
      </x:c>
      <x:c r="C27" s="2" t="str">
        <x:v>Q2</x:v>
      </x:c>
      <x:c r="D27" s="2" t="str">
        <x:v>2024Q2</x:v>
      </x:c>
      <x:c r="E27" s="20" t="n">
        <x:v>17499.4</x:v>
      </x:c>
      <x:c r="F27" s="20" t="n">
        <x:f>$E$7</x:f>
        <x:v>17032.1</x:v>
      </x:c>
      <x:c r="G27" s="22" t="n">
        <x:f>100*E27/F27</x:f>
        <x:v>102.74364288607984</x:v>
      </x:c>
      <x:c r="H27" s="24" t="n">
        <x:f>G27/100-1</x:f>
        <x:v>0.027436428860798445</x:v>
      </x:c>
      <x:c r="I27" s="26" t="n">
        <x:v>4</x:v>
      </x:c>
      <x:c r="J27" s="26" t="n">
        <x:v>3</x:v>
      </x:c>
      <x:c r="K27" s="7" t="b">
        <x:v>0</x:v>
      </x:c>
      <x:c r="L27" s="2" t="str">
        <x:v>Aug 10–23, 2026</x:v>
      </x:c>
      <x:c r="M27" s="2" t="str">
        <x:v>https://www.census.gov/hfp/btos/downloads/Sector.xlsx</x:v>
      </x:c>
    </x:row>
    <x:row r="28" ht="24" customHeight="1">
      <x:c r="A28" s="2" t="str">
        <x:v>Census BTOS</x:v>
      </x:c>
      <x:c r="B28" s="2" t="str">
        <x:v>Quartiles</x:v>
      </x:c>
      <x:c r="C28" s="2" t="str">
        <x:v>Q3</x:v>
      </x:c>
      <x:c r="D28" s="2" t="str">
        <x:v>2024Q2</x:v>
      </x:c>
      <x:c r="E28" s="20" t="n">
        <x:v>46896.7333333333</x:v>
      </x:c>
      <x:c r="F28" s="20" t="n">
        <x:f>$E$8</x:f>
        <x:v>46008.9333333333</x:v>
      </x:c>
      <x:c r="G28" s="22" t="n">
        <x:f>100*E28/F28</x:f>
        <x:v>101.92962526118117</x:v>
      </x:c>
      <x:c r="H28" s="24" t="n">
        <x:f>G28/100-1</x:f>
        <x:v>0.01929625261181167</x:v>
      </x:c>
      <x:c r="I28" s="26" t="n">
        <x:v>4</x:v>
      </x:c>
      <x:c r="J28" s="26" t="n">
        <x:v>3</x:v>
      </x:c>
      <x:c r="K28" s="7" t="b">
        <x:v>0</x:v>
      </x:c>
      <x:c r="L28" s="2" t="str">
        <x:v>Aug 10–23, 2026</x:v>
      </x:c>
      <x:c r="M28" s="2" t="str">
        <x:v>https://www.census.gov/hfp/btos/downloads/Sector.xlsx</x:v>
      </x:c>
    </x:row>
    <x:row r="29" ht="24" customHeight="1">
      <x:c r="A29" s="2" t="str">
        <x:v>Census BTOS</x:v>
      </x:c>
      <x:c r="B29" s="2" t="str">
        <x:v>Quartiles</x:v>
      </x:c>
      <x:c r="C29" s="2" t="str">
        <x:v>Q4</x:v>
      </x:c>
      <x:c r="D29" s="2" t="str">
        <x:v>2024Q2</x:v>
      </x:c>
      <x:c r="E29" s="20" t="n">
        <x:v>27019.1666666667</x:v>
      </x:c>
      <x:c r="F29" s="20" t="n">
        <x:f>$E$9</x:f>
        <x:v>26865.5666666667</x:v>
      </x:c>
      <x:c r="G29" s="22" t="n">
        <x:f>100*E29/F29</x:f>
        <x:v>100.57173556733714</x:v>
      </x:c>
      <x:c r="H29" s="24" t="n">
        <x:f>G29/100-1</x:f>
        <x:v>0.005717355673371394</x:v>
      </x:c>
      <x:c r="I29" s="26" t="n">
        <x:v>5</x:v>
      </x:c>
      <x:c r="J29" s="26" t="n">
        <x:v>3</x:v>
      </x:c>
      <x:c r="K29" s="7" t="b">
        <x:v>0</x:v>
      </x:c>
      <x:c r="L29" s="2" t="str">
        <x:v>Aug 10–23, 2026</x:v>
      </x:c>
      <x:c r="M29" s="2" t="str">
        <x:v>https://www.census.gov/hfp/btos/downloads/Sector.xlsx</x:v>
      </x:c>
    </x:row>
    <x:row r="30" ht="24" customHeight="1">
      <x:c r="A30" s="2" t="str">
        <x:v>Census BTOS</x:v>
      </x:c>
      <x:c r="B30" s="2" t="str">
        <x:v>Quartiles</x:v>
      </x:c>
      <x:c r="C30" s="2" t="str">
        <x:v>Q1</x:v>
      </x:c>
      <x:c r="D30" s="2" t="str">
        <x:v>2024Q3</x:v>
      </x:c>
      <x:c r="E30" s="20" t="n">
        <x:v>42787.9333333333</x:v>
      </x:c>
      <x:c r="F30" s="20" t="n">
        <x:f>$E$6</x:f>
        <x:v>42506.2333333333</x:v>
      </x:c>
      <x:c r="G30" s="22" t="n">
        <x:f>100*E30/F30</x:f>
        <x:v>100.6627263295501</x:v>
      </x:c>
      <x:c r="H30" s="24" t="n">
        <x:f>G30/100-1</x:f>
        <x:v>0.006627263295500896</x:v>
      </x:c>
      <x:c r="I30" s="26" t="n">
        <x:v>5</x:v>
      </x:c>
      <x:c r="J30" s="26" t="n">
        <x:v>3</x:v>
      </x:c>
      <x:c r="K30" s="7" t="b">
        <x:v>0</x:v>
      </x:c>
      <x:c r="L30" s="2" t="str">
        <x:v>Aug 10–23, 2026</x:v>
      </x:c>
      <x:c r="M30" s="2" t="str">
        <x:v>https://www.census.gov/hfp/btos/downloads/Sector.xlsx</x:v>
      </x:c>
    </x:row>
    <x:row r="31" ht="24" customHeight="1">
      <x:c r="A31" s="2" t="str">
        <x:v>Census BTOS</x:v>
      </x:c>
      <x:c r="B31" s="2" t="str">
        <x:v>Quartiles</x:v>
      </x:c>
      <x:c r="C31" s="2" t="str">
        <x:v>Q2</x:v>
      </x:c>
      <x:c r="D31" s="2" t="str">
        <x:v>2024Q3</x:v>
      </x:c>
      <x:c r="E31" s="20" t="n">
        <x:v>17557.4</x:v>
      </x:c>
      <x:c r="F31" s="20" t="n">
        <x:f>$E$7</x:f>
        <x:v>17032.1</x:v>
      </x:c>
      <x:c r="G31" s="22" t="n">
        <x:f>100*E31/F31</x:f>
        <x:v>103.08417634936387</x:v>
      </x:c>
      <x:c r="H31" s="24" t="n">
        <x:f>G31/100-1</x:f>
        <x:v>0.030841763493638652</x:v>
      </x:c>
      <x:c r="I31" s="26" t="n">
        <x:v>4</x:v>
      </x:c>
      <x:c r="J31" s="26" t="n">
        <x:v>3</x:v>
      </x:c>
      <x:c r="K31" s="7" t="b">
        <x:v>0</x:v>
      </x:c>
      <x:c r="L31" s="2" t="str">
        <x:v>Aug 10–23, 2026</x:v>
      </x:c>
      <x:c r="M31" s="2" t="str">
        <x:v>https://www.census.gov/hfp/btos/downloads/Sector.xlsx</x:v>
      </x:c>
    </x:row>
    <x:row r="32" ht="24" customHeight="1">
      <x:c r="A32" s="2" t="str">
        <x:v>Census BTOS</x:v>
      </x:c>
      <x:c r="B32" s="2" t="str">
        <x:v>Quartiles</x:v>
      </x:c>
      <x:c r="C32" s="2" t="str">
        <x:v>Q3</x:v>
      </x:c>
      <x:c r="D32" s="2" t="str">
        <x:v>2024Q3</x:v>
      </x:c>
      <x:c r="E32" s="20" t="n">
        <x:v>46969.3</x:v>
      </x:c>
      <x:c r="F32" s="20" t="n">
        <x:f>$E$8</x:f>
        <x:v>46008.9333333333</x:v>
      </x:c>
      <x:c r="G32" s="22" t="n">
        <x:f>100*E32/F32</x:f>
        <x:v>102.08734825410725</x:v>
      </x:c>
      <x:c r="H32" s="24" t="n">
        <x:f>G32/100-1</x:f>
        <x:v>0.020873482541072574</x:v>
      </x:c>
      <x:c r="I32" s="26" t="n">
        <x:v>4</x:v>
      </x:c>
      <x:c r="J32" s="26" t="n">
        <x:v>3</x:v>
      </x:c>
      <x:c r="K32" s="7" t="b">
        <x:v>0</x:v>
      </x:c>
      <x:c r="L32" s="2" t="str">
        <x:v>Aug 10–23, 2026</x:v>
      </x:c>
      <x:c r="M32" s="2" t="str">
        <x:v>https://www.census.gov/hfp/btos/downloads/Sector.xlsx</x:v>
      </x:c>
    </x:row>
    <x:row r="33" ht="24" customHeight="1">
      <x:c r="A33" s="2" t="str">
        <x:v>Census BTOS</x:v>
      </x:c>
      <x:c r="B33" s="2" t="str">
        <x:v>Quartiles</x:v>
      </x:c>
      <x:c r="C33" s="2" t="str">
        <x:v>Q4</x:v>
      </x:c>
      <x:c r="D33" s="2" t="str">
        <x:v>2024Q3</x:v>
      </x:c>
      <x:c r="E33" s="20" t="n">
        <x:v>27022.6333333333</x:v>
      </x:c>
      <x:c r="F33" s="20" t="n">
        <x:f>$E$9</x:f>
        <x:v>26865.5666666667</x:v>
      </x:c>
      <x:c r="G33" s="22" t="n">
        <x:f>100*E33/F33</x:f>
        <x:v>100.5846393214608</x:v>
      </x:c>
      <x:c r="H33" s="24" t="n">
        <x:f>G33/100-1</x:f>
        <x:v>0.005846393214608003</x:v>
      </x:c>
      <x:c r="I33" s="26" t="n">
        <x:v>5</x:v>
      </x:c>
      <x:c r="J33" s="26" t="n">
        <x:v>3</x:v>
      </x:c>
      <x:c r="K33" s="7" t="b">
        <x:v>0</x:v>
      </x:c>
      <x:c r="L33" s="2" t="str">
        <x:v>Aug 10–23, 2026</x:v>
      </x:c>
      <x:c r="M33" s="2" t="str">
        <x:v>https://www.census.gov/hfp/btos/downloads/Sector.xlsx</x:v>
      </x:c>
    </x:row>
    <x:row r="34" ht="24" customHeight="1">
      <x:c r="A34" s="2" t="str">
        <x:v>Census BTOS</x:v>
      </x:c>
      <x:c r="B34" s="2" t="str">
        <x:v>Quartiles</x:v>
      </x:c>
      <x:c r="C34" s="2" t="str">
        <x:v>Q1</x:v>
      </x:c>
      <x:c r="D34" s="2" t="str">
        <x:v>2024Q4</x:v>
      </x:c>
      <x:c r="E34" s="20" t="n">
        <x:v>42832.2333333333</x:v>
      </x:c>
      <x:c r="F34" s="20" t="n">
        <x:f>$E$6</x:f>
        <x:v>42506.2333333333</x:v>
      </x:c>
      <x:c r="G34" s="22" t="n">
        <x:f>100*E34/F34</x:f>
        <x:v>100.7669463380665</x:v>
      </x:c>
      <x:c r="H34" s="24" t="n">
        <x:f>G34/100-1</x:f>
        <x:v>0.007669463380665098</x:v>
      </x:c>
      <x:c r="I34" s="26" t="n">
        <x:v>5</x:v>
      </x:c>
      <x:c r="J34" s="26" t="n">
        <x:v>3</x:v>
      </x:c>
      <x:c r="K34" s="7" t="b">
        <x:v>0</x:v>
      </x:c>
      <x:c r="L34" s="2" t="str">
        <x:v>Aug 10–23, 2026</x:v>
      </x:c>
      <x:c r="M34" s="2" t="str">
        <x:v>https://www.census.gov/hfp/btos/downloads/Sector.xlsx</x:v>
      </x:c>
    </x:row>
    <x:row r="35" ht="24" customHeight="1">
      <x:c r="A35" s="2" t="str">
        <x:v>Census BTOS</x:v>
      </x:c>
      <x:c r="B35" s="2" t="str">
        <x:v>Quartiles</x:v>
      </x:c>
      <x:c r="C35" s="2" t="str">
        <x:v>Q2</x:v>
      </x:c>
      <x:c r="D35" s="2" t="str">
        <x:v>2024Q4</x:v>
      </x:c>
      <x:c r="E35" s="20" t="n">
        <x:v>17599.9666666667</x:v>
      </x:c>
      <x:c r="F35" s="20" t="n">
        <x:f>$E$7</x:f>
        <x:v>17032.1</x:v>
      </x:c>
      <x:c r="G35" s="22" t="n">
        <x:f>100*E35/F35</x:f>
        <x:v>103.33409659799263</x:v>
      </x:c>
      <x:c r="H35" s="24" t="n">
        <x:f>G35/100-1</x:f>
        <x:v>0.033340965979926196</x:v>
      </x:c>
      <x:c r="I35" s="26" t="n">
        <x:v>4</x:v>
      </x:c>
      <x:c r="J35" s="26" t="n">
        <x:v>3</x:v>
      </x:c>
      <x:c r="K35" s="7" t="b">
        <x:v>0</x:v>
      </x:c>
      <x:c r="L35" s="2" t="str">
        <x:v>Aug 10–23, 2026</x:v>
      </x:c>
      <x:c r="M35" s="2" t="str">
        <x:v>https://www.census.gov/hfp/btos/downloads/Sector.xlsx</x:v>
      </x:c>
    </x:row>
    <x:row r="36" ht="24" customHeight="1">
      <x:c r="A36" s="2" t="str">
        <x:v>Census BTOS</x:v>
      </x:c>
      <x:c r="B36" s="2" t="str">
        <x:v>Quartiles</x:v>
      </x:c>
      <x:c r="C36" s="2" t="str">
        <x:v>Q3</x:v>
      </x:c>
      <x:c r="D36" s="2" t="str">
        <x:v>2024Q4</x:v>
      </x:c>
      <x:c r="E36" s="20" t="n">
        <x:v>47079.3333333333</x:v>
      </x:c>
      <x:c r="F36" s="20" t="n">
        <x:f>$E$8</x:f>
        <x:v>46008.9333333333</x:v>
      </x:c>
      <x:c r="G36" s="22" t="n">
        <x:f>100*E36/F36</x:f>
        <x:v>102.3265047077814</x:v>
      </x:c>
      <x:c r="H36" s="24" t="n">
        <x:f>G36/100-1</x:f>
        <x:v>0.02326504707781396</x:v>
      </x:c>
      <x:c r="I36" s="26" t="n">
        <x:v>4</x:v>
      </x:c>
      <x:c r="J36" s="26" t="n">
        <x:v>3</x:v>
      </x:c>
      <x:c r="K36" s="7" t="b">
        <x:v>0</x:v>
      </x:c>
      <x:c r="L36" s="2" t="str">
        <x:v>Aug 10–23, 2026</x:v>
      </x:c>
      <x:c r="M36" s="2" t="str">
        <x:v>https://www.census.gov/hfp/btos/downloads/Sector.xlsx</x:v>
      </x:c>
    </x:row>
    <x:row r="37" ht="24" customHeight="1">
      <x:c r="A37" s="2" t="str">
        <x:v>Census BTOS</x:v>
      </x:c>
      <x:c r="B37" s="2" t="str">
        <x:v>Quartiles</x:v>
      </x:c>
      <x:c r="C37" s="2" t="str">
        <x:v>Q4</x:v>
      </x:c>
      <x:c r="D37" s="2" t="str">
        <x:v>2024Q4</x:v>
      </x:c>
      <x:c r="E37" s="20" t="n">
        <x:v>27054.6333333333</x:v>
      </x:c>
      <x:c r="F37" s="20" t="n">
        <x:f>$E$9</x:f>
        <x:v>26865.5666666667</x:v>
      </x:c>
      <x:c r="G37" s="22" t="n">
        <x:f>100*E37/F37</x:f>
        <x:v>100.70375089798937</x:v>
      </x:c>
      <x:c r="H37" s="24" t="n">
        <x:f>G37/100-1</x:f>
        <x:v>0.007037508979893747</x:v>
      </x:c>
      <x:c r="I37" s="26" t="n">
        <x:v>5</x:v>
      </x:c>
      <x:c r="J37" s="26" t="n">
        <x:v>3</x:v>
      </x:c>
      <x:c r="K37" s="7" t="b">
        <x:v>0</x:v>
      </x:c>
      <x:c r="L37" s="2" t="str">
        <x:v>Aug 10–23, 2026</x:v>
      </x:c>
      <x:c r="M37" s="2" t="str">
        <x:v>https://www.census.gov/hfp/btos/downloads/Sector.xlsx</x:v>
      </x:c>
    </x:row>
    <x:row r="38" ht="24" customHeight="1">
      <x:c r="A38" s="2" t="str">
        <x:v>Census BTOS</x:v>
      </x:c>
      <x:c r="B38" s="2" t="str">
        <x:v>Quartiles</x:v>
      </x:c>
      <x:c r="C38" s="2" t="str">
        <x:v>Q1</x:v>
      </x:c>
      <x:c r="D38" s="2" t="str">
        <x:v>2025Q1</x:v>
      </x:c>
      <x:c r="E38" s="20" t="n">
        <x:v>42844.4333333333</x:v>
      </x:c>
      <x:c r="F38" s="20" t="n">
        <x:f>$E$6</x:f>
        <x:v>42506.2333333333</x:v>
      </x:c>
      <x:c r="G38" s="22" t="n">
        <x:f>100*E38/F38</x:f>
        <x:v>100.79564801084076</x:v>
      </x:c>
      <x:c r="H38" s="24" t="n">
        <x:f>G38/100-1</x:f>
        <x:v>0.007956480108407549</x:v>
      </x:c>
      <x:c r="I38" s="26" t="n">
        <x:v>5</x:v>
      </x:c>
      <x:c r="J38" s="26" t="n">
        <x:v>3</x:v>
      </x:c>
      <x:c r="K38" s="7" t="b">
        <x:v>0</x:v>
      </x:c>
      <x:c r="L38" s="2" t="str">
        <x:v>Aug 10–23, 2026</x:v>
      </x:c>
      <x:c r="M38" s="2" t="str">
        <x:v>https://www.census.gov/hfp/btos/downloads/Sector.xlsx</x:v>
      </x:c>
    </x:row>
    <x:row r="39" ht="24" customHeight="1">
      <x:c r="A39" s="2" t="str">
        <x:v>Census BTOS</x:v>
      </x:c>
      <x:c r="B39" s="2" t="str">
        <x:v>Quartiles</x:v>
      </x:c>
      <x:c r="C39" s="2" t="str">
        <x:v>Q2</x:v>
      </x:c>
      <x:c r="D39" s="2" t="str">
        <x:v>2025Q1</x:v>
      </x:c>
      <x:c r="E39" s="20" t="n">
        <x:v>17597.8</x:v>
      </x:c>
      <x:c r="F39" s="20" t="n">
        <x:f>$E$7</x:f>
        <x:v>17032.1</x:v>
      </x:c>
      <x:c r="G39" s="22" t="n">
        <x:f>100*E39/F39</x:f>
        <x:v>103.32137552034101</x:v>
      </x:c>
      <x:c r="H39" s="24" t="n">
        <x:f>G39/100-1</x:f>
        <x:v>0.03321375520340997</x:v>
      </x:c>
      <x:c r="I39" s="26" t="n">
        <x:v>4</x:v>
      </x:c>
      <x:c r="J39" s="26" t="n">
        <x:v>3</x:v>
      </x:c>
      <x:c r="K39" s="7" t="b">
        <x:v>0</x:v>
      </x:c>
      <x:c r="L39" s="2" t="str">
        <x:v>Aug 10–23, 2026</x:v>
      </x:c>
      <x:c r="M39" s="2" t="str">
        <x:v>https://www.census.gov/hfp/btos/downloads/Sector.xlsx</x:v>
      </x:c>
    </x:row>
    <x:row r="40" ht="24" customHeight="1">
      <x:c r="A40" s="2" t="str">
        <x:v>Census BTOS</x:v>
      </x:c>
      <x:c r="B40" s="2" t="str">
        <x:v>Quartiles</x:v>
      </x:c>
      <x:c r="C40" s="2" t="str">
        <x:v>Q3</x:v>
      </x:c>
      <x:c r="D40" s="2" t="str">
        <x:v>2025Q1</x:v>
      </x:c>
      <x:c r="E40" s="20" t="n">
        <x:v>47210.2333333333</x:v>
      </x:c>
      <x:c r="F40" s="20" t="n">
        <x:f>$E$8</x:f>
        <x:v>46008.9333333333</x:v>
      </x:c>
      <x:c r="G40" s="22" t="n">
        <x:f>100*E40/F40</x:f>
        <x:v>102.61101467251288</x:v>
      </x:c>
      <x:c r="H40" s="24" t="n">
        <x:f>G40/100-1</x:f>
        <x:v>0.02611014672512879</x:v>
      </x:c>
      <x:c r="I40" s="26" t="n">
        <x:v>4</x:v>
      </x:c>
      <x:c r="J40" s="26" t="n">
        <x:v>3</x:v>
      </x:c>
      <x:c r="K40" s="7" t="b">
        <x:v>0</x:v>
      </x:c>
      <x:c r="L40" s="2" t="str">
        <x:v>Aug 10–23, 2026</x:v>
      </x:c>
      <x:c r="M40" s="2" t="str">
        <x:v>https://www.census.gov/hfp/btos/downloads/Sector.xlsx</x:v>
      </x:c>
    </x:row>
    <x:row r="41" ht="24" customHeight="1">
      <x:c r="A41" s="2" t="str">
        <x:v>Census BTOS</x:v>
      </x:c>
      <x:c r="B41" s="2" t="str">
        <x:v>Quartiles</x:v>
      </x:c>
      <x:c r="C41" s="2" t="str">
        <x:v>Q4</x:v>
      </x:c>
      <x:c r="D41" s="2" t="str">
        <x:v>2025Q1</x:v>
      </x:c>
      <x:c r="E41" s="20" t="n">
        <x:v>27065.7666666667</x:v>
      </x:c>
      <x:c r="F41" s="20" t="n">
        <x:f>$E$9</x:f>
        <x:v>26865.5666666667</x:v>
      </x:c>
      <x:c r="G41" s="22" t="n">
        <x:f>100*E41/F41</x:f>
        <x:v>100.74519180065684</x:v>
      </x:c>
      <x:c r="H41" s="24" t="n">
        <x:f>G41/100-1</x:f>
        <x:v>0.007451918006568414</x:v>
      </x:c>
      <x:c r="I41" s="26" t="n">
        <x:v>5</x:v>
      </x:c>
      <x:c r="J41" s="26" t="n">
        <x:v>3</x:v>
      </x:c>
      <x:c r="K41" s="7" t="b">
        <x:v>0</x:v>
      </x:c>
      <x:c r="L41" s="2" t="str">
        <x:v>Aug 10–23, 2026</x:v>
      </x:c>
      <x:c r="M41" s="2" t="str">
        <x:v>https://www.census.gov/hfp/btos/downloads/Sector.xlsx</x:v>
      </x:c>
    </x:row>
    <x:row r="42" ht="24" customHeight="1">
      <x:c r="A42" s="2" t="str">
        <x:v>Census BTOS</x:v>
      </x:c>
      <x:c r="B42" s="2" t="str">
        <x:v>Quartiles</x:v>
      </x:c>
      <x:c r="C42" s="2" t="str">
        <x:v>Q1</x:v>
      </x:c>
      <x:c r="D42" s="2" t="str">
        <x:v>2025Q2</x:v>
      </x:c>
      <x:c r="E42" s="20" t="n">
        <x:v>42821</x:v>
      </x:c>
      <x:c r="F42" s="20" t="n">
        <x:f>$E$6</x:f>
        <x:v>42506.2333333333</x:v>
      </x:c>
      <x:c r="G42" s="22" t="n">
        <x:f>100*E42/F42</x:f>
        <x:v>100.74051884155037</x:v>
      </x:c>
      <x:c r="H42" s="24" t="n">
        <x:f>G42/100-1</x:f>
        <x:v>0.0074051884155037495</x:v>
      </x:c>
      <x:c r="I42" s="26" t="n">
        <x:v>5</x:v>
      </x:c>
      <x:c r="J42" s="26" t="n">
        <x:v>3</x:v>
      </x:c>
      <x:c r="K42" s="7" t="b">
        <x:v>0</x:v>
      </x:c>
      <x:c r="L42" s="2" t="str">
        <x:v>Aug 10–23, 2026</x:v>
      </x:c>
      <x:c r="M42" s="2" t="str">
        <x:v>https://www.census.gov/hfp/btos/downloads/Sector.xlsx</x:v>
      </x:c>
    </x:row>
    <x:row r="43" ht="24" customHeight="1">
      <x:c r="A43" s="2" t="str">
        <x:v>Census BTOS</x:v>
      </x:c>
      <x:c r="B43" s="2" t="str">
        <x:v>Quartiles</x:v>
      </x:c>
      <x:c r="C43" s="2" t="str">
        <x:v>Q2</x:v>
      </x:c>
      <x:c r="D43" s="2" t="str">
        <x:v>2025Q2</x:v>
      </x:c>
      <x:c r="E43" s="20" t="n">
        <x:v>17613.3333333333</x:v>
      </x:c>
      <x:c r="F43" s="20" t="n">
        <x:f>$E$7</x:f>
        <x:v>17032.1</x:v>
      </x:c>
      <x:c r="G43" s="22" t="n">
        <x:f>100*E43/F43</x:f>
        <x:v>103.41257586165712</x:v>
      </x:c>
      <x:c r="H43" s="24" t="n">
        <x:f>G43/100-1</x:f>
        <x:v>0.03412575861657108</x:v>
      </x:c>
      <x:c r="I43" s="26" t="n">
        <x:v>4</x:v>
      </x:c>
      <x:c r="J43" s="26" t="n">
        <x:v>3</x:v>
      </x:c>
      <x:c r="K43" s="7" t="b">
        <x:v>0</x:v>
      </x:c>
      <x:c r="L43" s="2" t="str">
        <x:v>Aug 10–23, 2026</x:v>
      </x:c>
      <x:c r="M43" s="2" t="str">
        <x:v>https://www.census.gov/hfp/btos/downloads/Sector.xlsx</x:v>
      </x:c>
    </x:row>
    <x:row r="44" ht="24" customHeight="1">
      <x:c r="A44" s="2" t="str">
        <x:v>Census BTOS</x:v>
      </x:c>
      <x:c r="B44" s="2" t="str">
        <x:v>Quartiles</x:v>
      </x:c>
      <x:c r="C44" s="2" t="str">
        <x:v>Q3</x:v>
      </x:c>
      <x:c r="D44" s="2" t="str">
        <x:v>2025Q2</x:v>
      </x:c>
      <x:c r="E44" s="20" t="n">
        <x:v>47371.6</x:v>
      </x:c>
      <x:c r="F44" s="20" t="n">
        <x:f>$E$8</x:f>
        <x:v>46008.9333333333</x:v>
      </x:c>
      <x:c r="G44" s="22" t="n">
        <x:f>100*E44/F44</x:f>
        <x:v>102.96174366137599</x:v>
      </x:c>
      <x:c r="H44" s="24" t="n">
        <x:f>G44/100-1</x:f>
        <x:v>0.029617436613759818</x:v>
      </x:c>
      <x:c r="I44" s="26" t="n">
        <x:v>4</x:v>
      </x:c>
      <x:c r="J44" s="26" t="n">
        <x:v>3</x:v>
      </x:c>
      <x:c r="K44" s="7" t="b">
        <x:v>0</x:v>
      </x:c>
      <x:c r="L44" s="2" t="str">
        <x:v>Aug 10–23, 2026</x:v>
      </x:c>
      <x:c r="M44" s="2" t="str">
        <x:v>https://www.census.gov/hfp/btos/downloads/Sector.xlsx</x:v>
      </x:c>
    </x:row>
    <x:row r="45" ht="24" customHeight="1">
      <x:c r="A45" s="2" t="str">
        <x:v>Census BTOS</x:v>
      </x:c>
      <x:c r="B45" s="2" t="str">
        <x:v>Quartiles</x:v>
      </x:c>
      <x:c r="C45" s="2" t="str">
        <x:v>Q4</x:v>
      </x:c>
      <x:c r="D45" s="2" t="str">
        <x:v>2025Q2</x:v>
      </x:c>
      <x:c r="E45" s="20" t="n">
        <x:v>27067.1333333333</x:v>
      </x:c>
      <x:c r="F45" s="20" t="n">
        <x:f>$E$9</x:f>
        <x:v>26865.5666666667</x:v>
      </x:c>
      <x:c r="G45" s="22" t="n">
        <x:f>100*E45/F45</x:f>
        <x:v>100.75027885757083</x:v>
      </x:c>
      <x:c r="H45" s="24" t="n">
        <x:f>G45/100-1</x:f>
        <x:v>0.007502788575708408</x:v>
      </x:c>
      <x:c r="I45" s="26" t="n">
        <x:v>5</x:v>
      </x:c>
      <x:c r="J45" s="26" t="n">
        <x:v>3</x:v>
      </x:c>
      <x:c r="K45" s="7" t="b">
        <x:v>0</x:v>
      </x:c>
      <x:c r="L45" s="2" t="str">
        <x:v>Aug 10–23, 2026</x:v>
      </x:c>
      <x:c r="M45" s="2" t="str">
        <x:v>https://www.census.gov/hfp/btos/downloads/Sector.xlsx</x:v>
      </x:c>
    </x:row>
    <x:row r="46" ht="24" customHeight="1">
      <x:c r="A46" s="2" t="str">
        <x:v>Census BTOS</x:v>
      </x:c>
      <x:c r="B46" s="2" t="str">
        <x:v>Quartiles</x:v>
      </x:c>
      <x:c r="C46" s="2" t="str">
        <x:v>Q1</x:v>
      </x:c>
      <x:c r="D46" s="2" t="str">
        <x:v>2025Q3</x:v>
      </x:c>
      <x:c r="E46" s="20" t="n">
        <x:v>42830.4</x:v>
      </x:c>
      <x:c r="F46" s="20" t="n">
        <x:f>$E$6</x:f>
        <x:v>42506.2333333333</x:v>
      </x:c>
      <x:c r="G46" s="22" t="n">
        <x:f>100*E46/F46</x:f>
        <x:v>100.76263324516333</x:v>
      </x:c>
      <x:c r="H46" s="24" t="n">
        <x:f>G46/100-1</x:f>
        <x:v>0.007626332451633244</x:v>
      </x:c>
      <x:c r="I46" s="26" t="n">
        <x:v>5</x:v>
      </x:c>
      <x:c r="J46" s="26" t="n">
        <x:v>3</x:v>
      </x:c>
      <x:c r="K46" s="7" t="b">
        <x:v>0</x:v>
      </x:c>
      <x:c r="L46" s="2" t="str">
        <x:v>Aug 10–23, 2026</x:v>
      </x:c>
      <x:c r="M46" s="2" t="str">
        <x:v>https://www.census.gov/hfp/btos/downloads/Sector.xlsx</x:v>
      </x:c>
    </x:row>
    <x:row r="47" ht="24" customHeight="1">
      <x:c r="A47" s="2" t="str">
        <x:v>Census BTOS</x:v>
      </x:c>
      <x:c r="B47" s="2" t="str">
        <x:v>Quartiles</x:v>
      </x:c>
      <x:c r="C47" s="2" t="str">
        <x:v>Q2</x:v>
      </x:c>
      <x:c r="D47" s="2" t="str">
        <x:v>2025Q3</x:v>
      </x:c>
      <x:c r="E47" s="20" t="n">
        <x:v>17601.8</x:v>
      </x:c>
      <x:c r="F47" s="20" t="n">
        <x:f>$E$7</x:f>
        <x:v>17032.1</x:v>
      </x:c>
      <x:c r="G47" s="22" t="n">
        <x:f>100*E47/F47</x:f>
        <x:v>103.34486058677439</x:v>
      </x:c>
      <x:c r="H47" s="24" t="n">
        <x:f>G47/100-1</x:f>
        <x:v>0.0334486058677439</x:v>
      </x:c>
      <x:c r="I47" s="26" t="n">
        <x:v>4</x:v>
      </x:c>
      <x:c r="J47" s="26" t="n">
        <x:v>3</x:v>
      </x:c>
      <x:c r="K47" s="7" t="b">
        <x:v>0</x:v>
      </x:c>
      <x:c r="L47" s="2" t="str">
        <x:v>Aug 10–23, 2026</x:v>
      </x:c>
      <x:c r="M47" s="2" t="str">
        <x:v>https://www.census.gov/hfp/btos/downloads/Sector.xlsx</x:v>
      </x:c>
    </x:row>
    <x:row r="48" ht="24" customHeight="1">
      <x:c r="A48" s="2" t="str">
        <x:v>Census BTOS</x:v>
      </x:c>
      <x:c r="B48" s="2" t="str">
        <x:v>Quartiles</x:v>
      </x:c>
      <x:c r="C48" s="2" t="str">
        <x:v>Q3</x:v>
      </x:c>
      <x:c r="D48" s="2" t="str">
        <x:v>2025Q3</x:v>
      </x:c>
      <x:c r="E48" s="20" t="n">
        <x:v>47450.2333333333</x:v>
      </x:c>
      <x:c r="F48" s="20" t="n">
        <x:f>$E$8</x:f>
        <x:v>46008.9333333333</x:v>
      </x:c>
      <x:c r="G48" s="22" t="n">
        <x:f>100*E48/F48</x:f>
        <x:v>103.1326524993697</x:v>
      </x:c>
      <x:c r="H48" s="24" t="n">
        <x:f>G48/100-1</x:f>
        <x:v>0.031326524993696925</x:v>
      </x:c>
      <x:c r="I48" s="26" t="n">
        <x:v>4</x:v>
      </x:c>
      <x:c r="J48" s="26" t="n">
        <x:v>3</x:v>
      </x:c>
      <x:c r="K48" s="7" t="b">
        <x:v>0</x:v>
      </x:c>
      <x:c r="L48" s="2" t="str">
        <x:v>Aug 10–23, 2026</x:v>
      </x:c>
      <x:c r="M48" s="2" t="str">
        <x:v>https://www.census.gov/hfp/btos/downloads/Sector.xlsx</x:v>
      </x:c>
    </x:row>
    <x:row r="49" ht="24" customHeight="1">
      <x:c r="A49" s="2" t="str">
        <x:v>Census BTOS</x:v>
      </x:c>
      <x:c r="B49" s="2" t="str">
        <x:v>Quartiles</x:v>
      </x:c>
      <x:c r="C49" s="2" t="str">
        <x:v>Q4</x:v>
      </x:c>
      <x:c r="D49" s="2" t="str">
        <x:v>2025Q3</x:v>
      </x:c>
      <x:c r="E49" s="20" t="n">
        <x:v>27043.5333333333</x:v>
      </x:c>
      <x:c r="F49" s="20" t="n">
        <x:f>$E$9</x:f>
        <x:v>26865.5666666667</x:v>
      </x:c>
      <x:c r="G49" s="22" t="n">
        <x:f>100*E49/F49</x:f>
        <x:v>100.66243406988104</x:v>
      </x:c>
      <x:c r="H49" s="24" t="n">
        <x:f>G49/100-1</x:f>
        <x:v>0.00662434069881046</x:v>
      </x:c>
      <x:c r="I49" s="26" t="n">
        <x:v>5</x:v>
      </x:c>
      <x:c r="J49" s="26" t="n">
        <x:v>3</x:v>
      </x:c>
      <x:c r="K49" s="7" t="b">
        <x:v>0</x:v>
      </x:c>
      <x:c r="L49" s="2" t="str">
        <x:v>Aug 10–23, 2026</x:v>
      </x:c>
      <x:c r="M49" s="2" t="str">
        <x:v>https://www.census.gov/hfp/btos/downloads/Sector.xlsx</x:v>
      </x:c>
    </x:row>
    <x:row r="50" ht="24" customHeight="1">
      <x:c r="A50" s="2" t="str">
        <x:v>Census BTOS</x:v>
      </x:c>
      <x:c r="B50" s="2" t="str">
        <x:v>Quartiles</x:v>
      </x:c>
      <x:c r="C50" s="2" t="str">
        <x:v>Q1</x:v>
      </x:c>
      <x:c r="D50" s="2" t="str">
        <x:v>2025Q4</x:v>
      </x:c>
      <x:c r="E50" s="20" t="n">
        <x:v>42854.8666666667</x:v>
      </x:c>
      <x:c r="F50" s="20" t="n">
        <x:f>$E$6</x:f>
        <x:v>42506.2333333333</x:v>
      </x:c>
      <x:c r="G50" s="22" t="n">
        <x:f>100*E50/F50</x:f>
        <x:v>100.82019343045388</x:v>
      </x:c>
      <x:c r="H50" s="24" t="n">
        <x:f>G50/100-1</x:f>
        <x:v>0.00820193430453875</x:v>
      </x:c>
      <x:c r="I50" s="26" t="n">
        <x:v>5</x:v>
      </x:c>
      <x:c r="J50" s="26" t="n">
        <x:v>3</x:v>
      </x:c>
      <x:c r="K50" s="7" t="b">
        <x:v>0</x:v>
      </x:c>
      <x:c r="L50" s="2" t="str">
        <x:v>Aug 10–23, 2026</x:v>
      </x:c>
      <x:c r="M50" s="2" t="str">
        <x:v>https://www.census.gov/hfp/btos/downloads/Sector.xlsx</x:v>
      </x:c>
    </x:row>
    <x:row r="51" ht="24" customHeight="1">
      <x:c r="A51" s="2" t="str">
        <x:v>Census BTOS</x:v>
      </x:c>
      <x:c r="B51" s="2" t="str">
        <x:v>Quartiles</x:v>
      </x:c>
      <x:c r="C51" s="2" t="str">
        <x:v>Q2</x:v>
      </x:c>
      <x:c r="D51" s="2" t="str">
        <x:v>2025Q4</x:v>
      </x:c>
      <x:c r="E51" s="20" t="n">
        <x:v>17597.1333333333</x:v>
      </x:c>
      <x:c r="F51" s="20" t="n">
        <x:f>$E$7</x:f>
        <x:v>17032.1</x:v>
      </x:c>
      <x:c r="G51" s="22" t="n">
        <x:f>100*E51/F51</x:f>
        <x:v>103.3174613426019</x:v>
      </x:c>
      <x:c r="H51" s="24" t="n">
        <x:f>G51/100-1</x:f>
        <x:v>0.03317461342601913</x:v>
      </x:c>
      <x:c r="I51" s="26" t="n">
        <x:v>4</x:v>
      </x:c>
      <x:c r="J51" s="26" t="n">
        <x:v>3</x:v>
      </x:c>
      <x:c r="K51" s="7" t="b">
        <x:v>0</x:v>
      </x:c>
      <x:c r="L51" s="2" t="str">
        <x:v>Aug 10–23, 2026</x:v>
      </x:c>
      <x:c r="M51" s="2" t="str">
        <x:v>https://www.census.gov/hfp/btos/downloads/Sector.xlsx</x:v>
      </x:c>
    </x:row>
    <x:row r="52" ht="24" customHeight="1">
      <x:c r="A52" s="2" t="str">
        <x:v>Census BTOS</x:v>
      </x:c>
      <x:c r="B52" s="2" t="str">
        <x:v>Quartiles</x:v>
      </x:c>
      <x:c r="C52" s="2" t="str">
        <x:v>Q3</x:v>
      </x:c>
      <x:c r="D52" s="2" t="str">
        <x:v>2025Q4</x:v>
      </x:c>
      <x:c r="E52" s="20" t="n">
        <x:v>47545.7666666667</x:v>
      </x:c>
      <x:c r="F52" s="20" t="n">
        <x:f>$E$8</x:f>
        <x:v>46008.9333333333</x:v>
      </x:c>
      <x:c r="G52" s="22" t="n">
        <x:f>100*E52/F52</x:f>
        <x:v>103.34029333433811</x:v>
      </x:c>
      <x:c r="H52" s="24" t="n">
        <x:f>G52/100-1</x:f>
        <x:v>0.03340293334338118</x:v>
      </x:c>
      <x:c r="I52" s="26" t="n">
        <x:v>4</x:v>
      </x:c>
      <x:c r="J52" s="26" t="n">
        <x:v>3</x:v>
      </x:c>
      <x:c r="K52" s="7" t="b">
        <x:v>0</x:v>
      </x:c>
      <x:c r="L52" s="2" t="str">
        <x:v>Aug 10–23, 2026</x:v>
      </x:c>
      <x:c r="M52" s="2" t="str">
        <x:v>https://www.census.gov/hfp/btos/downloads/Sector.xlsx</x:v>
      </x:c>
    </x:row>
    <x:row r="53" ht="24" customHeight="1">
      <x:c r="A53" s="2" t="str">
        <x:v>Census BTOS</x:v>
      </x:c>
      <x:c r="B53" s="2" t="str">
        <x:v>Quartiles</x:v>
      </x:c>
      <x:c r="C53" s="2" t="str">
        <x:v>Q4</x:v>
      </x:c>
      <x:c r="D53" s="2" t="str">
        <x:v>2025Q4</x:v>
      </x:c>
      <x:c r="E53" s="20" t="n">
        <x:v>27027.7333333333</x:v>
      </x:c>
      <x:c r="F53" s="20" t="n">
        <x:f>$E$9</x:f>
        <x:v>26865.5666666667</x:v>
      </x:c>
      <x:c r="G53" s="22" t="n">
        <x:f>100*E53/F53</x:f>
        <x:v>100.60362272897005</x:v>
      </x:c>
      <x:c r="H53" s="24" t="n">
        <x:f>G53/100-1</x:f>
        <x:v>0.0060362272897005465</x:v>
      </x:c>
      <x:c r="I53" s="26" t="n">
        <x:v>5</x:v>
      </x:c>
      <x:c r="J53" s="26" t="n">
        <x:v>3</x:v>
      </x:c>
      <x:c r="K53" s="7" t="b">
        <x:v>0</x:v>
      </x:c>
      <x:c r="L53" s="2" t="str">
        <x:v>Aug 10–23, 2026</x:v>
      </x:c>
      <x:c r="M53" s="2" t="str">
        <x:v>https://www.census.gov/hfp/btos/downloads/Sector.xlsx</x:v>
      </x:c>
    </x:row>
    <x:row r="54" ht="24" customHeight="1">
      <x:c r="A54" s="2" t="str">
        <x:v>Census BTOS</x:v>
      </x:c>
      <x:c r="B54" s="2" t="str">
        <x:v>Quartiles</x:v>
      </x:c>
      <x:c r="C54" s="2" t="str">
        <x:v>Q1</x:v>
      </x:c>
      <x:c r="D54" s="2" t="str">
        <x:v>2026Q1</x:v>
      </x:c>
      <x:c r="E54" s="20" t="n">
        <x:v>42855.1666666667</x:v>
      </x:c>
      <x:c r="F54" s="20" t="n">
        <x:f>$E$6</x:f>
        <x:v>42506.2333333333</x:v>
      </x:c>
      <x:c r="G54" s="22" t="n">
        <x:f>100*E54/F54</x:f>
        <x:v>100.82089920929259</x:v>
      </x:c>
      <x:c r="H54" s="24" t="n">
        <x:f>G54/100-1</x:f>
        <x:v>0.008208992092925804</x:v>
      </x:c>
      <x:c r="I54" s="26" t="n">
        <x:v>5</x:v>
      </x:c>
      <x:c r="J54" s="26" t="n">
        <x:v>3</x:v>
      </x:c>
      <x:c r="K54" s="7" t="b">
        <x:v>0</x:v>
      </x:c>
      <x:c r="L54" s="2" t="str">
        <x:v>Aug 10–23, 2026</x:v>
      </x:c>
      <x:c r="M54" s="2" t="str">
        <x:v>https://www.census.gov/hfp/btos/downloads/Sector.xlsx</x:v>
      </x:c>
    </x:row>
    <x:row r="55" ht="24" customHeight="1">
      <x:c r="A55" s="2" t="str">
        <x:v>Census BTOS</x:v>
      </x:c>
      <x:c r="B55" s="2" t="str">
        <x:v>Quartiles</x:v>
      </x:c>
      <x:c r="C55" s="2" t="str">
        <x:v>Q2</x:v>
      </x:c>
      <x:c r="D55" s="2" t="str">
        <x:v>2026Q1</x:v>
      </x:c>
      <x:c r="E55" s="20" t="n">
        <x:v>17643.8666666667</x:v>
      </x:c>
      <x:c r="F55" s="20" t="n">
        <x:f>$E$7</x:f>
        <x:v>17032.1</x:v>
      </x:c>
      <x:c r="G55" s="22" t="n">
        <x:f>100*E55/F55</x:f>
        <x:v>103.591845202099</x:v>
      </x:c>
      <x:c r="H55" s="24" t="n">
        <x:f>G55/100-1</x:f>
        <x:v>0.035918452020989866</x:v>
      </x:c>
      <x:c r="I55" s="26" t="n">
        <x:v>4</x:v>
      </x:c>
      <x:c r="J55" s="26" t="n">
        <x:v>3</x:v>
      </x:c>
      <x:c r="K55" s="7" t="b">
        <x:v>0</x:v>
      </x:c>
      <x:c r="L55" s="2" t="str">
        <x:v>Aug 10–23, 2026</x:v>
      </x:c>
      <x:c r="M55" s="2" t="str">
        <x:v>https://www.census.gov/hfp/btos/downloads/Sector.xlsx</x:v>
      </x:c>
    </x:row>
    <x:row r="56" ht="24" customHeight="1">
      <x:c r="A56" s="2" t="str">
        <x:v>Census BTOS</x:v>
      </x:c>
      <x:c r="B56" s="2" t="str">
        <x:v>Quartiles</x:v>
      </x:c>
      <x:c r="C56" s="2" t="str">
        <x:v>Q3</x:v>
      </x:c>
      <x:c r="D56" s="2" t="str">
        <x:v>2026Q1</x:v>
      </x:c>
      <x:c r="E56" s="20" t="n">
        <x:v>47736.8666666667</x:v>
      </x:c>
      <x:c r="F56" s="20" t="n">
        <x:f>$E$8</x:f>
        <x:v>46008.9333333333</x:v>
      </x:c>
      <x:c r="G56" s="22" t="n">
        <x:f>100*E56/F56</x:f>
        <x:v>103.75564745397286</x:v>
      </x:c>
      <x:c r="H56" s="24" t="n">
        <x:f>G56/100-1</x:f>
        <x:v>0.037556474539728546</x:v>
      </x:c>
      <x:c r="I56" s="26" t="n">
        <x:v>4</x:v>
      </x:c>
      <x:c r="J56" s="26" t="n">
        <x:v>3</x:v>
      </x:c>
      <x:c r="K56" s="7" t="b">
        <x:v>0</x:v>
      </x:c>
      <x:c r="L56" s="2" t="str">
        <x:v>Aug 10–23, 2026</x:v>
      </x:c>
      <x:c r="M56" s="2" t="str">
        <x:v>https://www.census.gov/hfp/btos/downloads/Sector.xlsx</x:v>
      </x:c>
    </x:row>
    <x:row r="57" ht="24" customHeight="1">
      <x:c r="A57" s="2" t="str">
        <x:v>Census BTOS</x:v>
      </x:c>
      <x:c r="B57" s="2" t="str">
        <x:v>Quartiles</x:v>
      </x:c>
      <x:c r="C57" s="2" t="str">
        <x:v>Q4</x:v>
      </x:c>
      <x:c r="D57" s="2" t="str">
        <x:v>2026Q1</x:v>
      </x:c>
      <x:c r="E57" s="20" t="n">
        <x:v>26958.8666666667</x:v>
      </x:c>
      <x:c r="F57" s="20" t="n">
        <x:f>$E$9</x:f>
        <x:v>26865.5666666667</x:v>
      </x:c>
      <x:c r="G57" s="22" t="n">
        <x:f>100*E57/F57</x:f>
        <x:v>100.34728469031612</x:v>
      </x:c>
      <x:c r="H57" s="24" t="n">
        <x:f>G57/100-1</x:f>
        <x:v>0.0034728469031610754</x:v>
      </x:c>
      <x:c r="I57" s="26" t="n">
        <x:v>5</x:v>
      </x:c>
      <x:c r="J57" s="26" t="n">
        <x:v>3</x:v>
      </x:c>
      <x:c r="K57" s="7" t="b">
        <x:v>0</x:v>
      </x:c>
      <x:c r="L57" s="2" t="str">
        <x:v>Aug 10–23, 2026</x:v>
      </x:c>
      <x:c r="M57" s="2" t="str">
        <x:v>https://www.census.gov/hfp/btos/downloads/Sector.xlsx</x:v>
      </x:c>
    </x:row>
    <x:row r="58" ht="24" customHeight="1">
      <x:c r="A58" s="2" t="str">
        <x:v>Census BTOS</x:v>
      </x:c>
      <x:c r="B58" s="2" t="str">
        <x:v>Quartiles</x:v>
      </x:c>
      <x:c r="C58" s="2" t="str">
        <x:v>Q1</x:v>
      </x:c>
      <x:c r="D58" s="2" t="str">
        <x:v>2026Q2</x:v>
      </x:c>
      <x:c r="E58" s="20" t="n">
        <x:v>42958.6333333333</x:v>
      </x:c>
      <x:c r="F58" s="20" t="n">
        <x:f>$E$6</x:f>
        <x:v>42506.2333333333</x:v>
      </x:c>
      <x:c r="G58" s="22" t="n">
        <x:f>100*E58/F58</x:f>
        <x:v>101.06431448877694</x:v>
      </x:c>
      <x:c r="H58" s="24" t="n">
        <x:f>G58/100-1</x:f>
        <x:v>0.010643144887769518</x:v>
      </x:c>
      <x:c r="I58" s="26" t="n">
        <x:v>5</x:v>
      </x:c>
      <x:c r="J58" s="26" t="n">
        <x:v>3</x:v>
      </x:c>
      <x:c r="K58" s="7" t="b">
        <x:v>0</x:v>
      </x:c>
      <x:c r="L58" s="2" t="str">
        <x:v>Aug 10–23, 2026</x:v>
      </x:c>
      <x:c r="M58" s="2" t="str">
        <x:v>https://www.census.gov/hfp/btos/downloads/Sector.xlsx</x:v>
      </x:c>
    </x:row>
    <x:row r="59" ht="24" customHeight="1">
      <x:c r="A59" s="2" t="str">
        <x:v>Census BTOS</x:v>
      </x:c>
      <x:c r="B59" s="2" t="str">
        <x:v>Quartiles</x:v>
      </x:c>
      <x:c r="C59" s="2" t="str">
        <x:v>Q2</x:v>
      </x:c>
      <x:c r="D59" s="2" t="str">
        <x:v>2026Q2</x:v>
      </x:c>
      <x:c r="E59" s="20" t="n">
        <x:v>17660.1333333333</x:v>
      </x:c>
      <x:c r="F59" s="20" t="n">
        <x:f>$E$7</x:f>
        <x:v>17032.1</x:v>
      </x:c>
      <x:c r="G59" s="22" t="n">
        <x:f>100*E59/F59</x:f>
        <x:v>103.68735113892767</x:v>
      </x:c>
      <x:c r="H59" s="24" t="n">
        <x:f>G59/100-1</x:f>
        <x:v>0.036873511389276636</x:v>
      </x:c>
      <x:c r="I59" s="26" t="n">
        <x:v>4</x:v>
      </x:c>
      <x:c r="J59" s="26" t="n">
        <x:v>3</x:v>
      </x:c>
      <x:c r="K59" s="7" t="b">
        <x:v>0</x:v>
      </x:c>
      <x:c r="L59" s="2" t="str">
        <x:v>Aug 10–23, 2026</x:v>
      </x:c>
      <x:c r="M59" s="2" t="str">
        <x:v>https://www.census.gov/hfp/btos/downloads/Sector.xlsx</x:v>
      </x:c>
    </x:row>
    <x:row r="60" ht="24" customHeight="1">
      <x:c r="A60" s="2" t="str">
        <x:v>Census BTOS</x:v>
      </x:c>
      <x:c r="B60" s="2" t="str">
        <x:v>Quartiles</x:v>
      </x:c>
      <x:c r="C60" s="2" t="str">
        <x:v>Q3</x:v>
      </x:c>
      <x:c r="D60" s="2" t="str">
        <x:v>2026Q2</x:v>
      </x:c>
      <x:c r="E60" s="20" t="n">
        <x:v>47929.6333333333</x:v>
      </x:c>
      <x:c r="F60" s="20" t="n">
        <x:f>$E$8</x:f>
        <x:v>46008.9333333333</x:v>
      </x:c>
      <x:c r="G60" s="22" t="n">
        <x:f>100*E60/F60</x:f>
        <x:v>104.17462405851619</x:v>
      </x:c>
      <x:c r="H60" s="24" t="n">
        <x:f>G60/100-1</x:f>
        <x:v>0.04174624058516185</x:v>
      </x:c>
      <x:c r="I60" s="26" t="n">
        <x:v>4</x:v>
      </x:c>
      <x:c r="J60" s="26" t="n">
        <x:v>3</x:v>
      </x:c>
      <x:c r="K60" s="7" t="b">
        <x:v>0</x:v>
      </x:c>
      <x:c r="L60" s="2" t="str">
        <x:v>Aug 10–23, 2026</x:v>
      </x:c>
      <x:c r="M60" s="2" t="str">
        <x:v>https://www.census.gov/hfp/btos/downloads/Sector.xlsx</x:v>
      </x:c>
    </x:row>
    <x:row r="61" ht="24" customHeight="1">
      <x:c r="A61" s="2" t="str">
        <x:v>Census BTOS</x:v>
      </x:c>
      <x:c r="B61" s="2" t="str">
        <x:v>Quartiles</x:v>
      </x:c>
      <x:c r="C61" s="2" t="str">
        <x:v>Q4</x:v>
      </x:c>
      <x:c r="D61" s="2" t="str">
        <x:v>2026Q2</x:v>
      </x:c>
      <x:c r="E61" s="20" t="n">
        <x:v>26928.5333333333</x:v>
      </x:c>
      <x:c r="F61" s="20" t="n">
        <x:f>$E$9</x:f>
        <x:v>26865.5666666667</x:v>
      </x:c>
      <x:c r="G61" s="22" t="n">
        <x:f>100*E61/F61</x:f>
        <x:v>100.2343768417315</x:v>
      </x:c>
      <x:c r="H61" s="24" t="n">
        <x:f>G61/100-1</x:f>
        <x:v>0.0023437684173150952</x:v>
      </x:c>
      <x:c r="I61" s="26" t="n">
        <x:v>5</x:v>
      </x:c>
      <x:c r="J61" s="26" t="n">
        <x:v>3</x:v>
      </x:c>
      <x:c r="K61" s="7" t="b">
        <x:v>0</x:v>
      </x:c>
      <x:c r="L61" s="2" t="str">
        <x:v>Aug 10–23, 2026</x:v>
      </x:c>
      <x:c r="M61" s="2" t="str">
        <x:v>https://www.census.gov/hfp/btos/downloads/Sector.xlsx</x:v>
      </x:c>
    </x:row>
    <x:row r="62" ht="24" customHeight="1">
      <x:c r="A62" s="2" t="str">
        <x:v>Census BTOS</x:v>
      </x:c>
      <x:c r="B62" s="2" t="str">
        <x:v>Quintiles</x:v>
      </x:c>
      <x:c r="C62" s="2" t="str">
        <x:v>Q1</x:v>
      </x:c>
      <x:c r="D62" s="2" t="str">
        <x:v>2023Q1</x:v>
      </x:c>
      <x:c r="E62" s="20" t="n">
        <x:v>26934</x:v>
      </x:c>
      <x:c r="F62" s="20" t="n">
        <x:f>$E$62</x:f>
        <x:v>26934</x:v>
      </x:c>
      <x:c r="G62" s="22" t="n">
        <x:f>100*E62/F62</x:f>
        <x:v>100</x:v>
      </x:c>
      <x:c r="H62" s="24" t="n">
        <x:f>G62/100-1</x:f>
        <x:v>0</x:v>
      </x:c>
      <x:c r="I62" s="26" t="n">
        <x:v>4</x:v>
      </x:c>
      <x:c r="J62" s="26" t="n">
        <x:v>3</x:v>
      </x:c>
      <x:c r="K62" s="7" t="b">
        <x:v>0</x:v>
      </x:c>
      <x:c r="L62" s="2" t="str">
        <x:v>Aug 10–23, 2026</x:v>
      </x:c>
      <x:c r="M62" s="2" t="str">
        <x:v>https://www.census.gov/hfp/btos/downloads/Sector.xlsx</x:v>
      </x:c>
    </x:row>
    <x:row r="63" ht="24" customHeight="1">
      <x:c r="A63" s="2" t="str">
        <x:v>Census BTOS</x:v>
      </x:c>
      <x:c r="B63" s="2" t="str">
        <x:v>Quintiles</x:v>
      </x:c>
      <x:c r="C63" s="2" t="str">
        <x:v>Q2</x:v>
      </x:c>
      <x:c r="D63" s="2" t="str">
        <x:v>2023Q1</x:v>
      </x:c>
      <x:c r="E63" s="20" t="n">
        <x:v>24074.9666666667</x:v>
      </x:c>
      <x:c r="F63" s="20" t="n">
        <x:f>$E$63</x:f>
        <x:v>24074.9666666667</x:v>
      </x:c>
      <x:c r="G63" s="22" t="n">
        <x:f>100*E63/F63</x:f>
        <x:v>99.99999999999999</x:v>
      </x:c>
      <x:c r="H63" s="24" t="n">
        <x:f>G63/100-1</x:f>
        <x:v>-1.1102230246251565e-16</x:v>
      </x:c>
      <x:c r="I63" s="26" t="n">
        <x:v>3</x:v>
      </x:c>
      <x:c r="J63" s="26" t="n">
        <x:v>3</x:v>
      </x:c>
      <x:c r="K63" s="7" t="b">
        <x:v>0</x:v>
      </x:c>
      <x:c r="L63" s="2" t="str">
        <x:v>Aug 10–23, 2026</x:v>
      </x:c>
      <x:c r="M63" s="2" t="str">
        <x:v>https://www.census.gov/hfp/btos/downloads/Sector.xlsx</x:v>
      </x:c>
    </x:row>
    <x:row r="64" ht="24" customHeight="1">
      <x:c r="A64" s="2" t="str">
        <x:v>Census BTOS</x:v>
      </x:c>
      <x:c r="B64" s="2" t="str">
        <x:v>Quintiles</x:v>
      </x:c>
      <x:c r="C64" s="2" t="str">
        <x:v>Q3</x:v>
      </x:c>
      <x:c r="D64" s="2" t="str">
        <x:v>2023Q1</x:v>
      </x:c>
      <x:c r="E64" s="20" t="n">
        <x:v>30928.5333333333</x:v>
      </x:c>
      <x:c r="F64" s="20" t="n">
        <x:f>$E$64</x:f>
        <x:v>30928.5333333333</x:v>
      </x:c>
      <x:c r="G64" s="22" t="n">
        <x:f>100*E64/F64</x:f>
        <x:v>100</x:v>
      </x:c>
      <x:c r="H64" s="24" t="n">
        <x:f>G64/100-1</x:f>
        <x:v>0</x:v>
      </x:c>
      <x:c r="I64" s="26" t="n">
        <x:v>4</x:v>
      </x:c>
      <x:c r="J64" s="26" t="n">
        <x:v>3</x:v>
      </x:c>
      <x:c r="K64" s="7" t="b">
        <x:v>0</x:v>
      </x:c>
      <x:c r="L64" s="2" t="str">
        <x:v>Aug 10–23, 2026</x:v>
      </x:c>
      <x:c r="M64" s="2" t="str">
        <x:v>https://www.census.gov/hfp/btos/downloads/Sector.xlsx</x:v>
      </x:c>
    </x:row>
    <x:row r="65" ht="24" customHeight="1">
      <x:c r="A65" s="2" t="str">
        <x:v>Census BTOS</x:v>
      </x:c>
      <x:c r="B65" s="2" t="str">
        <x:v>Quintiles</x:v>
      </x:c>
      <x:c r="C65" s="2" t="str">
        <x:v>Q4</x:v>
      </x:c>
      <x:c r="D65" s="2" t="str">
        <x:v>2023Q1</x:v>
      </x:c>
      <x:c r="E65" s="20" t="n">
        <x:v>26207.6666666667</x:v>
      </x:c>
      <x:c r="F65" s="20" t="n">
        <x:f>$E$65</x:f>
        <x:v>26207.6666666667</x:v>
      </x:c>
      <x:c r="G65" s="22" t="n">
        <x:f>100*E65/F65</x:f>
        <x:v>100</x:v>
      </x:c>
      <x:c r="H65" s="24" t="n">
        <x:f>G65/100-1</x:f>
        <x:v>0</x:v>
      </x:c>
      <x:c r="I65" s="26" t="n">
        <x:v>3</x:v>
      </x:c>
      <x:c r="J65" s="26" t="n">
        <x:v>3</x:v>
      </x:c>
      <x:c r="K65" s="7" t="b">
        <x:v>0</x:v>
      </x:c>
      <x:c r="L65" s="2" t="str">
        <x:v>Aug 10–23, 2026</x:v>
      </x:c>
      <x:c r="M65" s="2" t="str">
        <x:v>https://www.census.gov/hfp/btos/downloads/Sector.xlsx</x:v>
      </x:c>
    </x:row>
    <x:row r="66" ht="24" customHeight="1">
      <x:c r="A66" s="2" t="str">
        <x:v>Census BTOS</x:v>
      </x:c>
      <x:c r="B66" s="2" t="str">
        <x:v>Quintiles</x:v>
      </x:c>
      <x:c r="C66" s="2" t="str">
        <x:v>Q5</x:v>
      </x:c>
      <x:c r="D66" s="2" t="str">
        <x:v>2023Q1</x:v>
      </x:c>
      <x:c r="E66" s="20" t="n">
        <x:v>24267.6666666667</x:v>
      </x:c>
      <x:c r="F66" s="20" t="n">
        <x:f>$E$66</x:f>
        <x:v>24267.6666666667</x:v>
      </x:c>
      <x:c r="G66" s="22" t="n">
        <x:f>100*E66/F66</x:f>
        <x:v>100.00000000000001</x:v>
      </x:c>
      <x:c r="H66" s="24" t="n">
        <x:f>G66/100-1</x:f>
        <x:v>2.220446049250313e-16</x:v>
      </x:c>
      <x:c r="I66" s="26" t="n">
        <x:v>4</x:v>
      </x:c>
      <x:c r="J66" s="26" t="n">
        <x:v>3</x:v>
      </x:c>
      <x:c r="K66" s="7" t="b">
        <x:v>0</x:v>
      </x:c>
      <x:c r="L66" s="2" t="str">
        <x:v>Aug 10–23, 2026</x:v>
      </x:c>
      <x:c r="M66" s="2" t="str">
        <x:v>https://www.census.gov/hfp/btos/downloads/Sector.xlsx</x:v>
      </x:c>
    </x:row>
    <x:row r="67" ht="24" customHeight="1">
      <x:c r="A67" s="2" t="str">
        <x:v>Census BTOS</x:v>
      </x:c>
      <x:c r="B67" s="2" t="str">
        <x:v>Quintiles</x:v>
      </x:c>
      <x:c r="C67" s="2" t="str">
        <x:v>Q1</x:v>
      </x:c>
      <x:c r="D67" s="2" t="str">
        <x:v>2023Q2</x:v>
      </x:c>
      <x:c r="E67" s="20" t="n">
        <x:v>27031.6666666667</x:v>
      </x:c>
      <x:c r="F67" s="20" t="n">
        <x:f>$E$62</x:f>
        <x:v>26934</x:v>
      </x:c>
      <x:c r="G67" s="22" t="n">
        <x:f>100*E67/F67</x:f>
        <x:v>100.36261478676283</x:v>
      </x:c>
      <x:c r="H67" s="24" t="n">
        <x:f>G67/100-1</x:f>
        <x:v>0.003626147867628271</x:v>
      </x:c>
      <x:c r="I67" s="26" t="n">
        <x:v>4</x:v>
      </x:c>
      <x:c r="J67" s="26" t="n">
        <x:v>3</x:v>
      </x:c>
      <x:c r="K67" s="7" t="b">
        <x:v>0</x:v>
      </x:c>
      <x:c r="L67" s="2" t="str">
        <x:v>Aug 10–23, 2026</x:v>
      </x:c>
      <x:c r="M67" s="2" t="str">
        <x:v>https://www.census.gov/hfp/btos/downloads/Sector.xlsx</x:v>
      </x:c>
    </x:row>
    <x:row r="68" ht="24" customHeight="1">
      <x:c r="A68" s="2" t="str">
        <x:v>Census BTOS</x:v>
      </x:c>
      <x:c r="B68" s="2" t="str">
        <x:v>Quintiles</x:v>
      </x:c>
      <x:c r="C68" s="2" t="str">
        <x:v>Q2</x:v>
      </x:c>
      <x:c r="D68" s="2" t="str">
        <x:v>2023Q2</x:v>
      </x:c>
      <x:c r="E68" s="20" t="n">
        <x:v>24098.5666666667</x:v>
      </x:c>
      <x:c r="F68" s="20" t="n">
        <x:f>$E$63</x:f>
        <x:v>24074.9666666667</x:v>
      </x:c>
      <x:c r="G68" s="22" t="n">
        <x:f>100*E68/F68</x:f>
        <x:v>100.09802713468623</x:v>
      </x:c>
      <x:c r="H68" s="24" t="n">
        <x:f>G68/100-1</x:f>
        <x:v>0.0009802713468622937</x:v>
      </x:c>
      <x:c r="I68" s="26" t="n">
        <x:v>3</x:v>
      </x:c>
      <x:c r="J68" s="26" t="n">
        <x:v>3</x:v>
      </x:c>
      <x:c r="K68" s="7" t="b">
        <x:v>0</x:v>
      </x:c>
      <x:c r="L68" s="2" t="str">
        <x:v>Aug 10–23, 2026</x:v>
      </x:c>
      <x:c r="M68" s="2" t="str">
        <x:v>https://www.census.gov/hfp/btos/downloads/Sector.xlsx</x:v>
      </x:c>
    </x:row>
    <x:row r="69" ht="24" customHeight="1">
      <x:c r="A69" s="2" t="str">
        <x:v>Census BTOS</x:v>
      </x:c>
      <x:c r="B69" s="2" t="str">
        <x:v>Quintiles</x:v>
      </x:c>
      <x:c r="C69" s="2" t="str">
        <x:v>Q3</x:v>
      </x:c>
      <x:c r="D69" s="2" t="str">
        <x:v>2023Q2</x:v>
      </x:c>
      <x:c r="E69" s="20" t="n">
        <x:v>30937.3666666667</x:v>
      </x:c>
      <x:c r="F69" s="20" t="n">
        <x:f>$E$64</x:f>
        <x:v>30928.5333333333</x:v>
      </x:c>
      <x:c r="G69" s="22" t="n">
        <x:f>100*E69/F69</x:f>
        <x:v>100.02856046627947</x:v>
      </x:c>
      <x:c r="H69" s="24" t="n">
        <x:f>G69/100-1</x:f>
        <x:v>0.0002856046627948139</x:v>
      </x:c>
      <x:c r="I69" s="26" t="n">
        <x:v>4</x:v>
      </x:c>
      <x:c r="J69" s="26" t="n">
        <x:v>3</x:v>
      </x:c>
      <x:c r="K69" s="7" t="b">
        <x:v>0</x:v>
      </x:c>
      <x:c r="L69" s="2" t="str">
        <x:v>Aug 10–23, 2026</x:v>
      </x:c>
      <x:c r="M69" s="2" t="str">
        <x:v>https://www.census.gov/hfp/btos/downloads/Sector.xlsx</x:v>
      </x:c>
    </x:row>
    <x:row r="70" ht="24" customHeight="1">
      <x:c r="A70" s="2" t="str">
        <x:v>Census BTOS</x:v>
      </x:c>
      <x:c r="B70" s="2" t="str">
        <x:v>Quintiles</x:v>
      </x:c>
      <x:c r="C70" s="2" t="str">
        <x:v>Q4</x:v>
      </x:c>
      <x:c r="D70" s="2" t="str">
        <x:v>2023Q2</x:v>
      </x:c>
      <x:c r="E70" s="20" t="n">
        <x:v>26447.2333333333</x:v>
      </x:c>
      <x:c r="F70" s="20" t="n">
        <x:f>$E$65</x:f>
        <x:v>26207.6666666667</x:v>
      </x:c>
      <x:c r="G70" s="22" t="n">
        <x:f>100*E70/F70</x:f>
        <x:v>100.914109102934</x:v>
      </x:c>
      <x:c r="H70" s="24" t="n">
        <x:f>G70/100-1</x:f>
        <x:v>0.009141091029340132</x:v>
      </x:c>
      <x:c r="I70" s="26" t="n">
        <x:v>3</x:v>
      </x:c>
      <x:c r="J70" s="26" t="n">
        <x:v>3</x:v>
      </x:c>
      <x:c r="K70" s="7" t="b">
        <x:v>0</x:v>
      </x:c>
      <x:c r="L70" s="2" t="str">
        <x:v>Aug 10–23, 2026</x:v>
      </x:c>
      <x:c r="M70" s="2" t="str">
        <x:v>https://www.census.gov/hfp/btos/downloads/Sector.xlsx</x:v>
      </x:c>
    </x:row>
    <x:row r="71" ht="24" customHeight="1">
      <x:c r="A71" s="2" t="str">
        <x:v>Census BTOS</x:v>
      </x:c>
      <x:c r="B71" s="2" t="str">
        <x:v>Quintiles</x:v>
      </x:c>
      <x:c r="C71" s="2" t="str">
        <x:v>Q5</x:v>
      </x:c>
      <x:c r="D71" s="2" t="str">
        <x:v>2023Q2</x:v>
      </x:c>
      <x:c r="E71" s="20" t="n">
        <x:v>24357.5666666667</x:v>
      </x:c>
      <x:c r="F71" s="20" t="n">
        <x:f>$E$66</x:f>
        <x:v>24267.6666666667</x:v>
      </x:c>
      <x:c r="G71" s="22" t="n">
        <x:f>100*E71/F71</x:f>
        <x:v>100.37045176709749</x:v>
      </x:c>
      <x:c r="H71" s="24" t="n">
        <x:f>G71/100-1</x:f>
        <x:v>0.003704517670974905</x:v>
      </x:c>
      <x:c r="I71" s="26" t="n">
        <x:v>4</x:v>
      </x:c>
      <x:c r="J71" s="26" t="n">
        <x:v>3</x:v>
      </x:c>
      <x:c r="K71" s="7" t="b">
        <x:v>0</x:v>
      </x:c>
      <x:c r="L71" s="2" t="str">
        <x:v>Aug 10–23, 2026</x:v>
      </x:c>
      <x:c r="M71" s="2" t="str">
        <x:v>https://www.census.gov/hfp/btos/downloads/Sector.xlsx</x:v>
      </x:c>
    </x:row>
    <x:row r="72" ht="24" customHeight="1">
      <x:c r="A72" s="2" t="str">
        <x:v>Census BTOS</x:v>
      </x:c>
      <x:c r="B72" s="2" t="str">
        <x:v>Quintiles</x:v>
      </x:c>
      <x:c r="C72" s="2" t="str">
        <x:v>Q1</x:v>
      </x:c>
      <x:c r="D72" s="2" t="str">
        <x:v>2023Q3</x:v>
      </x:c>
      <x:c r="E72" s="20" t="n">
        <x:v>27167.7333333333</x:v>
      </x:c>
      <x:c r="F72" s="20" t="n">
        <x:f>$E$62</x:f>
        <x:v>26934</x:v>
      </x:c>
      <x:c r="G72" s="22" t="n">
        <x:f>100*E72/F72</x:f>
        <x:v>100.86780030197261</x:v>
      </x:c>
      <x:c r="H72" s="24" t="n">
        <x:f>G72/100-1</x:f>
        <x:v>0.008678003019725988</x:v>
      </x:c>
      <x:c r="I72" s="26" t="n">
        <x:v>4</x:v>
      </x:c>
      <x:c r="J72" s="26" t="n">
        <x:v>3</x:v>
      </x:c>
      <x:c r="K72" s="7" t="b">
        <x:v>0</x:v>
      </x:c>
      <x:c r="L72" s="2" t="str">
        <x:v>Aug 10–23, 2026</x:v>
      </x:c>
      <x:c r="M72" s="2" t="str">
        <x:v>https://www.census.gov/hfp/btos/downloads/Sector.xlsx</x:v>
      </x:c>
    </x:row>
    <x:row r="73" ht="24" customHeight="1">
      <x:c r="A73" s="2" t="str">
        <x:v>Census BTOS</x:v>
      </x:c>
      <x:c r="B73" s="2" t="str">
        <x:v>Quintiles</x:v>
      </x:c>
      <x:c r="C73" s="2" t="str">
        <x:v>Q2</x:v>
      </x:c>
      <x:c r="D73" s="2" t="str">
        <x:v>2023Q3</x:v>
      </x:c>
      <x:c r="E73" s="20" t="n">
        <x:v>24147.8666666667</x:v>
      </x:c>
      <x:c r="F73" s="20" t="n">
        <x:f>$E$63</x:f>
        <x:v>24074.9666666667</x:v>
      </x:c>
      <x:c r="G73" s="22" t="n">
        <x:f>100*E73/F73</x:f>
        <x:v>100.30280415756894</x:v>
      </x:c>
      <x:c r="H73" s="24" t="n">
        <x:f>G73/100-1</x:f>
        <x:v>0.0030280415756893664</x:v>
      </x:c>
      <x:c r="I73" s="26" t="n">
        <x:v>3</x:v>
      </x:c>
      <x:c r="J73" s="26" t="n">
        <x:v>3</x:v>
      </x:c>
      <x:c r="K73" s="7" t="b">
        <x:v>0</x:v>
      </x:c>
      <x:c r="L73" s="2" t="str">
        <x:v>Aug 10–23, 2026</x:v>
      </x:c>
      <x:c r="M73" s="2" t="str">
        <x:v>https://www.census.gov/hfp/btos/downloads/Sector.xlsx</x:v>
      </x:c>
    </x:row>
    <x:row r="74" ht="24" customHeight="1">
      <x:c r="A74" s="2" t="str">
        <x:v>Census BTOS</x:v>
      </x:c>
      <x:c r="B74" s="2" t="str">
        <x:v>Quintiles</x:v>
      </x:c>
      <x:c r="C74" s="2" t="str">
        <x:v>Q3</x:v>
      </x:c>
      <x:c r="D74" s="2" t="str">
        <x:v>2023Q3</x:v>
      </x:c>
      <x:c r="E74" s="20" t="n">
        <x:v>30866.8666666667</x:v>
      </x:c>
      <x:c r="F74" s="20" t="n">
        <x:f>$E$64</x:f>
        <x:v>30928.5333333333</x:v>
      </x:c>
      <x:c r="G74" s="22" t="n">
        <x:f>100*E74/F74</x:f>
        <x:v>99.80061561276771</x:v>
      </x:c>
      <x:c r="H74" s="24" t="n">
        <x:f>G74/100-1</x:f>
        <x:v>-0.0019938438723228202</x:v>
      </x:c>
      <x:c r="I74" s="26" t="n">
        <x:v>4</x:v>
      </x:c>
      <x:c r="J74" s="26" t="n">
        <x:v>3</x:v>
      </x:c>
      <x:c r="K74" s="7" t="b">
        <x:v>0</x:v>
      </x:c>
      <x:c r="L74" s="2" t="str">
        <x:v>Aug 10–23, 2026</x:v>
      </x:c>
      <x:c r="M74" s="2" t="str">
        <x:v>https://www.census.gov/hfp/btos/downloads/Sector.xlsx</x:v>
      </x:c>
    </x:row>
    <x:row r="75" ht="24" customHeight="1">
      <x:c r="A75" s="2" t="str">
        <x:v>Census BTOS</x:v>
      </x:c>
      <x:c r="B75" s="2" t="str">
        <x:v>Quintiles</x:v>
      </x:c>
      <x:c r="C75" s="2" t="str">
        <x:v>Q4</x:v>
      </x:c>
      <x:c r="D75" s="2" t="str">
        <x:v>2023Q3</x:v>
      </x:c>
      <x:c r="E75" s="20" t="n">
        <x:v>26747.4</x:v>
      </x:c>
      <x:c r="F75" s="20" t="n">
        <x:f>$E$65</x:f>
        <x:v>26207.6666666667</x:v>
      </x:c>
      <x:c r="G75" s="22" t="n">
        <x:f>100*E75/F75</x:f>
        <x:v>102.05944825305559</x:v>
      </x:c>
      <x:c r="H75" s="24" t="n">
        <x:f>G75/100-1</x:f>
        <x:v>0.020594482530555958</x:v>
      </x:c>
      <x:c r="I75" s="26" t="n">
        <x:v>3</x:v>
      </x:c>
      <x:c r="J75" s="26" t="n">
        <x:v>3</x:v>
      </x:c>
      <x:c r="K75" s="7" t="b">
        <x:v>0</x:v>
      </x:c>
      <x:c r="L75" s="2" t="str">
        <x:v>Aug 10–23, 2026</x:v>
      </x:c>
      <x:c r="M75" s="2" t="str">
        <x:v>https://www.census.gov/hfp/btos/downloads/Sector.xlsx</x:v>
      </x:c>
    </x:row>
    <x:row r="76" ht="24" customHeight="1">
      <x:c r="A76" s="2" t="str">
        <x:v>Census BTOS</x:v>
      </x:c>
      <x:c r="B76" s="2" t="str">
        <x:v>Quintiles</x:v>
      </x:c>
      <x:c r="C76" s="2" t="str">
        <x:v>Q5</x:v>
      </x:c>
      <x:c r="D76" s="2" t="str">
        <x:v>2023Q3</x:v>
      </x:c>
      <x:c r="E76" s="20" t="n">
        <x:v>24367.0333333333</x:v>
      </x:c>
      <x:c r="F76" s="20" t="n">
        <x:f>$E$66</x:f>
        <x:v>24267.6666666667</x:v>
      </x:c>
      <x:c r="G76" s="22" t="n">
        <x:f>100*E76/F76</x:f>
        <x:v>100.40946114857877</x:v>
      </x:c>
      <x:c r="H76" s="24" t="n">
        <x:f>G76/100-1</x:f>
        <x:v>0.004094611485787603</x:v>
      </x:c>
      <x:c r="I76" s="26" t="n">
        <x:v>4</x:v>
      </x:c>
      <x:c r="J76" s="26" t="n">
        <x:v>3</x:v>
      </x:c>
      <x:c r="K76" s="7" t="b">
        <x:v>0</x:v>
      </x:c>
      <x:c r="L76" s="2" t="str">
        <x:v>Aug 10–23, 2026</x:v>
      </x:c>
      <x:c r="M76" s="2" t="str">
        <x:v>https://www.census.gov/hfp/btos/downloads/Sector.xlsx</x:v>
      </x:c>
    </x:row>
    <x:row r="77" ht="24" customHeight="1">
      <x:c r="A77" s="2" t="str">
        <x:v>Census BTOS</x:v>
      </x:c>
      <x:c r="B77" s="2" t="str">
        <x:v>Quintiles</x:v>
      </x:c>
      <x:c r="C77" s="2" t="str">
        <x:v>Q1</x:v>
      </x:c>
      <x:c r="D77" s="2" t="str">
        <x:v>2023Q4</x:v>
      </x:c>
      <x:c r="E77" s="20" t="n">
        <x:v>27225.0666666667</x:v>
      </x:c>
      <x:c r="F77" s="20" t="n">
        <x:f>$E$62</x:f>
        <x:v>26934</x:v>
      </x:c>
      <x:c r="G77" s="22" t="n">
        <x:f>100*E77/F77</x:f>
        <x:v>101.08066632014071</x:v>
      </x:c>
      <x:c r="H77" s="24" t="n">
        <x:f>G77/100-1</x:f>
        <x:v>0.010806663201406996</x:v>
      </x:c>
      <x:c r="I77" s="26" t="n">
        <x:v>4</x:v>
      </x:c>
      <x:c r="J77" s="26" t="n">
        <x:v>3</x:v>
      </x:c>
      <x:c r="K77" s="7" t="b">
        <x:v>0</x:v>
      </x:c>
      <x:c r="L77" s="2" t="str">
        <x:v>Aug 10–23, 2026</x:v>
      </x:c>
      <x:c r="M77" s="2" t="str">
        <x:v>https://www.census.gov/hfp/btos/downloads/Sector.xlsx</x:v>
      </x:c>
    </x:row>
    <x:row r="78" ht="24" customHeight="1">
      <x:c r="A78" s="2" t="str">
        <x:v>Census BTOS</x:v>
      </x:c>
      <x:c r="B78" s="2" t="str">
        <x:v>Quintiles</x:v>
      </x:c>
      <x:c r="C78" s="2" t="str">
        <x:v>Q2</x:v>
      </x:c>
      <x:c r="D78" s="2" t="str">
        <x:v>2023Q4</x:v>
      </x:c>
      <x:c r="E78" s="20" t="n">
        <x:v>24207.5333333333</x:v>
      </x:c>
      <x:c r="F78" s="20" t="n">
        <x:f>$E$63</x:f>
        <x:v>24074.9666666667</x:v>
      </x:c>
      <x:c r="G78" s="22" t="n">
        <x:f>100*E78/F78</x:f>
        <x:v>100.55064112238273</x:v>
      </x:c>
      <x:c r="H78" s="24" t="n">
        <x:f>G78/100-1</x:f>
        <x:v>0.005506411223827223</x:v>
      </x:c>
      <x:c r="I78" s="26" t="n">
        <x:v>3</x:v>
      </x:c>
      <x:c r="J78" s="26" t="n">
        <x:v>3</x:v>
      </x:c>
      <x:c r="K78" s="7" t="b">
        <x:v>0</x:v>
      </x:c>
      <x:c r="L78" s="2" t="str">
        <x:v>Aug 10–23, 2026</x:v>
      </x:c>
      <x:c r="M78" s="2" t="str">
        <x:v>https://www.census.gov/hfp/btos/downloads/Sector.xlsx</x:v>
      </x:c>
    </x:row>
    <x:row r="79" ht="24" customHeight="1">
      <x:c r="A79" s="2" t="str">
        <x:v>Census BTOS</x:v>
      </x:c>
      <x:c r="B79" s="2" t="str">
        <x:v>Quintiles</x:v>
      </x:c>
      <x:c r="C79" s="2" t="str">
        <x:v>Q3</x:v>
      </x:c>
      <x:c r="D79" s="2" t="str">
        <x:v>2023Q4</x:v>
      </x:c>
      <x:c r="E79" s="20" t="n">
        <x:v>30818.0333333333</x:v>
      </x:c>
      <x:c r="F79" s="20" t="n">
        <x:f>$E$64</x:f>
        <x:v>30928.5333333333</x:v>
      </x:c>
      <x:c r="G79" s="22" t="n">
        <x:f>100*E79/F79</x:f>
        <x:v>99.64272473314826</x:v>
      </x:c>
      <x:c r="H79" s="24" t="n">
        <x:f>G79/100-1</x:f>
        <x:v>-0.0035727526685174205</x:v>
      </x:c>
      <x:c r="I79" s="26" t="n">
        <x:v>4</x:v>
      </x:c>
      <x:c r="J79" s="26" t="n">
        <x:v>3</x:v>
      </x:c>
      <x:c r="K79" s="7" t="b">
        <x:v>0</x:v>
      </x:c>
      <x:c r="L79" s="2" t="str">
        <x:v>Aug 10–23, 2026</x:v>
      </x:c>
      <x:c r="M79" s="2" t="str">
        <x:v>https://www.census.gov/hfp/btos/downloads/Sector.xlsx</x:v>
      </x:c>
    </x:row>
    <x:row r="80" ht="24" customHeight="1">
      <x:c r="A80" s="2" t="str">
        <x:v>Census BTOS</x:v>
      </x:c>
      <x:c r="B80" s="2" t="str">
        <x:v>Quintiles</x:v>
      </x:c>
      <x:c r="C80" s="2" t="str">
        <x:v>Q4</x:v>
      </x:c>
      <x:c r="D80" s="2" t="str">
        <x:v>2023Q4</x:v>
      </x:c>
      <x:c r="E80" s="20" t="n">
        <x:v>27018.6</x:v>
      </x:c>
      <x:c r="F80" s="20" t="n">
        <x:f>$E$65</x:f>
        <x:v>26207.6666666667</x:v>
      </x:c>
      <x:c r="G80" s="22" t="n">
        <x:f>100*E80/F80</x:f>
        <x:v>103.09425994937855</x:v>
      </x:c>
      <x:c r="H80" s="24" t="n">
        <x:f>G80/100-1</x:f>
        <x:v>0.030942599493785528</x:v>
      </x:c>
      <x:c r="I80" s="26" t="n">
        <x:v>3</x:v>
      </x:c>
      <x:c r="J80" s="26" t="n">
        <x:v>3</x:v>
      </x:c>
      <x:c r="K80" s="7" t="b">
        <x:v>0</x:v>
      </x:c>
      <x:c r="L80" s="2" t="str">
        <x:v>Aug 10–23, 2026</x:v>
      </x:c>
      <x:c r="M80" s="2" t="str">
        <x:v>https://www.census.gov/hfp/btos/downloads/Sector.xlsx</x:v>
      </x:c>
    </x:row>
    <x:row r="81" ht="24" customHeight="1">
      <x:c r="A81" s="2" t="str">
        <x:v>Census BTOS</x:v>
      </x:c>
      <x:c r="B81" s="2" t="str">
        <x:v>Quintiles</x:v>
      </x:c>
      <x:c r="C81" s="2" t="str">
        <x:v>Q5</x:v>
      </x:c>
      <x:c r="D81" s="2" t="str">
        <x:v>2023Q4</x:v>
      </x:c>
      <x:c r="E81" s="20" t="n">
        <x:v>24358.1333333333</x:v>
      </x:c>
      <x:c r="F81" s="20" t="n">
        <x:f>$E$66</x:f>
        <x:v>24267.6666666667</x:v>
      </x:c>
      <x:c r="G81" s="22" t="n">
        <x:f>100*E81/F81</x:f>
        <x:v>100.37278683570703</x:v>
      </x:c>
      <x:c r="H81" s="24" t="n">
        <x:f>G81/100-1</x:f>
        <x:v>0.0037278683570702853</x:v>
      </x:c>
      <x:c r="I81" s="26" t="n">
        <x:v>4</x:v>
      </x:c>
      <x:c r="J81" s="26" t="n">
        <x:v>3</x:v>
      </x:c>
      <x:c r="K81" s="7" t="b">
        <x:v>0</x:v>
      </x:c>
      <x:c r="L81" s="2" t="str">
        <x:v>Aug 10–23, 2026</x:v>
      </x:c>
      <x:c r="M81" s="2" t="str">
        <x:v>https://www.census.gov/hfp/btos/downloads/Sector.xlsx</x:v>
      </x:c>
    </x:row>
    <x:row r="82" ht="24" customHeight="1">
      <x:c r="A82" s="2" t="str">
        <x:v>Census BTOS</x:v>
      </x:c>
      <x:c r="B82" s="2" t="str">
        <x:v>Quintiles</x:v>
      </x:c>
      <x:c r="C82" s="2" t="str">
        <x:v>Q1</x:v>
      </x:c>
      <x:c r="D82" s="2" t="str">
        <x:v>2024Q1</x:v>
      </x:c>
      <x:c r="E82" s="20" t="n">
        <x:v>27264.4</x:v>
      </x:c>
      <x:c r="F82" s="20" t="n">
        <x:f>$E$62</x:f>
        <x:v>26934</x:v>
      </x:c>
      <x:c r="G82" s="22" t="n">
        <x:f>100*E82/F82</x:f>
        <x:v>101.22670230934878</x:v>
      </x:c>
      <x:c r="H82" s="24" t="n">
        <x:f>G82/100-1</x:f>
        <x:v>0.012267023093487817</x:v>
      </x:c>
      <x:c r="I82" s="26" t="n">
        <x:v>4</x:v>
      </x:c>
      <x:c r="J82" s="26" t="n">
        <x:v>3</x:v>
      </x:c>
      <x:c r="K82" s="7" t="b">
        <x:v>0</x:v>
      </x:c>
      <x:c r="L82" s="2" t="str">
        <x:v>Aug 10–23, 2026</x:v>
      </x:c>
      <x:c r="M82" s="2" t="str">
        <x:v>https://www.census.gov/hfp/btos/downloads/Sector.xlsx</x:v>
      </x:c>
    </x:row>
    <x:row r="83" ht="24" customHeight="1">
      <x:c r="A83" s="2" t="str">
        <x:v>Census BTOS</x:v>
      </x:c>
      <x:c r="B83" s="2" t="str">
        <x:v>Quintiles</x:v>
      </x:c>
      <x:c r="C83" s="2" t="str">
        <x:v>Q2</x:v>
      </x:c>
      <x:c r="D83" s="2" t="str">
        <x:v>2024Q1</x:v>
      </x:c>
      <x:c r="E83" s="20" t="n">
        <x:v>24255.3</x:v>
      </x:c>
      <x:c r="F83" s="20" t="n">
        <x:f>$E$63</x:f>
        <x:v>24074.9666666667</x:v>
      </x:c>
      <x:c r="G83" s="22" t="n">
        <x:f>100*E83/F83</x:f>
        <x:v>100.74904915063904</x:v>
      </x:c>
      <x:c r="H83" s="24" t="n">
        <x:f>G83/100-1</x:f>
        <x:v>0.007490491506390473</x:v>
      </x:c>
      <x:c r="I83" s="26" t="n">
        <x:v>3</x:v>
      </x:c>
      <x:c r="J83" s="26" t="n">
        <x:v>3</x:v>
      </x:c>
      <x:c r="K83" s="7" t="b">
        <x:v>0</x:v>
      </x:c>
      <x:c r="L83" s="2" t="str">
        <x:v>Aug 10–23, 2026</x:v>
      </x:c>
      <x:c r="M83" s="2" t="str">
        <x:v>https://www.census.gov/hfp/btos/downloads/Sector.xlsx</x:v>
      </x:c>
    </x:row>
    <x:row r="84" ht="24" customHeight="1">
      <x:c r="A84" s="2" t="str">
        <x:v>Census BTOS</x:v>
      </x:c>
      <x:c r="B84" s="2" t="str">
        <x:v>Quintiles</x:v>
      </x:c>
      <x:c r="C84" s="2" t="str">
        <x:v>Q3</x:v>
      </x:c>
      <x:c r="D84" s="2" t="str">
        <x:v>2024Q1</x:v>
      </x:c>
      <x:c r="E84" s="20" t="n">
        <x:v>30805.7</x:v>
      </x:c>
      <x:c r="F84" s="20" t="n">
        <x:f>$E$64</x:f>
        <x:v>30928.5333333333</x:v>
      </x:c>
      <x:c r="G84" s="22" t="n">
        <x:f>100*E84/F84</x:f>
        <x:v>99.60284785570185</x:v>
      </x:c>
      <x:c r="H84" s="24" t="n">
        <x:f>G84/100-1</x:f>
        <x:v>-0.003971521442981518</x:v>
      </x:c>
      <x:c r="I84" s="26" t="n">
        <x:v>4</x:v>
      </x:c>
      <x:c r="J84" s="26" t="n">
        <x:v>3</x:v>
      </x:c>
      <x:c r="K84" s="7" t="b">
        <x:v>0</x:v>
      </x:c>
      <x:c r="L84" s="2" t="str">
        <x:v>Aug 10–23, 2026</x:v>
      </x:c>
      <x:c r="M84" s="2" t="str">
        <x:v>https://www.census.gov/hfp/btos/downloads/Sector.xlsx</x:v>
      </x:c>
    </x:row>
    <x:row r="85" ht="24" customHeight="1">
      <x:c r="A85" s="2" t="str">
        <x:v>Census BTOS</x:v>
      </x:c>
      <x:c r="B85" s="2" t="str">
        <x:v>Quintiles</x:v>
      </x:c>
      <x:c r="C85" s="2" t="str">
        <x:v>Q4</x:v>
      </x:c>
      <x:c r="D85" s="2" t="str">
        <x:v>2024Q1</x:v>
      </x:c>
      <x:c r="E85" s="20" t="n">
        <x:v>27269.9333333333</x:v>
      </x:c>
      <x:c r="F85" s="20" t="n">
        <x:f>$E$65</x:f>
        <x:v>26207.6666666667</x:v>
      </x:c>
      <x:c r="G85" s="22" t="n">
        <x:f>100*E85/F85</x:f>
        <x:v>104.05326685575443</x:v>
      </x:c>
      <x:c r="H85" s="24" t="n">
        <x:f>G85/100-1</x:f>
        <x:v>0.04053266855754423</x:v>
      </x:c>
      <x:c r="I85" s="26" t="n">
        <x:v>3</x:v>
      </x:c>
      <x:c r="J85" s="26" t="n">
        <x:v>3</x:v>
      </x:c>
      <x:c r="K85" s="7" t="b">
        <x:v>0</x:v>
      </x:c>
      <x:c r="L85" s="2" t="str">
        <x:v>Aug 10–23, 2026</x:v>
      </x:c>
      <x:c r="M85" s="2" t="str">
        <x:v>https://www.census.gov/hfp/btos/downloads/Sector.xlsx</x:v>
      </x:c>
    </x:row>
    <x:row r="86" ht="24" customHeight="1">
      <x:c r="A86" s="2" t="str">
        <x:v>Census BTOS</x:v>
      </x:c>
      <x:c r="B86" s="2" t="str">
        <x:v>Quintiles</x:v>
      </x:c>
      <x:c r="C86" s="2" t="str">
        <x:v>Q5</x:v>
      </x:c>
      <x:c r="D86" s="2" t="str">
        <x:v>2024Q1</x:v>
      </x:c>
      <x:c r="E86" s="20" t="n">
        <x:v>24391.6666666667</x:v>
      </x:c>
      <x:c r="F86" s="20" t="n">
        <x:f>$E$66</x:f>
        <x:v>24267.6666666667</x:v>
      </x:c>
      <x:c r="G86" s="22" t="n">
        <x:f>100*E86/F86</x:f>
        <x:v>100.51096795461726</x:v>
      </x:c>
      <x:c r="H86" s="24" t="n">
        <x:f>G86/100-1</x:f>
        <x:v>0.005109679546172474</x:v>
      </x:c>
      <x:c r="I86" s="26" t="n">
        <x:v>4</x:v>
      </x:c>
      <x:c r="J86" s="26" t="n">
        <x:v>3</x:v>
      </x:c>
      <x:c r="K86" s="7" t="b">
        <x:v>0</x:v>
      </x:c>
      <x:c r="L86" s="2" t="str">
        <x:v>Aug 10–23, 2026</x:v>
      </x:c>
      <x:c r="M86" s="2" t="str">
        <x:v>https://www.census.gov/hfp/btos/downloads/Sector.xlsx</x:v>
      </x:c>
    </x:row>
    <x:row r="87" ht="24" customHeight="1">
      <x:c r="A87" s="2" t="str">
        <x:v>Census BTOS</x:v>
      </x:c>
      <x:c r="B87" s="2" t="str">
        <x:v>Quintiles</x:v>
      </x:c>
      <x:c r="C87" s="2" t="str">
        <x:v>Q1</x:v>
      </x:c>
      <x:c r="D87" s="2" t="str">
        <x:v>2024Q2</x:v>
      </x:c>
      <x:c r="E87" s="20" t="n">
        <x:v>27311.5333333333</x:v>
      </x:c>
      <x:c r="F87" s="20" t="n">
        <x:f>$E$62</x:f>
        <x:v>26934</x:v>
      </x:c>
      <x:c r="G87" s="22" t="n">
        <x:f>100*E87/F87</x:f>
        <x:v>101.40169797777271</x:v>
      </x:c>
      <x:c r="H87" s="24" t="n">
        <x:f>G87/100-1</x:f>
        <x:v>0.014016979777727201</x:v>
      </x:c>
      <x:c r="I87" s="26" t="n">
        <x:v>4</x:v>
      </x:c>
      <x:c r="J87" s="26" t="n">
        <x:v>3</x:v>
      </x:c>
      <x:c r="K87" s="7" t="b">
        <x:v>0</x:v>
      </x:c>
      <x:c r="L87" s="2" t="str">
        <x:v>Aug 10–23, 2026</x:v>
      </x:c>
      <x:c r="M87" s="2" t="str">
        <x:v>https://www.census.gov/hfp/btos/downloads/Sector.xlsx</x:v>
      </x:c>
    </x:row>
    <x:row r="88" ht="24" customHeight="1">
      <x:c r="A88" s="2" t="str">
        <x:v>Census BTOS</x:v>
      </x:c>
      <x:c r="B88" s="2" t="str">
        <x:v>Quintiles</x:v>
      </x:c>
      <x:c r="C88" s="2" t="str">
        <x:v>Q2</x:v>
      </x:c>
      <x:c r="D88" s="2" t="str">
        <x:v>2024Q2</x:v>
      </x:c>
      <x:c r="E88" s="20" t="n">
        <x:v>24293.8333333333</x:v>
      </x:c>
      <x:c r="F88" s="20" t="n">
        <x:f>$E$63</x:f>
        <x:v>24074.9666666667</x:v>
      </x:c>
      <x:c r="G88" s="22" t="n">
        <x:f>100*E88/F88</x:f>
        <x:v>100.90910475473112</x:v>
      </x:c>
      <x:c r="H88" s="24" t="n">
        <x:f>G88/100-1</x:f>
        <x:v>0.00909104754731116</x:v>
      </x:c>
      <x:c r="I88" s="26" t="n">
        <x:v>3</x:v>
      </x:c>
      <x:c r="J88" s="26" t="n">
        <x:v>3</x:v>
      </x:c>
      <x:c r="K88" s="7" t="b">
        <x:v>0</x:v>
      </x:c>
      <x:c r="L88" s="2" t="str">
        <x:v>Aug 10–23, 2026</x:v>
      </x:c>
      <x:c r="M88" s="2" t="str">
        <x:v>https://www.census.gov/hfp/btos/downloads/Sector.xlsx</x:v>
      </x:c>
    </x:row>
    <x:row r="89" ht="24" customHeight="1">
      <x:c r="A89" s="2" t="str">
        <x:v>Census BTOS</x:v>
      </x:c>
      <x:c r="B89" s="2" t="str">
        <x:v>Quintiles</x:v>
      </x:c>
      <x:c r="C89" s="2" t="str">
        <x:v>Q3</x:v>
      </x:c>
      <x:c r="D89" s="2" t="str">
        <x:v>2024Q2</x:v>
      </x:c>
      <x:c r="E89" s="20" t="n">
        <x:v>30747.7</x:v>
      </x:c>
      <x:c r="F89" s="20" t="n">
        <x:f>$E$64</x:f>
        <x:v>30928.5333333333</x:v>
      </x:c>
      <x:c r="G89" s="22" t="n">
        <x:f>100*E89/F89</x:f>
        <x:v>99.41531875635886</x:v>
      </x:c>
      <x:c r="H89" s="24" t="n">
        <x:f>G89/100-1</x:f>
        <x:v>-0.005846812436411386</x:v>
      </x:c>
      <x:c r="I89" s="26" t="n">
        <x:v>4</x:v>
      </x:c>
      <x:c r="J89" s="26" t="n">
        <x:v>3</x:v>
      </x:c>
      <x:c r="K89" s="7" t="b">
        <x:v>0</x:v>
      </x:c>
      <x:c r="L89" s="2" t="str">
        <x:v>Aug 10–23, 2026</x:v>
      </x:c>
      <x:c r="M89" s="2" t="str">
        <x:v>https://www.census.gov/hfp/btos/downloads/Sector.xlsx</x:v>
      </x:c>
    </x:row>
    <x:row r="90" ht="24" customHeight="1">
      <x:c r="A90" s="2" t="str">
        <x:v>Census BTOS</x:v>
      </x:c>
      <x:c r="B90" s="2" t="str">
        <x:v>Quintiles</x:v>
      </x:c>
      <x:c r="C90" s="2" t="str">
        <x:v>Q4</x:v>
      </x:c>
      <x:c r="D90" s="2" t="str">
        <x:v>2024Q2</x:v>
      </x:c>
      <x:c r="E90" s="20" t="n">
        <x:v>27489.2333333333</x:v>
      </x:c>
      <x:c r="F90" s="20" t="n">
        <x:f>$E$65</x:f>
        <x:v>26207.6666666667</x:v>
      </x:c>
      <x:c r="G90" s="22" t="n">
        <x:f>100*E90/F90</x:f>
        <x:v>104.8900448978032</x:v>
      </x:c>
      <x:c r="H90" s="24" t="n">
        <x:f>G90/100-1</x:f>
        <x:v>0.04890044897803203</x:v>
      </x:c>
      <x:c r="I90" s="26" t="n">
        <x:v>3</x:v>
      </x:c>
      <x:c r="J90" s="26" t="n">
        <x:v>3</x:v>
      </x:c>
      <x:c r="K90" s="7" t="b">
        <x:v>0</x:v>
      </x:c>
      <x:c r="L90" s="2" t="str">
        <x:v>Aug 10–23, 2026</x:v>
      </x:c>
      <x:c r="M90" s="2" t="str">
        <x:v>https://www.census.gov/hfp/btos/downloads/Sector.xlsx</x:v>
      </x:c>
    </x:row>
    <x:row r="91" ht="24" customHeight="1">
      <x:c r="A91" s="2" t="str">
        <x:v>Census BTOS</x:v>
      </x:c>
      <x:c r="B91" s="2" t="str">
        <x:v>Quintiles</x:v>
      </x:c>
      <x:c r="C91" s="2" t="str">
        <x:v>Q5</x:v>
      </x:c>
      <x:c r="D91" s="2" t="str">
        <x:v>2024Q2</x:v>
      </x:c>
      <x:c r="E91" s="20" t="n">
        <x:v>24406.9</x:v>
      </x:c>
      <x:c r="F91" s="20" t="n">
        <x:f>$E$66</x:f>
        <x:v>24267.6666666667</x:v>
      </x:c>
      <x:c r="G91" s="22" t="n">
        <x:f>100*E91/F91</x:f>
        <x:v>100.5737400931279</x:v>
      </x:c>
      <x:c r="H91" s="24" t="n">
        <x:f>G91/100-1</x:f>
        <x:v>0.0057374009312789465</x:v>
      </x:c>
      <x:c r="I91" s="26" t="n">
        <x:v>4</x:v>
      </x:c>
      <x:c r="J91" s="26" t="n">
        <x:v>3</x:v>
      </x:c>
      <x:c r="K91" s="7" t="b">
        <x:v>0</x:v>
      </x:c>
      <x:c r="L91" s="2" t="str">
        <x:v>Aug 10–23, 2026</x:v>
      </x:c>
      <x:c r="M91" s="2" t="str">
        <x:v>https://www.census.gov/hfp/btos/downloads/Sector.xlsx</x:v>
      </x:c>
    </x:row>
    <x:row r="92" ht="24" customHeight="1">
      <x:c r="A92" s="2" t="str">
        <x:v>Census BTOS</x:v>
      </x:c>
      <x:c r="B92" s="2" t="str">
        <x:v>Quintiles</x:v>
      </x:c>
      <x:c r="C92" s="2" t="str">
        <x:v>Q1</x:v>
      </x:c>
      <x:c r="D92" s="2" t="str">
        <x:v>2024Q3</x:v>
      </x:c>
      <x:c r="E92" s="20" t="n">
        <x:v>27322.6333333333</x:v>
      </x:c>
      <x:c r="F92" s="20" t="n">
        <x:f>$E$62</x:f>
        <x:v>26934</x:v>
      </x:c>
      <x:c r="G92" s="22" t="n">
        <x:f>100*E92/F92</x:f>
        <x:v>101.4429098289645</x:v>
      </x:c>
      <x:c r="H92" s="24" t="n">
        <x:f>G92/100-1</x:f>
        <x:v>0.014429098289645115</x:v>
      </x:c>
      <x:c r="I92" s="26" t="n">
        <x:v>4</x:v>
      </x:c>
      <x:c r="J92" s="26" t="n">
        <x:v>3</x:v>
      </x:c>
      <x:c r="K92" s="7" t="b">
        <x:v>0</x:v>
      </x:c>
      <x:c r="L92" s="2" t="str">
        <x:v>Aug 10–23, 2026</x:v>
      </x:c>
      <x:c r="M92" s="2" t="str">
        <x:v>https://www.census.gov/hfp/btos/downloads/Sector.xlsx</x:v>
      </x:c>
    </x:row>
    <x:row r="93" ht="24" customHeight="1">
      <x:c r="A93" s="2" t="str">
        <x:v>Census BTOS</x:v>
      </x:c>
      <x:c r="B93" s="2" t="str">
        <x:v>Quintiles</x:v>
      </x:c>
      <x:c r="C93" s="2" t="str">
        <x:v>Q2</x:v>
      </x:c>
      <x:c r="D93" s="2" t="str">
        <x:v>2024Q3</x:v>
      </x:c>
      <x:c r="E93" s="20" t="n">
        <x:v>24292.4</x:v>
      </x:c>
      <x:c r="F93" s="20" t="n">
        <x:f>$E$63</x:f>
        <x:v>24074.9666666667</x:v>
      </x:c>
      <x:c r="G93" s="22" t="n">
        <x:f>100*E93/F93</x:f>
        <x:v>100.90315112931953</x:v>
      </x:c>
      <x:c r="H93" s="24" t="n">
        <x:f>G93/100-1</x:f>
        <x:v>0.009031511293195349</x:v>
      </x:c>
      <x:c r="I93" s="26" t="n">
        <x:v>3</x:v>
      </x:c>
      <x:c r="J93" s="26" t="n">
        <x:v>3</x:v>
      </x:c>
      <x:c r="K93" s="7" t="b">
        <x:v>0</x:v>
      </x:c>
      <x:c r="L93" s="2" t="str">
        <x:v>Aug 10–23, 2026</x:v>
      </x:c>
      <x:c r="M93" s="2" t="str">
        <x:v>https://www.census.gov/hfp/btos/downloads/Sector.xlsx</x:v>
      </x:c>
    </x:row>
    <x:row r="94" ht="24" customHeight="1">
      <x:c r="A94" s="2" t="str">
        <x:v>Census BTOS</x:v>
      </x:c>
      <x:c r="B94" s="2" t="str">
        <x:v>Quintiles</x:v>
      </x:c>
      <x:c r="C94" s="2" t="str">
        <x:v>Q3</x:v>
      </x:c>
      <x:c r="D94" s="2" t="str">
        <x:v>2024Q3</x:v>
      </x:c>
      <x:c r="E94" s="20" t="n">
        <x:v>30647.6333333333</x:v>
      </x:c>
      <x:c r="F94" s="20" t="n">
        <x:f>$E$64</x:f>
        <x:v>30928.5333333333</x:v>
      </x:c>
      <x:c r="G94" s="22" t="n">
        <x:f>100*E94/F94</x:f>
        <x:v>99.09177717231984</x:v>
      </x:c>
      <x:c r="H94" s="24" t="n">
        <x:f>G94/100-1</x:f>
        <x:v>-0.009082228276801607</x:v>
      </x:c>
      <x:c r="I94" s="26" t="n">
        <x:v>4</x:v>
      </x:c>
      <x:c r="J94" s="26" t="n">
        <x:v>3</x:v>
      </x:c>
      <x:c r="K94" s="7" t="b">
        <x:v>0</x:v>
      </x:c>
      <x:c r="L94" s="2" t="str">
        <x:v>Aug 10–23, 2026</x:v>
      </x:c>
      <x:c r="M94" s="2" t="str">
        <x:v>https://www.census.gov/hfp/btos/downloads/Sector.xlsx</x:v>
      </x:c>
    </x:row>
    <x:row r="95" ht="24" customHeight="1">
      <x:c r="A95" s="2" t="str">
        <x:v>Census BTOS</x:v>
      </x:c>
      <x:c r="B95" s="2" t="str">
        <x:v>Quintiles</x:v>
      </x:c>
      <x:c r="C95" s="2" t="str">
        <x:v>Q4</x:v>
      </x:c>
      <x:c r="D95" s="2" t="str">
        <x:v>2024Q3</x:v>
      </x:c>
      <x:c r="E95" s="20" t="n">
        <x:v>27666.3</x:v>
      </x:c>
      <x:c r="F95" s="20" t="n">
        <x:f>$E$65</x:f>
        <x:v>26207.6666666667</x:v>
      </x:c>
      <x:c r="G95" s="22" t="n">
        <x:f>100*E95/F95</x:f>
        <x:v>105.56567416659233</x:v>
      </x:c>
      <x:c r="H95" s="24" t="n">
        <x:f>G95/100-1</x:f>
        <x:v>0.05565674166592327</x:v>
      </x:c>
      <x:c r="I95" s="26" t="n">
        <x:v>3</x:v>
      </x:c>
      <x:c r="J95" s="26" t="n">
        <x:v>3</x:v>
      </x:c>
      <x:c r="K95" s="7" t="b">
        <x:v>0</x:v>
      </x:c>
      <x:c r="L95" s="2" t="str">
        <x:v>Aug 10–23, 2026</x:v>
      </x:c>
      <x:c r="M95" s="2" t="str">
        <x:v>https://www.census.gov/hfp/btos/downloads/Sector.xlsx</x:v>
      </x:c>
    </x:row>
    <x:row r="96" ht="24" customHeight="1">
      <x:c r="A96" s="2" t="str">
        <x:v>Census BTOS</x:v>
      </x:c>
      <x:c r="B96" s="2" t="str">
        <x:v>Quintiles</x:v>
      </x:c>
      <x:c r="C96" s="2" t="str">
        <x:v>Q5</x:v>
      </x:c>
      <x:c r="D96" s="2" t="str">
        <x:v>2024Q3</x:v>
      </x:c>
      <x:c r="E96" s="20" t="n">
        <x:v>24408.3</x:v>
      </x:c>
      <x:c r="F96" s="20" t="n">
        <x:f>$E$66</x:f>
        <x:v>24267.6666666667</x:v>
      </x:c>
      <x:c r="G96" s="22" t="n">
        <x:f>100*E96/F96</x:f>
        <x:v>100.5795090861639</x:v>
      </x:c>
      <x:c r="H96" s="24" t="n">
        <x:f>G96/100-1</x:f>
        <x:v>0.005795090861638874</x:v>
      </x:c>
      <x:c r="I96" s="26" t="n">
        <x:v>4</x:v>
      </x:c>
      <x:c r="J96" s="26" t="n">
        <x:v>3</x:v>
      </x:c>
      <x:c r="K96" s="7" t="b">
        <x:v>0</x:v>
      </x:c>
      <x:c r="L96" s="2" t="str">
        <x:v>Aug 10–23, 2026</x:v>
      </x:c>
      <x:c r="M96" s="2" t="str">
        <x:v>https://www.census.gov/hfp/btos/downloads/Sector.xlsx</x:v>
      </x:c>
    </x:row>
    <x:row r="97" ht="24" customHeight="1">
      <x:c r="A97" s="2" t="str">
        <x:v>Census BTOS</x:v>
      </x:c>
      <x:c r="B97" s="2" t="str">
        <x:v>Quintiles</x:v>
      </x:c>
      <x:c r="C97" s="2" t="str">
        <x:v>Q1</x:v>
      </x:c>
      <x:c r="D97" s="2" t="str">
        <x:v>2024Q4</x:v>
      </x:c>
      <x:c r="E97" s="20" t="n">
        <x:v>27391.4666666667</x:v>
      </x:c>
      <x:c r="F97" s="20" t="n">
        <x:f>$E$62</x:f>
        <x:v>26934</x:v>
      </x:c>
      <x:c r="G97" s="22" t="n">
        <x:f>100*E97/F97</x:f>
        <x:v>101.69847281007907</x:v>
      </x:c>
      <x:c r="H97" s="24" t="n">
        <x:f>G97/100-1</x:f>
        <x:v>0.016984728100790658</x:v>
      </x:c>
      <x:c r="I97" s="26" t="n">
        <x:v>4</x:v>
      </x:c>
      <x:c r="J97" s="26" t="n">
        <x:v>3</x:v>
      </x:c>
      <x:c r="K97" s="7" t="b">
        <x:v>0</x:v>
      </x:c>
      <x:c r="L97" s="2" t="str">
        <x:v>Aug 10–23, 2026</x:v>
      </x:c>
      <x:c r="M97" s="2" t="str">
        <x:v>https://www.census.gov/hfp/btos/downloads/Sector.xlsx</x:v>
      </x:c>
    </x:row>
    <x:row r="98" ht="24" customHeight="1">
      <x:c r="A98" s="2" t="str">
        <x:v>Census BTOS</x:v>
      </x:c>
      <x:c r="B98" s="2" t="str">
        <x:v>Quintiles</x:v>
      </x:c>
      <x:c r="C98" s="2" t="str">
        <x:v>Q2</x:v>
      </x:c>
      <x:c r="D98" s="2" t="str">
        <x:v>2024Q4</x:v>
      </x:c>
      <x:c r="E98" s="20" t="n">
        <x:v>24305.3333333333</x:v>
      </x:c>
      <x:c r="F98" s="20" t="n">
        <x:f>$E$63</x:f>
        <x:v>24074.9666666667</x:v>
      </x:c>
      <x:c r="G98" s="22" t="n">
        <x:f>100*E98/F98</x:f>
        <x:v>100.95687221442992</x:v>
      </x:c>
      <x:c r="H98" s="24" t="n">
        <x:f>G98/100-1</x:f>
        <x:v>0.009568722144299269</x:v>
      </x:c>
      <x:c r="I98" s="26" t="n">
        <x:v>3</x:v>
      </x:c>
      <x:c r="J98" s="26" t="n">
        <x:v>3</x:v>
      </x:c>
      <x:c r="K98" s="7" t="b">
        <x:v>0</x:v>
      </x:c>
      <x:c r="L98" s="2" t="str">
        <x:v>Aug 10–23, 2026</x:v>
      </x:c>
      <x:c r="M98" s="2" t="str">
        <x:v>https://www.census.gov/hfp/btos/downloads/Sector.xlsx</x:v>
      </x:c>
    </x:row>
    <x:row r="99" ht="24" customHeight="1">
      <x:c r="A99" s="2" t="str">
        <x:v>Census BTOS</x:v>
      </x:c>
      <x:c r="B99" s="2" t="str">
        <x:v>Quintiles</x:v>
      </x:c>
      <x:c r="C99" s="2" t="str">
        <x:v>Q3</x:v>
      </x:c>
      <x:c r="D99" s="2" t="str">
        <x:v>2024Q4</x:v>
      </x:c>
      <x:c r="E99" s="20" t="n">
        <x:v>30530.1333333333</x:v>
      </x:c>
      <x:c r="F99" s="20" t="n">
        <x:f>$E$64</x:f>
        <x:v>30928.5333333333</x:v>
      </x:c>
      <x:c r="G99" s="22" t="n">
        <x:f>100*E99/F99</x:f>
        <x:v>98.71186908313358</x:v>
      </x:c>
      <x:c r="H99" s="24" t="n">
        <x:f>G99/100-1</x:f>
        <x:v>-0.012881309168664257</x:v>
      </x:c>
      <x:c r="I99" s="26" t="n">
        <x:v>4</x:v>
      </x:c>
      <x:c r="J99" s="26" t="n">
        <x:v>3</x:v>
      </x:c>
      <x:c r="K99" s="7" t="b">
        <x:v>0</x:v>
      </x:c>
      <x:c r="L99" s="2" t="str">
        <x:v>Aug 10–23, 2026</x:v>
      </x:c>
      <x:c r="M99" s="2" t="str">
        <x:v>https://www.census.gov/hfp/btos/downloads/Sector.xlsx</x:v>
      </x:c>
    </x:row>
    <x:row r="100" ht="24" customHeight="1">
      <x:c r="A100" s="2" t="str">
        <x:v>Census BTOS</x:v>
      </x:c>
      <x:c r="B100" s="2" t="str">
        <x:v>Quintiles</x:v>
      </x:c>
      <x:c r="C100" s="2" t="str">
        <x:v>Q4</x:v>
      </x:c>
      <x:c r="D100" s="2" t="str">
        <x:v>2024Q4</x:v>
      </x:c>
      <x:c r="E100" s="20" t="n">
        <x:v>27900.8</x:v>
      </x:c>
      <x:c r="F100" s="20" t="n">
        <x:f>$E$65</x:f>
        <x:v>26207.6666666667</x:v>
      </x:c>
      <x:c r="G100" s="22" t="n">
        <x:f>100*E100/F100</x:f>
        <x:v>106.46045050430521</x:v>
      </x:c>
      <x:c r="H100" s="24" t="n">
        <x:f>G100/100-1</x:f>
        <x:v>0.06460450504305215</x:v>
      </x:c>
      <x:c r="I100" s="26" t="n">
        <x:v>3</x:v>
      </x:c>
      <x:c r="J100" s="26" t="n">
        <x:v>3</x:v>
      </x:c>
      <x:c r="K100" s="7" t="b">
        <x:v>0</x:v>
      </x:c>
      <x:c r="L100" s="2" t="str">
        <x:v>Aug 10–23, 2026</x:v>
      </x:c>
      <x:c r="M100" s="2" t="str">
        <x:v>https://www.census.gov/hfp/btos/downloads/Sector.xlsx</x:v>
      </x:c>
    </x:row>
    <x:row r="101" ht="24" customHeight="1">
      <x:c r="A101" s="2" t="str">
        <x:v>Census BTOS</x:v>
      </x:c>
      <x:c r="B101" s="2" t="str">
        <x:v>Quintiles</x:v>
      </x:c>
      <x:c r="C101" s="2" t="str">
        <x:v>Q5</x:v>
      </x:c>
      <x:c r="D101" s="2" t="str">
        <x:v>2024Q4</x:v>
      </x:c>
      <x:c r="E101" s="20" t="n">
        <x:v>24438.4333333333</x:v>
      </x:c>
      <x:c r="F101" s="20" t="n">
        <x:f>$E$66</x:f>
        <x:v>24267.6666666667</x:v>
      </x:c>
      <x:c r="G101" s="22" t="n">
        <x:f>100*E101/F101</x:f>
        <x:v>100.70367979341484</x:v>
      </x:c>
      <x:c r="H101" s="24" t="n">
        <x:f>G101/100-1</x:f>
        <x:v>0.007036797934148353</x:v>
      </x:c>
      <x:c r="I101" s="26" t="n">
        <x:v>4</x:v>
      </x:c>
      <x:c r="J101" s="26" t="n">
        <x:v>3</x:v>
      </x:c>
      <x:c r="K101" s="7" t="b">
        <x:v>0</x:v>
      </x:c>
      <x:c r="L101" s="2" t="str">
        <x:v>Aug 10–23, 2026</x:v>
      </x:c>
      <x:c r="M101" s="2" t="str">
        <x:v>https://www.census.gov/hfp/btos/downloads/Sector.xlsx</x:v>
      </x:c>
    </x:row>
    <x:row r="102" ht="24" customHeight="1">
      <x:c r="A102" s="2" t="str">
        <x:v>Census BTOS</x:v>
      </x:c>
      <x:c r="B102" s="2" t="str">
        <x:v>Quintiles</x:v>
      </x:c>
      <x:c r="C102" s="2" t="str">
        <x:v>Q1</x:v>
      </x:c>
      <x:c r="D102" s="2" t="str">
        <x:v>2025Q1</x:v>
      </x:c>
      <x:c r="E102" s="20" t="n">
        <x:v>27391.5666666667</x:v>
      </x:c>
      <x:c r="F102" s="20" t="n">
        <x:f>$E$62</x:f>
        <x:v>26934</x:v>
      </x:c>
      <x:c r="G102" s="22" t="n">
        <x:f>100*E102/F102</x:f>
        <x:v>101.69884408801774</x:v>
      </x:c>
      <x:c r="H102" s="24" t="n">
        <x:f>G102/100-1</x:f>
        <x:v>0.016988440880177258</x:v>
      </x:c>
      <x:c r="I102" s="26" t="n">
        <x:v>4</x:v>
      </x:c>
      <x:c r="J102" s="26" t="n">
        <x:v>3</x:v>
      </x:c>
      <x:c r="K102" s="7" t="b">
        <x:v>0</x:v>
      </x:c>
      <x:c r="L102" s="2" t="str">
        <x:v>Aug 10–23, 2026</x:v>
      </x:c>
      <x:c r="M102" s="2" t="str">
        <x:v>https://www.census.gov/hfp/btos/downloads/Sector.xlsx</x:v>
      </x:c>
    </x:row>
    <x:row r="103" ht="24" customHeight="1">
      <x:c r="A103" s="2" t="str">
        <x:v>Census BTOS</x:v>
      </x:c>
      <x:c r="B103" s="2" t="str">
        <x:v>Quintiles</x:v>
      </x:c>
      <x:c r="C103" s="2" t="str">
        <x:v>Q2</x:v>
      </x:c>
      <x:c r="D103" s="2" t="str">
        <x:v>2025Q1</x:v>
      </x:c>
      <x:c r="E103" s="20" t="n">
        <x:v>24319.6</x:v>
      </x:c>
      <x:c r="F103" s="20" t="n">
        <x:f>$E$63</x:f>
        <x:v>24074.9666666667</x:v>
      </x:c>
      <x:c r="G103" s="22" t="n">
        <x:f>100*E103/F103</x:f>
        <x:v>101.01613155573756</x:v>
      </x:c>
      <x:c r="H103" s="24" t="n">
        <x:f>G103/100-1</x:f>
        <x:v>0.01016131555737565</x:v>
      </x:c>
      <x:c r="I103" s="26" t="n">
        <x:v>3</x:v>
      </x:c>
      <x:c r="J103" s="26" t="n">
        <x:v>3</x:v>
      </x:c>
      <x:c r="K103" s="7" t="b">
        <x:v>0</x:v>
      </x:c>
      <x:c r="L103" s="2" t="str">
        <x:v>Aug 10–23, 2026</x:v>
      </x:c>
      <x:c r="M103" s="2" t="str">
        <x:v>https://www.census.gov/hfp/btos/downloads/Sector.xlsx</x:v>
      </x:c>
    </x:row>
    <x:row r="104" ht="24" customHeight="1">
      <x:c r="A104" s="2" t="str">
        <x:v>Census BTOS</x:v>
      </x:c>
      <x:c r="B104" s="2" t="str">
        <x:v>Quintiles</x:v>
      </x:c>
      <x:c r="C104" s="2" t="str">
        <x:v>Q3</x:v>
      </x:c>
      <x:c r="D104" s="2" t="str">
        <x:v>2025Q1</x:v>
      </x:c>
      <x:c r="E104" s="20" t="n">
        <x:v>30468.7333333333</x:v>
      </x:c>
      <x:c r="F104" s="20" t="n">
        <x:f>$E$64</x:f>
        <x:v>30928.5333333333</x:v>
      </x:c>
      <x:c r="G104" s="22" t="n">
        <x:f>100*E104/F104</x:f>
        <x:v>98.51334689865669</x:v>
      </x:c>
      <x:c r="H104" s="24" t="n">
        <x:f>G104/100-1</x:f>
        <x:v>-0.014866531013433049</x:v>
      </x:c>
      <x:c r="I104" s="26" t="n">
        <x:v>4</x:v>
      </x:c>
      <x:c r="J104" s="26" t="n">
        <x:v>3</x:v>
      </x:c>
      <x:c r="K104" s="7" t="b">
        <x:v>0</x:v>
      </x:c>
      <x:c r="L104" s="2" t="str">
        <x:v>Aug 10–23, 2026</x:v>
      </x:c>
      <x:c r="M104" s="2" t="str">
        <x:v>https://www.census.gov/hfp/btos/downloads/Sector.xlsx</x:v>
      </x:c>
    </x:row>
    <x:row r="105" ht="24" customHeight="1">
      <x:c r="A105" s="2" t="str">
        <x:v>Census BTOS</x:v>
      </x:c>
      <x:c r="B105" s="2" t="str">
        <x:v>Quintiles</x:v>
      </x:c>
      <x:c r="C105" s="2" t="str">
        <x:v>Q4</x:v>
      </x:c>
      <x:c r="D105" s="2" t="str">
        <x:v>2025Q1</x:v>
      </x:c>
      <x:c r="E105" s="20" t="n">
        <x:v>28089.7</x:v>
      </x:c>
      <x:c r="F105" s="20" t="n">
        <x:f>$E$65</x:f>
        <x:v>26207.6666666667</x:v>
      </x:c>
      <x:c r="G105" s="22" t="n">
        <x:f>100*E105/F105</x:f>
        <x:v>107.18123195502574</x:v>
      </x:c>
      <x:c r="H105" s="24" t="n">
        <x:f>G105/100-1</x:f>
        <x:v>0.07181231955025735</x:v>
      </x:c>
      <x:c r="I105" s="26" t="n">
        <x:v>3</x:v>
      </x:c>
      <x:c r="J105" s="26" t="n">
        <x:v>3</x:v>
      </x:c>
      <x:c r="K105" s="7" t="b">
        <x:v>0</x:v>
      </x:c>
      <x:c r="L105" s="2" t="str">
        <x:v>Aug 10–23, 2026</x:v>
      </x:c>
      <x:c r="M105" s="2" t="str">
        <x:v>https://www.census.gov/hfp/btos/downloads/Sector.xlsx</x:v>
      </x:c>
    </x:row>
    <x:row r="106" ht="24" customHeight="1">
      <x:c r="A106" s="2" t="str">
        <x:v>Census BTOS</x:v>
      </x:c>
      <x:c r="B106" s="2" t="str">
        <x:v>Quintiles</x:v>
      </x:c>
      <x:c r="C106" s="2" t="str">
        <x:v>Q5</x:v>
      </x:c>
      <x:c r="D106" s="2" t="str">
        <x:v>2025Q1</x:v>
      </x:c>
      <x:c r="E106" s="20" t="n">
        <x:v>24448.6333333333</x:v>
      </x:c>
      <x:c r="F106" s="20" t="n">
        <x:f>$E$66</x:f>
        <x:v>24267.6666666667</x:v>
      </x:c>
      <x:c r="G106" s="22" t="n">
        <x:f>100*E106/F106</x:f>
        <x:v>100.7457110283914</x:v>
      </x:c>
      <x:c r="H106" s="24" t="n">
        <x:f>G106/100-1</x:f>
        <x:v>0.007457110283914048</x:v>
      </x:c>
      <x:c r="I106" s="26" t="n">
        <x:v>4</x:v>
      </x:c>
      <x:c r="J106" s="26" t="n">
        <x:v>3</x:v>
      </x:c>
      <x:c r="K106" s="7" t="b">
        <x:v>0</x:v>
      </x:c>
      <x:c r="L106" s="2" t="str">
        <x:v>Aug 10–23, 2026</x:v>
      </x:c>
      <x:c r="M106" s="2" t="str">
        <x:v>https://www.census.gov/hfp/btos/downloads/Sector.xlsx</x:v>
      </x:c>
    </x:row>
    <x:row r="107" ht="24" customHeight="1">
      <x:c r="A107" s="2" t="str">
        <x:v>Census BTOS</x:v>
      </x:c>
      <x:c r="B107" s="2" t="str">
        <x:v>Quintiles</x:v>
      </x:c>
      <x:c r="C107" s="2" t="str">
        <x:v>Q1</x:v>
      </x:c>
      <x:c r="D107" s="2" t="str">
        <x:v>2025Q2</x:v>
      </x:c>
      <x:c r="E107" s="20" t="n">
        <x:v>27378.6333333333</x:v>
      </x:c>
      <x:c r="F107" s="20" t="n">
        <x:f>$E$62</x:f>
        <x:v>26934</x:v>
      </x:c>
      <x:c r="G107" s="22" t="n">
        <x:f>100*E107/F107</x:f>
        <x:v>101.65082547461684</x:v>
      </x:c>
      <x:c r="H107" s="24" t="n">
        <x:f>G107/100-1</x:f>
        <x:v>0.01650825474616835</x:v>
      </x:c>
      <x:c r="I107" s="26" t="n">
        <x:v>4</x:v>
      </x:c>
      <x:c r="J107" s="26" t="n">
        <x:v>3</x:v>
      </x:c>
      <x:c r="K107" s="7" t="b">
        <x:v>0</x:v>
      </x:c>
      <x:c r="L107" s="2" t="str">
        <x:v>Aug 10–23, 2026</x:v>
      </x:c>
      <x:c r="M107" s="2" t="str">
        <x:v>https://www.census.gov/hfp/btos/downloads/Sector.xlsx</x:v>
      </x:c>
    </x:row>
    <x:row r="108" ht="24" customHeight="1">
      <x:c r="A108" s="2" t="str">
        <x:v>Census BTOS</x:v>
      </x:c>
      <x:c r="B108" s="2" t="str">
        <x:v>Quintiles</x:v>
      </x:c>
      <x:c r="C108" s="2" t="str">
        <x:v>Q2</x:v>
      </x:c>
      <x:c r="D108" s="2" t="str">
        <x:v>2025Q2</x:v>
      </x:c>
      <x:c r="E108" s="20" t="n">
        <x:v>24312.3666666667</x:v>
      </x:c>
      <x:c r="F108" s="20" t="n">
        <x:f>$E$63</x:f>
        <x:v>24074.9666666667</x:v>
      </x:c>
      <x:c r="G108" s="22" t="n">
        <x:f>100*E108/F108</x:f>
        <x:v>100.98608651586919</x:v>
      </x:c>
      <x:c r="H108" s="24" t="n">
        <x:f>G108/100-1</x:f>
        <x:v>0.009860865158692</x:v>
      </x:c>
      <x:c r="I108" s="26" t="n">
        <x:v>3</x:v>
      </x:c>
      <x:c r="J108" s="26" t="n">
        <x:v>3</x:v>
      </x:c>
      <x:c r="K108" s="7" t="b">
        <x:v>0</x:v>
      </x:c>
      <x:c r="L108" s="2" t="str">
        <x:v>Aug 10–23, 2026</x:v>
      </x:c>
      <x:c r="M108" s="2" t="str">
        <x:v>https://www.census.gov/hfp/btos/downloads/Sector.xlsx</x:v>
      </x:c>
    </x:row>
    <x:row r="109" ht="24" customHeight="1">
      <x:c r="A109" s="2" t="str">
        <x:v>Census BTOS</x:v>
      </x:c>
      <x:c r="B109" s="2" t="str">
        <x:v>Quintiles</x:v>
      </x:c>
      <x:c r="C109" s="2" t="str">
        <x:v>Q3</x:v>
      </x:c>
      <x:c r="D109" s="2" t="str">
        <x:v>2025Q2</x:v>
      </x:c>
      <x:c r="E109" s="20" t="n">
        <x:v>30434.9666666667</x:v>
      </x:c>
      <x:c r="F109" s="20" t="n">
        <x:f>$E$64</x:f>
        <x:v>30928.5333333333</x:v>
      </x:c>
      <x:c r="G109" s="22" t="n">
        <x:f>100*E109/F109</x:f>
        <x:v>98.40417047472904</x:v>
      </x:c>
      <x:c r="H109" s="24" t="n">
        <x:f>G109/100-1</x:f>
        <x:v>-0.01595829525270953</x:v>
      </x:c>
      <x:c r="I109" s="26" t="n">
        <x:v>4</x:v>
      </x:c>
      <x:c r="J109" s="26" t="n">
        <x:v>3</x:v>
      </x:c>
      <x:c r="K109" s="7" t="b">
        <x:v>0</x:v>
      </x:c>
      <x:c r="L109" s="2" t="str">
        <x:v>Aug 10–23, 2026</x:v>
      </x:c>
      <x:c r="M109" s="2" t="str">
        <x:v>https://www.census.gov/hfp/btos/downloads/Sector.xlsx</x:v>
      </x:c>
    </x:row>
    <x:row r="110" ht="24" customHeight="1">
      <x:c r="A110" s="2" t="str">
        <x:v>Census BTOS</x:v>
      </x:c>
      <x:c r="B110" s="2" t="str">
        <x:v>Quintiles</x:v>
      </x:c>
      <x:c r="C110" s="2" t="str">
        <x:v>Q4</x:v>
      </x:c>
      <x:c r="D110" s="2" t="str">
        <x:v>2025Q2</x:v>
      </x:c>
      <x:c r="E110" s="20" t="n">
        <x:v>28304.7</x:v>
      </x:c>
      <x:c r="F110" s="20" t="n">
        <x:f>$E$65</x:f>
        <x:v>26207.6666666667</x:v>
      </x:c>
      <x:c r="G110" s="22" t="n">
        <x:f>100*E110/F110</x:f>
        <x:v>108.00160258448531</x:v>
      </x:c>
      <x:c r="H110" s="24" t="n">
        <x:f>G110/100-1</x:f>
        <x:v>0.08001602584485301</x:v>
      </x:c>
      <x:c r="I110" s="26" t="n">
        <x:v>3</x:v>
      </x:c>
      <x:c r="J110" s="26" t="n">
        <x:v>3</x:v>
      </x:c>
      <x:c r="K110" s="7" t="b">
        <x:v>0</x:v>
      </x:c>
      <x:c r="L110" s="2" t="str">
        <x:v>Aug 10–23, 2026</x:v>
      </x:c>
      <x:c r="M110" s="2" t="str">
        <x:v>https://www.census.gov/hfp/btos/downloads/Sector.xlsx</x:v>
      </x:c>
    </x:row>
    <x:row r="111" ht="24" customHeight="1">
      <x:c r="A111" s="2" t="str">
        <x:v>Census BTOS</x:v>
      </x:c>
      <x:c r="B111" s="2" t="str">
        <x:v>Quintiles</x:v>
      </x:c>
      <x:c r="C111" s="2" t="str">
        <x:v>Q5</x:v>
      </x:c>
      <x:c r="D111" s="2" t="str">
        <x:v>2025Q2</x:v>
      </x:c>
      <x:c r="E111" s="20" t="n">
        <x:v>24442.4</x:v>
      </x:c>
      <x:c r="F111" s="20" t="n">
        <x:f>$E$66</x:f>
        <x:v>24267.6666666667</x:v>
      </x:c>
      <x:c r="G111" s="22" t="n">
        <x:f>100*E111/F111</x:f>
        <x:v>100.72002527368363</x:v>
      </x:c>
      <x:c r="H111" s="24" t="n">
        <x:f>G111/100-1</x:f>
        <x:v>0.007200252736836221</x:v>
      </x:c>
      <x:c r="I111" s="26" t="n">
        <x:v>4</x:v>
      </x:c>
      <x:c r="J111" s="26" t="n">
        <x:v>3</x:v>
      </x:c>
      <x:c r="K111" s="7" t="b">
        <x:v>0</x:v>
      </x:c>
      <x:c r="L111" s="2" t="str">
        <x:v>Aug 10–23, 2026</x:v>
      </x:c>
      <x:c r="M111" s="2" t="str">
        <x:v>https://www.census.gov/hfp/btos/downloads/Sector.xlsx</x:v>
      </x:c>
    </x:row>
    <x:row r="112" ht="24" customHeight="1">
      <x:c r="A112" s="2" t="str">
        <x:v>Census BTOS</x:v>
      </x:c>
      <x:c r="B112" s="2" t="str">
        <x:v>Quintiles</x:v>
      </x:c>
      <x:c r="C112" s="2" t="str">
        <x:v>Q1</x:v>
      </x:c>
      <x:c r="D112" s="2" t="str">
        <x:v>2025Q3</x:v>
      </x:c>
      <x:c r="E112" s="20" t="n">
        <x:v>27389.1</x:v>
      </x:c>
      <x:c r="F112" s="20" t="n">
        <x:f>$E$62</x:f>
        <x:v>26934</x:v>
      </x:c>
      <x:c r="G112" s="22" t="n">
        <x:f>100*E112/F112</x:f>
        <x:v>101.68968589886389</x:v>
      </x:c>
      <x:c r="H112" s="24" t="n">
        <x:f>G112/100-1</x:f>
        <x:v>0.016896858988638908</x:v>
      </x:c>
      <x:c r="I112" s="26" t="n">
        <x:v>4</x:v>
      </x:c>
      <x:c r="J112" s="26" t="n">
        <x:v>3</x:v>
      </x:c>
      <x:c r="K112" s="7" t="b">
        <x:v>0</x:v>
      </x:c>
      <x:c r="L112" s="2" t="str">
        <x:v>Aug 10–23, 2026</x:v>
      </x:c>
      <x:c r="M112" s="2" t="str">
        <x:v>https://www.census.gov/hfp/btos/downloads/Sector.xlsx</x:v>
      </x:c>
    </x:row>
    <x:row r="113" ht="24" customHeight="1">
      <x:c r="A113" s="2" t="str">
        <x:v>Census BTOS</x:v>
      </x:c>
      <x:c r="B113" s="2" t="str">
        <x:v>Quintiles</x:v>
      </x:c>
      <x:c r="C113" s="2" t="str">
        <x:v>Q2</x:v>
      </x:c>
      <x:c r="D113" s="2" t="str">
        <x:v>2025Q3</x:v>
      </x:c>
      <x:c r="E113" s="20" t="n">
        <x:v>24294.7666666667</x:v>
      </x:c>
      <x:c r="F113" s="20" t="n">
        <x:f>$E$63</x:f>
        <x:v>24074.9666666667</x:v>
      </x:c>
      <x:c r="G113" s="22" t="n">
        <x:f>100*E113/F113</x:f>
        <x:v>100.91298153406926</x:v>
      </x:c>
      <x:c r="H113" s="24" t="n">
        <x:f>G113/100-1</x:f>
        <x:v>0.009129815340692682</x:v>
      </x:c>
      <x:c r="I113" s="26" t="n">
        <x:v>3</x:v>
      </x:c>
      <x:c r="J113" s="26" t="n">
        <x:v>3</x:v>
      </x:c>
      <x:c r="K113" s="7" t="b">
        <x:v>0</x:v>
      </x:c>
      <x:c r="L113" s="2" t="str">
        <x:v>Aug 10–23, 2026</x:v>
      </x:c>
      <x:c r="M113" s="2" t="str">
        <x:v>https://www.census.gov/hfp/btos/downloads/Sector.xlsx</x:v>
      </x:c>
    </x:row>
    <x:row r="114" ht="24" customHeight="1">
      <x:c r="A114" s="2" t="str">
        <x:v>Census BTOS</x:v>
      </x:c>
      <x:c r="B114" s="2" t="str">
        <x:v>Quintiles</x:v>
      </x:c>
      <x:c r="C114" s="2" t="str">
        <x:v>Q3</x:v>
      </x:c>
      <x:c r="D114" s="2" t="str">
        <x:v>2025Q3</x:v>
      </x:c>
      <x:c r="E114" s="20" t="n">
        <x:v>30351.7666666667</x:v>
      </x:c>
      <x:c r="F114" s="20" t="n">
        <x:f>$E$64</x:f>
        <x:v>30928.5333333333</x:v>
      </x:c>
      <x:c r="G114" s="22" t="n">
        <x:f>100*E114/F114</x:f>
        <x:v>98.13516321498184</x:v>
      </x:c>
      <x:c r="H114" s="24" t="n">
        <x:f>G114/100-1</x:f>
        <x:v>-0.018648367850181535</x:v>
      </x:c>
      <x:c r="I114" s="26" t="n">
        <x:v>4</x:v>
      </x:c>
      <x:c r="J114" s="26" t="n">
        <x:v>3</x:v>
      </x:c>
      <x:c r="K114" s="7" t="b">
        <x:v>0</x:v>
      </x:c>
      <x:c r="L114" s="2" t="str">
        <x:v>Aug 10–23, 2026</x:v>
      </x:c>
      <x:c r="M114" s="2" t="str">
        <x:v>https://www.census.gov/hfp/btos/downloads/Sector.xlsx</x:v>
      </x:c>
    </x:row>
    <x:row r="115" ht="24" customHeight="1">
      <x:c r="A115" s="2" t="str">
        <x:v>Census BTOS</x:v>
      </x:c>
      <x:c r="B115" s="2" t="str">
        <x:v>Quintiles</x:v>
      </x:c>
      <x:c r="C115" s="2" t="str">
        <x:v>Q4</x:v>
      </x:c>
      <x:c r="D115" s="2" t="str">
        <x:v>2025Q3</x:v>
      </x:c>
      <x:c r="E115" s="20" t="n">
        <x:v>28473.0333333333</x:v>
      </x:c>
      <x:c r="F115" s="20" t="n">
        <x:f>$E$65</x:f>
        <x:v>26207.6666666667</x:v>
      </x:c>
      <x:c r="G115" s="22" t="n">
        <x:f>100*E115/F115</x:f>
        <x:v>108.64390827111633</x:v>
      </x:c>
      <x:c r="H115" s="24" t="n">
        <x:f>G115/100-1</x:f>
        <x:v>0.0864390827111634</x:v>
      </x:c>
      <x:c r="I115" s="26" t="n">
        <x:v>3</x:v>
      </x:c>
      <x:c r="J115" s="26" t="n">
        <x:v>3</x:v>
      </x:c>
      <x:c r="K115" s="7" t="b">
        <x:v>0</x:v>
      </x:c>
      <x:c r="L115" s="2" t="str">
        <x:v>Aug 10–23, 2026</x:v>
      </x:c>
      <x:c r="M115" s="2" t="str">
        <x:v>https://www.census.gov/hfp/btos/downloads/Sector.xlsx</x:v>
      </x:c>
    </x:row>
    <x:row r="116" ht="24" customHeight="1">
      <x:c r="A116" s="2" t="str">
        <x:v>Census BTOS</x:v>
      </x:c>
      <x:c r="B116" s="2" t="str">
        <x:v>Quintiles</x:v>
      </x:c>
      <x:c r="C116" s="2" t="str">
        <x:v>Q5</x:v>
      </x:c>
      <x:c r="D116" s="2" t="str">
        <x:v>2025Q3</x:v>
      </x:c>
      <x:c r="E116" s="20" t="n">
        <x:v>24417.3</x:v>
      </x:c>
      <x:c r="F116" s="20" t="n">
        <x:f>$E$66</x:f>
        <x:v>24267.6666666667</x:v>
      </x:c>
      <x:c r="G116" s="22" t="n">
        <x:f>100*E116/F116</x:f>
        <x:v>100.61659546996675</x:v>
      </x:c>
      <x:c r="H116" s="24" t="n">
        <x:f>G116/100-1</x:f>
        <x:v>0.00616595469966752</x:v>
      </x:c>
      <x:c r="I116" s="26" t="n">
        <x:v>4</x:v>
      </x:c>
      <x:c r="J116" s="26" t="n">
        <x:v>3</x:v>
      </x:c>
      <x:c r="K116" s="7" t="b">
        <x:v>0</x:v>
      </x:c>
      <x:c r="L116" s="2" t="str">
        <x:v>Aug 10–23, 2026</x:v>
      </x:c>
      <x:c r="M116" s="2" t="str">
        <x:v>https://www.census.gov/hfp/btos/downloads/Sector.xlsx</x:v>
      </x:c>
    </x:row>
    <x:row r="117" ht="24" customHeight="1">
      <x:c r="A117" s="2" t="str">
        <x:v>Census BTOS</x:v>
      </x:c>
      <x:c r="B117" s="2" t="str">
        <x:v>Quintiles</x:v>
      </x:c>
      <x:c r="C117" s="2" t="str">
        <x:v>Q1</x:v>
      </x:c>
      <x:c r="D117" s="2" t="str">
        <x:v>2025Q4</x:v>
      </x:c>
      <x:c r="E117" s="20" t="n">
        <x:v>27425.3333333333</x:v>
      </x:c>
      <x:c r="F117" s="20" t="n">
        <x:f>$E$62</x:f>
        <x:v>26934</x:v>
      </x:c>
      <x:c r="G117" s="22" t="n">
        <x:f>100*E117/F117</x:f>
        <x:v>101.82421227197334</x:v>
      </x:c>
      <x:c r="H117" s="24" t="n">
        <x:f>G117/100-1</x:f>
        <x:v>0.018242122719733356</x:v>
      </x:c>
      <x:c r="I117" s="26" t="n">
        <x:v>4</x:v>
      </x:c>
      <x:c r="J117" s="26" t="n">
        <x:v>3</x:v>
      </x:c>
      <x:c r="K117" s="7" t="b">
        <x:v>0</x:v>
      </x:c>
      <x:c r="L117" s="2" t="str">
        <x:v>Aug 10–23, 2026</x:v>
      </x:c>
      <x:c r="M117" s="2" t="str">
        <x:v>https://www.census.gov/hfp/btos/downloads/Sector.xlsx</x:v>
      </x:c>
    </x:row>
    <x:row r="118" ht="24" customHeight="1">
      <x:c r="A118" s="2" t="str">
        <x:v>Census BTOS</x:v>
      </x:c>
      <x:c r="B118" s="2" t="str">
        <x:v>Quintiles</x:v>
      </x:c>
      <x:c r="C118" s="2" t="str">
        <x:v>Q2</x:v>
      </x:c>
      <x:c r="D118" s="2" t="str">
        <x:v>2025Q4</x:v>
      </x:c>
      <x:c r="E118" s="20" t="n">
        <x:v>24297.6</x:v>
      </x:c>
      <x:c r="F118" s="20" t="n">
        <x:f>$E$63</x:f>
        <x:v>24074.9666666667</x:v>
      </x:c>
      <x:c r="G118" s="22" t="n">
        <x:f>100*E118/F118</x:f>
        <x:v>100.92475032848768</x:v>
      </x:c>
      <x:c r="H118" s="24" t="n">
        <x:f>G118/100-1</x:f>
        <x:v>0.009247503284876668</x:v>
      </x:c>
      <x:c r="I118" s="26" t="n">
        <x:v>3</x:v>
      </x:c>
      <x:c r="J118" s="26" t="n">
        <x:v>3</x:v>
      </x:c>
      <x:c r="K118" s="7" t="b">
        <x:v>0</x:v>
      </x:c>
      <x:c r="L118" s="2" t="str">
        <x:v>Aug 10–23, 2026</x:v>
      </x:c>
      <x:c r="M118" s="2" t="str">
        <x:v>https://www.census.gov/hfp/btos/downloads/Sector.xlsx</x:v>
      </x:c>
    </x:row>
    <x:row r="119" ht="24" customHeight="1">
      <x:c r="A119" s="2" t="str">
        <x:v>Census BTOS</x:v>
      </x:c>
      <x:c r="B119" s="2" t="str">
        <x:v>Quintiles</x:v>
      </x:c>
      <x:c r="C119" s="2" t="str">
        <x:v>Q3</x:v>
      </x:c>
      <x:c r="D119" s="2" t="str">
        <x:v>2025Q4</x:v>
      </x:c>
      <x:c r="E119" s="20" t="n">
        <x:v>30286</x:v>
      </x:c>
      <x:c r="F119" s="20" t="n">
        <x:f>$E$64</x:f>
        <x:v>30928.5333333333</x:v>
      </x:c>
      <x:c r="G119" s="22" t="n">
        <x:f>100*E119/F119</x:f>
        <x:v>97.92252246038188</x:v>
      </x:c>
      <x:c r="H119" s="24" t="n">
        <x:f>G119/100-1</x:f>
        <x:v>-0.02077477539618111</x:v>
      </x:c>
      <x:c r="I119" s="26" t="n">
        <x:v>4</x:v>
      </x:c>
      <x:c r="J119" s="26" t="n">
        <x:v>3</x:v>
      </x:c>
      <x:c r="K119" s="7" t="b">
        <x:v>0</x:v>
      </x:c>
      <x:c r="L119" s="2" t="str">
        <x:v>Aug 10–23, 2026</x:v>
      </x:c>
      <x:c r="M119" s="2" t="str">
        <x:v>https://www.census.gov/hfp/btos/downloads/Sector.xlsx</x:v>
      </x:c>
    </x:row>
    <x:row r="120" ht="24" customHeight="1">
      <x:c r="A120" s="2" t="str">
        <x:v>Census BTOS</x:v>
      </x:c>
      <x:c r="B120" s="2" t="str">
        <x:v>Quintiles</x:v>
      </x:c>
      <x:c r="C120" s="2" t="str">
        <x:v>Q4</x:v>
      </x:c>
      <x:c r="D120" s="2" t="str">
        <x:v>2025Q4</x:v>
      </x:c>
      <x:c r="E120" s="20" t="n">
        <x:v>28613.3666666667</x:v>
      </x:c>
      <x:c r="F120" s="20" t="n">
        <x:f>$E$65</x:f>
        <x:v>26207.6666666667</x:v>
      </x:c>
      <x:c r="G120" s="22" t="n">
        <x:f>100*E120/F120</x:f>
        <x:v>109.17937499205067</x:v>
      </x:c>
      <x:c r="H120" s="24" t="n">
        <x:f>G120/100-1</x:f>
        <x:v>0.0917937499205066</x:v>
      </x:c>
      <x:c r="I120" s="26" t="n">
        <x:v>3</x:v>
      </x:c>
      <x:c r="J120" s="26" t="n">
        <x:v>3</x:v>
      </x:c>
      <x:c r="K120" s="7" t="b">
        <x:v>0</x:v>
      </x:c>
      <x:c r="L120" s="2" t="str">
        <x:v>Aug 10–23, 2026</x:v>
      </x:c>
      <x:c r="M120" s="2" t="str">
        <x:v>https://www.census.gov/hfp/btos/downloads/Sector.xlsx</x:v>
      </x:c>
    </x:row>
    <x:row r="121" ht="24" customHeight="1">
      <x:c r="A121" s="2" t="str">
        <x:v>Census BTOS</x:v>
      </x:c>
      <x:c r="B121" s="2" t="str">
        <x:v>Quintiles</x:v>
      </x:c>
      <x:c r="C121" s="2" t="str">
        <x:v>Q5</x:v>
      </x:c>
      <x:c r="D121" s="2" t="str">
        <x:v>2025Q4</x:v>
      </x:c>
      <x:c r="E121" s="20" t="n">
        <x:v>24403.2</x:v>
      </x:c>
      <x:c r="F121" s="20" t="n">
        <x:f>$E$66</x:f>
        <x:v>24267.6666666667</x:v>
      </x:c>
      <x:c r="G121" s="22" t="n">
        <x:f>100*E121/F121</x:f>
        <x:v>100.55849346867561</x:v>
      </x:c>
      <x:c r="H121" s="24" t="n">
        <x:f>G121/100-1</x:f>
        <x:v>0.005584934686756027</x:v>
      </x:c>
      <x:c r="I121" s="26" t="n">
        <x:v>4</x:v>
      </x:c>
      <x:c r="J121" s="26" t="n">
        <x:v>3</x:v>
      </x:c>
      <x:c r="K121" s="7" t="b">
        <x:v>0</x:v>
      </x:c>
      <x:c r="L121" s="2" t="str">
        <x:v>Aug 10–23, 2026</x:v>
      </x:c>
      <x:c r="M121" s="2" t="str">
        <x:v>https://www.census.gov/hfp/btos/downloads/Sector.xlsx</x:v>
      </x:c>
    </x:row>
    <x:row r="122" ht="24" customHeight="1">
      <x:c r="A122" s="2" t="str">
        <x:v>Census BTOS</x:v>
      </x:c>
      <x:c r="B122" s="2" t="str">
        <x:v>Quintiles</x:v>
      </x:c>
      <x:c r="C122" s="2" t="str">
        <x:v>Q1</x:v>
      </x:c>
      <x:c r="D122" s="2" t="str">
        <x:v>2026Q1</x:v>
      </x:c>
      <x:c r="E122" s="20" t="n">
        <x:v>27425.9666666667</x:v>
      </x:c>
      <x:c r="F122" s="20" t="n">
        <x:f>$E$62</x:f>
        <x:v>26934</x:v>
      </x:c>
      <x:c r="G122" s="22" t="n">
        <x:f>100*E122/F122</x:f>
        <x:v>101.82656369891846</x:v>
      </x:c>
      <x:c r="H122" s="24" t="n">
        <x:f>G122/100-1</x:f>
        <x:v>0.018265636989184708</x:v>
      </x:c>
      <x:c r="I122" s="26" t="n">
        <x:v>4</x:v>
      </x:c>
      <x:c r="J122" s="26" t="n">
        <x:v>3</x:v>
      </x:c>
      <x:c r="K122" s="7" t="b">
        <x:v>0</x:v>
      </x:c>
      <x:c r="L122" s="2" t="str">
        <x:v>Aug 10–23, 2026</x:v>
      </x:c>
      <x:c r="M122" s="2" t="str">
        <x:v>https://www.census.gov/hfp/btos/downloads/Sector.xlsx</x:v>
      </x:c>
    </x:row>
    <x:row r="123" ht="24" customHeight="1">
      <x:c r="A123" s="2" t="str">
        <x:v>Census BTOS</x:v>
      </x:c>
      <x:c r="B123" s="2" t="str">
        <x:v>Quintiles</x:v>
      </x:c>
      <x:c r="C123" s="2" t="str">
        <x:v>Q2</x:v>
      </x:c>
      <x:c r="D123" s="2" t="str">
        <x:v>2026Q1</x:v>
      </x:c>
      <x:c r="E123" s="20" t="n">
        <x:v>24342.8</x:v>
      </x:c>
      <x:c r="F123" s="20" t="n">
        <x:f>$E$63</x:f>
        <x:v>24074.9666666667</x:v>
      </x:c>
      <x:c r="G123" s="22" t="n">
        <x:f>100*E123/F123</x:f>
        <x:v>101.11249721356471</x:v>
      </x:c>
      <x:c r="H123" s="24" t="n">
        <x:f>G123/100-1</x:f>
        <x:v>0.011124972135647004</x:v>
      </x:c>
      <x:c r="I123" s="26" t="n">
        <x:v>3</x:v>
      </x:c>
      <x:c r="J123" s="26" t="n">
        <x:v>3</x:v>
      </x:c>
      <x:c r="K123" s="7" t="b">
        <x:v>0</x:v>
      </x:c>
      <x:c r="L123" s="2" t="str">
        <x:v>Aug 10–23, 2026</x:v>
      </x:c>
      <x:c r="M123" s="2" t="str">
        <x:v>https://www.census.gov/hfp/btos/downloads/Sector.xlsx</x:v>
      </x:c>
    </x:row>
    <x:row r="124" ht="24" customHeight="1">
      <x:c r="A124" s="2" t="str">
        <x:v>Census BTOS</x:v>
      </x:c>
      <x:c r="B124" s="2" t="str">
        <x:v>Quintiles</x:v>
      </x:c>
      <x:c r="C124" s="2" t="str">
        <x:v>Q3</x:v>
      </x:c>
      <x:c r="D124" s="2" t="str">
        <x:v>2026Q1</x:v>
      </x:c>
      <x:c r="E124" s="20" t="n">
        <x:v>30321.5666666667</x:v>
      </x:c>
      <x:c r="F124" s="20" t="n">
        <x:f>$E$64</x:f>
        <x:v>30928.5333333333</x:v>
      </x:c>
      <x:c r="G124" s="22" t="n">
        <x:f>100*E124/F124</x:f>
        <x:v>98.03751875291015</x:v>
      </x:c>
      <x:c r="H124" s="24" t="n">
        <x:f>G124/100-1</x:f>
        <x:v>-0.019624812470898534</x:v>
      </x:c>
      <x:c r="I124" s="26" t="n">
        <x:v>4</x:v>
      </x:c>
      <x:c r="J124" s="26" t="n">
        <x:v>3</x:v>
      </x:c>
      <x:c r="K124" s="7" t="b">
        <x:v>0</x:v>
      </x:c>
      <x:c r="L124" s="2" t="str">
        <x:v>Aug 10–23, 2026</x:v>
      </x:c>
      <x:c r="M124" s="2" t="str">
        <x:v>https://www.census.gov/hfp/btos/downloads/Sector.xlsx</x:v>
      </x:c>
    </x:row>
    <x:row r="125" ht="24" customHeight="1">
      <x:c r="A125" s="2" t="str">
        <x:v>Census BTOS</x:v>
      </x:c>
      <x:c r="B125" s="2" t="str">
        <x:v>Quintiles</x:v>
      </x:c>
      <x:c r="C125" s="2" t="str">
        <x:v>Q4</x:v>
      </x:c>
      <x:c r="D125" s="2" t="str">
        <x:v>2026Q1</x:v>
      </x:c>
      <x:c r="E125" s="20" t="n">
        <x:v>28763.5</x:v>
      </x:c>
      <x:c r="F125" s="20" t="n">
        <x:f>$E$65</x:f>
        <x:v>26207.6666666667</x:v>
      </x:c>
      <x:c r="G125" s="22" t="n">
        <x:f>100*E125/F125</x:f>
        <x:v>109.75223535097858</x:v>
      </x:c>
      <x:c r="H125" s="24" t="n">
        <x:f>G125/100-1</x:f>
        <x:v>0.09752235350978578</x:v>
      </x:c>
      <x:c r="I125" s="26" t="n">
        <x:v>3</x:v>
      </x:c>
      <x:c r="J125" s="26" t="n">
        <x:v>3</x:v>
      </x:c>
      <x:c r="K125" s="7" t="b">
        <x:v>0</x:v>
      </x:c>
      <x:c r="L125" s="2" t="str">
        <x:v>Aug 10–23, 2026</x:v>
      </x:c>
      <x:c r="M125" s="2" t="str">
        <x:v>https://www.census.gov/hfp/btos/downloads/Sector.xlsx</x:v>
      </x:c>
    </x:row>
    <x:row r="126" ht="24" customHeight="1">
      <x:c r="A126" s="2" t="str">
        <x:v>Census BTOS</x:v>
      </x:c>
      <x:c r="B126" s="2" t="str">
        <x:v>Quintiles</x:v>
      </x:c>
      <x:c r="C126" s="2" t="str">
        <x:v>Q5</x:v>
      </x:c>
      <x:c r="D126" s="2" t="str">
        <x:v>2026Q1</x:v>
      </x:c>
      <x:c r="E126" s="20" t="n">
        <x:v>24340.9333333333</x:v>
      </x:c>
      <x:c r="F126" s="20" t="n">
        <x:f>$E$66</x:f>
        <x:v>24267.6666666667</x:v>
      </x:c>
      <x:c r="G126" s="22" t="n">
        <x:f>100*E126/F126</x:f>
        <x:v>100.30191063555047</x:v>
      </x:c>
      <x:c r="H126" s="24" t="n">
        <x:f>G126/100-1</x:f>
        <x:v>0.0030191063555047304</x:v>
      </x:c>
      <x:c r="I126" s="26" t="n">
        <x:v>4</x:v>
      </x:c>
      <x:c r="J126" s="26" t="n">
        <x:v>3</x:v>
      </x:c>
      <x:c r="K126" s="7" t="b">
        <x:v>0</x:v>
      </x:c>
      <x:c r="L126" s="2" t="str">
        <x:v>Aug 10–23, 2026</x:v>
      </x:c>
      <x:c r="M126" s="2" t="str">
        <x:v>https://www.census.gov/hfp/btos/downloads/Sector.xlsx</x:v>
      </x:c>
    </x:row>
    <x:row r="127" ht="24" customHeight="1">
      <x:c r="A127" s="2" t="str">
        <x:v>Census BTOS</x:v>
      </x:c>
      <x:c r="B127" s="2" t="str">
        <x:v>Quintiles</x:v>
      </x:c>
      <x:c r="C127" s="2" t="str">
        <x:v>Q1</x:v>
      </x:c>
      <x:c r="D127" s="2" t="str">
        <x:v>2026Q2</x:v>
      </x:c>
      <x:c r="E127" s="20" t="n">
        <x:v>27493.1</x:v>
      </x:c>
      <x:c r="F127" s="20" t="n">
        <x:f>$E$62</x:f>
        <x:v>26934</x:v>
      </x:c>
      <x:c r="G127" s="22" t="n">
        <x:f>100*E127/F127</x:f>
        <x:v>102.07581495507537</x:v>
      </x:c>
      <x:c r="H127" s="24" t="n">
        <x:f>G127/100-1</x:f>
        <x:v>0.020758149550753835</x:v>
      </x:c>
      <x:c r="I127" s="26" t="n">
        <x:v>4</x:v>
      </x:c>
      <x:c r="J127" s="26" t="n">
        <x:v>3</x:v>
      </x:c>
      <x:c r="K127" s="7" t="b">
        <x:v>0</x:v>
      </x:c>
      <x:c r="L127" s="2" t="str">
        <x:v>Aug 10–23, 2026</x:v>
      </x:c>
      <x:c r="M127" s="2" t="str">
        <x:v>https://www.census.gov/hfp/btos/downloads/Sector.xlsx</x:v>
      </x:c>
    </x:row>
    <x:row r="128" ht="24" customHeight="1">
      <x:c r="A128" s="2" t="str">
        <x:v>Census BTOS</x:v>
      </x:c>
      <x:c r="B128" s="2" t="str">
        <x:v>Quintiles</x:v>
      </x:c>
      <x:c r="C128" s="2" t="str">
        <x:v>Q2</x:v>
      </x:c>
      <x:c r="D128" s="2" t="str">
        <x:v>2026Q2</x:v>
      </x:c>
      <x:c r="E128" s="20" t="n">
        <x:v>24389.2666666667</x:v>
      </x:c>
      <x:c r="F128" s="20" t="n">
        <x:f>$E$63</x:f>
        <x:v>24074.9666666667</x:v>
      </x:c>
      <x:c r="G128" s="22" t="n">
        <x:f>100*E128/F128</x:f>
        <x:v>101.30550544202899</x:v>
      </x:c>
      <x:c r="H128" s="24" t="n">
        <x:f>G128/100-1</x:f>
        <x:v>0.013055054420289869</x:v>
      </x:c>
      <x:c r="I128" s="26" t="n">
        <x:v>3</x:v>
      </x:c>
      <x:c r="J128" s="26" t="n">
        <x:v>3</x:v>
      </x:c>
      <x:c r="K128" s="7" t="b">
        <x:v>0</x:v>
      </x:c>
      <x:c r="L128" s="2" t="str">
        <x:v>Aug 10–23, 2026</x:v>
      </x:c>
      <x:c r="M128" s="2" t="str">
        <x:v>https://www.census.gov/hfp/btos/downloads/Sector.xlsx</x:v>
      </x:c>
    </x:row>
    <x:row r="129" ht="24" customHeight="1">
      <x:c r="A129" s="2" t="str">
        <x:v>Census BTOS</x:v>
      </x:c>
      <x:c r="B129" s="2" t="str">
        <x:v>Quintiles</x:v>
      </x:c>
      <x:c r="C129" s="2" t="str">
        <x:v>Q3</x:v>
      </x:c>
      <x:c r="D129" s="2" t="str">
        <x:v>2026Q2</x:v>
      </x:c>
      <x:c r="E129" s="20" t="n">
        <x:v>30377.0666666667</x:v>
      </x:c>
      <x:c r="F129" s="20" t="n">
        <x:f>$E$64</x:f>
        <x:v>30928.5333333333</x:v>
      </x:c>
      <x:c r="G129" s="22" t="n">
        <x:f>100*E129/F129</x:f>
        <x:v>98.21696470141939</x:v>
      </x:c>
      <x:c r="H129" s="24" t="n">
        <x:f>G129/100-1</x:f>
        <x:v>-0.017830352985806153</x:v>
      </x:c>
      <x:c r="I129" s="26" t="n">
        <x:v>4</x:v>
      </x:c>
      <x:c r="J129" s="26" t="n">
        <x:v>3</x:v>
      </x:c>
      <x:c r="K129" s="7" t="b">
        <x:v>0</x:v>
      </x:c>
      <x:c r="L129" s="2" t="str">
        <x:v>Aug 10–23, 2026</x:v>
      </x:c>
      <x:c r="M129" s="2" t="str">
        <x:v>https://www.census.gov/hfp/btos/downloads/Sector.xlsx</x:v>
      </x:c>
    </x:row>
    <x:row r="130" ht="24" customHeight="1">
      <x:c r="A130" s="2" t="str">
        <x:v>Census BTOS</x:v>
      </x:c>
      <x:c r="B130" s="2" t="str">
        <x:v>Quintiles</x:v>
      </x:c>
      <x:c r="C130" s="2" t="str">
        <x:v>Q4</x:v>
      </x:c>
      <x:c r="D130" s="2" t="str">
        <x:v>2026Q2</x:v>
      </x:c>
      <x:c r="E130" s="20" t="n">
        <x:v>28904.8666666667</x:v>
      </x:c>
      <x:c r="F130" s="20" t="n">
        <x:f>$E$65</x:f>
        <x:v>26207.6666666667</x:v>
      </x:c>
      <x:c r="G130" s="22" t="n">
        <x:f>100*E130/F130</x:f>
        <x:v>110.29164493850399</x:v>
      </x:c>
      <x:c r="H130" s="24" t="n">
        <x:f>G130/100-1</x:f>
        <x:v>0.10291644938503985</x:v>
      </x:c>
      <x:c r="I130" s="26" t="n">
        <x:v>3</x:v>
      </x:c>
      <x:c r="J130" s="26" t="n">
        <x:v>3</x:v>
      </x:c>
      <x:c r="K130" s="7" t="b">
        <x:v>0</x:v>
      </x:c>
      <x:c r="L130" s="2" t="str">
        <x:v>Aug 10–23, 2026</x:v>
      </x:c>
      <x:c r="M130" s="2" t="str">
        <x:v>https://www.census.gov/hfp/btos/downloads/Sector.xlsx</x:v>
      </x:c>
    </x:row>
    <x:row r="131" ht="24" customHeight="1">
      <x:c r="A131" s="2" t="str">
        <x:v>Census BTOS</x:v>
      </x:c>
      <x:c r="B131" s="2" t="str">
        <x:v>Quintiles</x:v>
      </x:c>
      <x:c r="C131" s="2" t="str">
        <x:v>Q5</x:v>
      </x:c>
      <x:c r="D131" s="2" t="str">
        <x:v>2026Q2</x:v>
      </x:c>
      <x:c r="E131" s="20" t="n">
        <x:v>24312.6333333333</x:v>
      </x:c>
      <x:c r="F131" s="20" t="n">
        <x:f>$E$66</x:f>
        <x:v>24267.6666666667</x:v>
      </x:c>
      <x:c r="G131" s="22" t="n">
        <x:f>100*E131/F131</x:f>
        <x:v>100.18529456203699</x:v>
      </x:c>
      <x:c r="H131" s="24" t="n">
        <x:f>G131/100-1</x:f>
        <x:v>0.0018529456203699723</x:v>
      </x:c>
      <x:c r="I131" s="26" t="n">
        <x:v>4</x:v>
      </x:c>
      <x:c r="J131" s="26" t="n">
        <x:v>3</x:v>
      </x:c>
      <x:c r="K131" s="7" t="b">
        <x:v>0</x:v>
      </x:c>
      <x:c r="L131" s="2" t="str">
        <x:v>Aug 10–23, 2026</x:v>
      </x:c>
      <x:c r="M131" s="2" t="str">
        <x:v>https://www.census.gov/hfp/btos/downloads/Sector.xlsx</x:v>
      </x:c>
    </x:row>
    <x:row r="132" ht="24" customHeight="1">
      <x:c r="A132" s="2" t="str">
        <x:v>Census BTOS</x:v>
      </x:c>
      <x:c r="B132" s="2" t="str">
        <x:v>Halves</x:v>
      </x:c>
      <x:c r="C132" s="2" t="str">
        <x:v>Lower half</x:v>
      </x:c>
      <x:c r="D132" s="2" t="str">
        <x:v>2023Q1</x:v>
      </x:c>
      <x:c r="E132" s="20" t="n">
        <x:v>59538.3333333333</x:v>
      </x:c>
      <x:c r="F132" s="20" t="n">
        <x:f>$E$132</x:f>
        <x:v>59538.3333333333</x:v>
      </x:c>
      <x:c r="G132" s="22" t="n">
        <x:f>100*E132/F132</x:f>
        <x:v>100</x:v>
      </x:c>
      <x:c r="H132" s="24" t="n">
        <x:f>G132/100-1</x:f>
        <x:v>0</x:v>
      </x:c>
      <x:c r="I132" s="26" t="n">
        <x:v>9</x:v>
      </x:c>
      <x:c r="J132" s="26" t="n">
        <x:v>3</x:v>
      </x:c>
      <x:c r="K132" s="7" t="b">
        <x:v>0</x:v>
      </x:c>
      <x:c r="L132" s="2" t="str">
        <x:v>Aug 10–23, 2026</x:v>
      </x:c>
      <x:c r="M132" s="2" t="str">
        <x:v>https://www.census.gov/hfp/btos/downloads/Sector.xlsx</x:v>
      </x:c>
    </x:row>
    <x:row r="133" ht="24" customHeight="1">
      <x:c r="A133" s="2" t="str">
        <x:v>Census BTOS</x:v>
      </x:c>
      <x:c r="B133" s="2" t="str">
        <x:v>Halves</x:v>
      </x:c>
      <x:c r="C133" s="2" t="str">
        <x:v>Higher half</x:v>
      </x:c>
      <x:c r="D133" s="2" t="str">
        <x:v>2023Q1</x:v>
      </x:c>
      <x:c r="E133" s="20" t="n">
        <x:v>72874.5</x:v>
      </x:c>
      <x:c r="F133" s="20" t="n">
        <x:f>$E$133</x:f>
        <x:v>72874.5</x:v>
      </x:c>
      <x:c r="G133" s="22" t="n">
        <x:f>100*E133/F133</x:f>
        <x:v>100</x:v>
      </x:c>
      <x:c r="H133" s="24" t="n">
        <x:f>G133/100-1</x:f>
        <x:v>0</x:v>
      </x:c>
      <x:c r="I133" s="26" t="n">
        <x:v>9</x:v>
      </x:c>
      <x:c r="J133" s="26" t="n">
        <x:v>3</x:v>
      </x:c>
      <x:c r="K133" s="7" t="b">
        <x:v>0</x:v>
      </x:c>
      <x:c r="L133" s="2" t="str">
        <x:v>Aug 10–23, 2026</x:v>
      </x:c>
      <x:c r="M133" s="2" t="str">
        <x:v>https://www.census.gov/hfp/btos/downloads/Sector.xlsx</x:v>
      </x:c>
    </x:row>
    <x:row r="134" ht="24" customHeight="1">
      <x:c r="A134" s="2" t="str">
        <x:v>Census BTOS</x:v>
      </x:c>
      <x:c r="B134" s="2" t="str">
        <x:v>Halves</x:v>
      </x:c>
      <x:c r="C134" s="2" t="str">
        <x:v>Lower half</x:v>
      </x:c>
      <x:c r="D134" s="2" t="str">
        <x:v>2023Q2</x:v>
      </x:c>
      <x:c r="E134" s="20" t="n">
        <x:v>59731.8666666667</x:v>
      </x:c>
      <x:c r="F134" s="20" t="n">
        <x:f>$E$132</x:f>
        <x:v>59538.3333333333</x:v>
      </x:c>
      <x:c r="G134" s="22" t="n">
        <x:f>100*E134/F134</x:f>
        <x:v>100.32505668616868</x:v>
      </x:c>
      <x:c r="H134" s="24" t="n">
        <x:f>G134/100-1</x:f>
        <x:v>0.003250566861686899</x:v>
      </x:c>
      <x:c r="I134" s="26" t="n">
        <x:v>9</x:v>
      </x:c>
      <x:c r="J134" s="26" t="n">
        <x:v>3</x:v>
      </x:c>
      <x:c r="K134" s="7" t="b">
        <x:v>0</x:v>
      </x:c>
      <x:c r="L134" s="2" t="str">
        <x:v>Aug 10–23, 2026</x:v>
      </x:c>
      <x:c r="M134" s="2" t="str">
        <x:v>https://www.census.gov/hfp/btos/downloads/Sector.xlsx</x:v>
      </x:c>
    </x:row>
    <x:row r="135" ht="24" customHeight="1">
      <x:c r="A135" s="2" t="str">
        <x:v>Census BTOS</x:v>
      </x:c>
      <x:c r="B135" s="2" t="str">
        <x:v>Halves</x:v>
      </x:c>
      <x:c r="C135" s="2" t="str">
        <x:v>Higher half</x:v>
      </x:c>
      <x:c r="D135" s="2" t="str">
        <x:v>2023Q2</x:v>
      </x:c>
      <x:c r="E135" s="20" t="n">
        <x:v>73140.5333333333</x:v>
      </x:c>
      <x:c r="F135" s="20" t="n">
        <x:f>$E$133</x:f>
        <x:v>72874.5</x:v>
      </x:c>
      <x:c r="G135" s="22" t="n">
        <x:f>100*E135/F135</x:f>
        <x:v>100.3650568214304</x:v>
      </x:c>
      <x:c r="H135" s="24" t="n">
        <x:f>G135/100-1</x:f>
        <x:v>0.003650568214303984</x:v>
      </x:c>
      <x:c r="I135" s="26" t="n">
        <x:v>9</x:v>
      </x:c>
      <x:c r="J135" s="26" t="n">
        <x:v>3</x:v>
      </x:c>
      <x:c r="K135" s="7" t="b">
        <x:v>0</x:v>
      </x:c>
      <x:c r="L135" s="2" t="str">
        <x:v>Aug 10–23, 2026</x:v>
      </x:c>
      <x:c r="M135" s="2" t="str">
        <x:v>https://www.census.gov/hfp/btos/downloads/Sector.xlsx</x:v>
      </x:c>
    </x:row>
    <x:row r="136" ht="24" customHeight="1">
      <x:c r="A136" s="2" t="str">
        <x:v>Census BTOS</x:v>
      </x:c>
      <x:c r="B136" s="2" t="str">
        <x:v>Halves</x:v>
      </x:c>
      <x:c r="C136" s="2" t="str">
        <x:v>Lower half</x:v>
      </x:c>
      <x:c r="D136" s="2" t="str">
        <x:v>2023Q3</x:v>
      </x:c>
      <x:c r="E136" s="20" t="n">
        <x:v>59952.4333333333</x:v>
      </x:c>
      <x:c r="F136" s="20" t="n">
        <x:f>$E$132</x:f>
        <x:v>59538.3333333333</x:v>
      </x:c>
      <x:c r="G136" s="22" t="n">
        <x:f>100*E136/F136</x:f>
        <x:v>100.69551829353638</x:v>
      </x:c>
      <x:c r="H136" s="24" t="n">
        <x:f>G136/100-1</x:f>
        <x:v>0.006955182935363791</x:v>
      </x:c>
      <x:c r="I136" s="26" t="n">
        <x:v>9</x:v>
      </x:c>
      <x:c r="J136" s="26" t="n">
        <x:v>3</x:v>
      </x:c>
      <x:c r="K136" s="7" t="b">
        <x:v>0</x:v>
      </x:c>
      <x:c r="L136" s="2" t="str">
        <x:v>Aug 10–23, 2026</x:v>
      </x:c>
      <x:c r="M136" s="2" t="str">
        <x:v>https://www.census.gov/hfp/btos/downloads/Sector.xlsx</x:v>
      </x:c>
    </x:row>
    <x:row r="137" ht="24" customHeight="1">
      <x:c r="A137" s="2" t="str">
        <x:v>Census BTOS</x:v>
      </x:c>
      <x:c r="B137" s="2" t="str">
        <x:v>Halves</x:v>
      </x:c>
      <x:c r="C137" s="2" t="str">
        <x:v>Higher half</x:v>
      </x:c>
      <x:c r="D137" s="2" t="str">
        <x:v>2023Q3</x:v>
      </x:c>
      <x:c r="E137" s="20" t="n">
        <x:v>73344.4666666667</x:v>
      </x:c>
      <x:c r="F137" s="20" t="n">
        <x:f>$E$133</x:f>
        <x:v>72874.5</x:v>
      </x:c>
      <x:c r="G137" s="22" t="n">
        <x:f>100*E137/F137</x:f>
        <x:v>100.6448986499622</x:v>
      </x:c>
      <x:c r="H137" s="24" t="n">
        <x:f>G137/100-1</x:f>
        <x:v>0.006448986499622</x:v>
      </x:c>
      <x:c r="I137" s="26" t="n">
        <x:v>9</x:v>
      </x:c>
      <x:c r="J137" s="26" t="n">
        <x:v>3</x:v>
      </x:c>
      <x:c r="K137" s="7" t="b">
        <x:v>0</x:v>
      </x:c>
      <x:c r="L137" s="2" t="str">
        <x:v>Aug 10–23, 2026</x:v>
      </x:c>
      <x:c r="M137" s="2" t="str">
        <x:v>https://www.census.gov/hfp/btos/downloads/Sector.xlsx</x:v>
      </x:c>
    </x:row>
    <x:row r="138" ht="24" customHeight="1">
      <x:c r="A138" s="2" t="str">
        <x:v>Census BTOS</x:v>
      </x:c>
      <x:c r="B138" s="2" t="str">
        <x:v>Halves</x:v>
      </x:c>
      <x:c r="C138" s="2" t="str">
        <x:v>Lower half</x:v>
      </x:c>
      <x:c r="D138" s="2" t="str">
        <x:v>2023Q4</x:v>
      </x:c>
      <x:c r="E138" s="20" t="n">
        <x:v>60123.3333333333</x:v>
      </x:c>
      <x:c r="F138" s="20" t="n">
        <x:f>$E$132</x:f>
        <x:v>59538.3333333333</x:v>
      </x:c>
      <x:c r="G138" s="22" t="n">
        <x:f>100*E138/F138</x:f>
        <x:v>100.98256025529771</x:v>
      </x:c>
      <x:c r="H138" s="24" t="n">
        <x:f>G138/100-1</x:f>
        <x:v>0.009825602552977042</x:v>
      </x:c>
      <x:c r="I138" s="26" t="n">
        <x:v>9</x:v>
      </x:c>
      <x:c r="J138" s="26" t="n">
        <x:v>3</x:v>
      </x:c>
      <x:c r="K138" s="7" t="b">
        <x:v>0</x:v>
      </x:c>
      <x:c r="L138" s="2" t="str">
        <x:v>Aug 10–23, 2026</x:v>
      </x:c>
      <x:c r="M138" s="2" t="str">
        <x:v>https://www.census.gov/hfp/btos/downloads/Sector.xlsx</x:v>
      </x:c>
    </x:row>
    <x:row r="139" ht="24" customHeight="1">
      <x:c r="A139" s="2" t="str">
        <x:v>Census BTOS</x:v>
      </x:c>
      <x:c r="B139" s="2" t="str">
        <x:v>Halves</x:v>
      </x:c>
      <x:c r="C139" s="2" t="str">
        <x:v>Higher half</x:v>
      </x:c>
      <x:c r="D139" s="2" t="str">
        <x:v>2023Q4</x:v>
      </x:c>
      <x:c r="E139" s="20" t="n">
        <x:v>73504.0333333333</x:v>
      </x:c>
      <x:c r="F139" s="20" t="n">
        <x:f>$E$133</x:f>
        <x:v>72874.5</x:v>
      </x:c>
      <x:c r="G139" s="22" t="n">
        <x:f>100*E139/F139</x:f>
        <x:v>100.86385955764128</x:v>
      </x:c>
      <x:c r="H139" s="24" t="n">
        <x:f>G139/100-1</x:f>
        <x:v>0.008638595576412778</x:v>
      </x:c>
      <x:c r="I139" s="26" t="n">
        <x:v>9</x:v>
      </x:c>
      <x:c r="J139" s="26" t="n">
        <x:v>3</x:v>
      </x:c>
      <x:c r="K139" s="7" t="b">
        <x:v>0</x:v>
      </x:c>
      <x:c r="L139" s="2" t="str">
        <x:v>Aug 10–23, 2026</x:v>
      </x:c>
      <x:c r="M139" s="2" t="str">
        <x:v>https://www.census.gov/hfp/btos/downloads/Sector.xlsx</x:v>
      </x:c>
    </x:row>
    <x:row r="140" ht="24" customHeight="1">
      <x:c r="A140" s="2" t="str">
        <x:v>Census BTOS</x:v>
      </x:c>
      <x:c r="B140" s="2" t="str">
        <x:v>Halves</x:v>
      </x:c>
      <x:c r="C140" s="2" t="str">
        <x:v>Lower half</x:v>
      </x:c>
      <x:c r="D140" s="2" t="str">
        <x:v>2024Q1</x:v>
      </x:c>
      <x:c r="E140" s="20" t="n">
        <x:v>60238.7333333333</x:v>
      </x:c>
      <x:c r="F140" s="20" t="n">
        <x:f>$E$132</x:f>
        <x:v>59538.3333333333</x:v>
      </x:c>
      <x:c r="G140" s="22" t="n">
        <x:f>100*E140/F140</x:f>
        <x:v>101.17638496206926</x:v>
      </x:c>
      <x:c r="H140" s="24" t="n">
        <x:f>G140/100-1</x:f>
        <x:v>0.011763849620692657</x:v>
      </x:c>
      <x:c r="I140" s="26" t="n">
        <x:v>9</x:v>
      </x:c>
      <x:c r="J140" s="26" t="n">
        <x:v>3</x:v>
      </x:c>
      <x:c r="K140" s="7" t="b">
        <x:v>0</x:v>
      </x:c>
      <x:c r="L140" s="2" t="str">
        <x:v>Aug 10–23, 2026</x:v>
      </x:c>
      <x:c r="M140" s="2" t="str">
        <x:v>https://www.census.gov/hfp/btos/downloads/Sector.xlsx</x:v>
      </x:c>
    </x:row>
    <x:row r="141" ht="24" customHeight="1">
      <x:c r="A141" s="2" t="str">
        <x:v>Census BTOS</x:v>
      </x:c>
      <x:c r="B141" s="2" t="str">
        <x:v>Halves</x:v>
      </x:c>
      <x:c r="C141" s="2" t="str">
        <x:v>Higher half</x:v>
      </x:c>
      <x:c r="D141" s="2" t="str">
        <x:v>2024Q1</x:v>
      </x:c>
      <x:c r="E141" s="20" t="n">
        <x:v>73748.2666666667</x:v>
      </x:c>
      <x:c r="F141" s="20" t="n">
        <x:f>$E$133</x:f>
        <x:v>72874.5</x:v>
      </x:c>
      <x:c r="G141" s="22" t="n">
        <x:f>100*E141/F141</x:f>
        <x:v>101.19900193712026</x:v>
      </x:c>
      <x:c r="H141" s="24" t="n">
        <x:f>G141/100-1</x:f>
        <x:v>0.011990019371202587</x:v>
      </x:c>
      <x:c r="I141" s="26" t="n">
        <x:v>9</x:v>
      </x:c>
      <x:c r="J141" s="26" t="n">
        <x:v>3</x:v>
      </x:c>
      <x:c r="K141" s="7" t="b">
        <x:v>0</x:v>
      </x:c>
      <x:c r="L141" s="2" t="str">
        <x:v>Aug 10–23, 2026</x:v>
      </x:c>
      <x:c r="M141" s="2" t="str">
        <x:v>https://www.census.gov/hfp/btos/downloads/Sector.xlsx</x:v>
      </x:c>
    </x:row>
    <x:row r="142" ht="24" customHeight="1">
      <x:c r="A142" s="2" t="str">
        <x:v>Census BTOS</x:v>
      </x:c>
      <x:c r="B142" s="2" t="str">
        <x:v>Halves</x:v>
      </x:c>
      <x:c r="C142" s="2" t="str">
        <x:v>Lower half</x:v>
      </x:c>
      <x:c r="D142" s="2" t="str">
        <x:v>2024Q2</x:v>
      </x:c>
      <x:c r="E142" s="20" t="n">
        <x:v>60333.3</x:v>
      </x:c>
      <x:c r="F142" s="20" t="n">
        <x:f>$E$132</x:f>
        <x:v>59538.3333333333</x:v>
      </x:c>
      <x:c r="G142" s="22" t="n">
        <x:f>100*E142/F142</x:f>
        <x:v>101.3352182067576</x:v>
      </x:c>
      <x:c r="H142" s="24" t="n">
        <x:f>G142/100-1</x:f>
        <x:v>0.013352182067575935</x:v>
      </x:c>
      <x:c r="I142" s="26" t="n">
        <x:v>9</x:v>
      </x:c>
      <x:c r="J142" s="26" t="n">
        <x:v>3</x:v>
      </x:c>
      <x:c r="K142" s="7" t="b">
        <x:v>0</x:v>
      </x:c>
      <x:c r="L142" s="2" t="str">
        <x:v>Aug 10–23, 2026</x:v>
      </x:c>
      <x:c r="M142" s="2" t="str">
        <x:v>https://www.census.gov/hfp/btos/downloads/Sector.xlsx</x:v>
      </x:c>
    </x:row>
    <x:row r="143" ht="24" customHeight="1">
      <x:c r="A143" s="2" t="str">
        <x:v>Census BTOS</x:v>
      </x:c>
      <x:c r="B143" s="2" t="str">
        <x:v>Halves</x:v>
      </x:c>
      <x:c r="C143" s="2" t="str">
        <x:v>Higher half</x:v>
      </x:c>
      <x:c r="D143" s="2" t="str">
        <x:v>2024Q2</x:v>
      </x:c>
      <x:c r="E143" s="20" t="n">
        <x:v>73915.9</x:v>
      </x:c>
      <x:c r="F143" s="20" t="n">
        <x:f>$E$133</x:f>
        <x:v>72874.5</x:v>
      </x:c>
      <x:c r="G143" s="22" t="n">
        <x:f>100*E143/F143</x:f>
        <x:v>101.4290321031362</x:v>
      </x:c>
      <x:c r="H143" s="24" t="n">
        <x:f>G143/100-1</x:f>
        <x:v>0.014290321031361852</x:v>
      </x:c>
      <x:c r="I143" s="26" t="n">
        <x:v>9</x:v>
      </x:c>
      <x:c r="J143" s="26" t="n">
        <x:v>3</x:v>
      </x:c>
      <x:c r="K143" s="7" t="b">
        <x:v>0</x:v>
      </x:c>
      <x:c r="L143" s="2" t="str">
        <x:v>Aug 10–23, 2026</x:v>
      </x:c>
      <x:c r="M143" s="2" t="str">
        <x:v>https://www.census.gov/hfp/btos/downloads/Sector.xlsx</x:v>
      </x:c>
    </x:row>
    <x:row r="144" ht="24" customHeight="1">
      <x:c r="A144" s="2" t="str">
        <x:v>Census BTOS</x:v>
      </x:c>
      <x:c r="B144" s="2" t="str">
        <x:v>Halves</x:v>
      </x:c>
      <x:c r="C144" s="2" t="str">
        <x:v>Lower half</x:v>
      </x:c>
      <x:c r="D144" s="2" t="str">
        <x:v>2024Q3</x:v>
      </x:c>
      <x:c r="E144" s="20" t="n">
        <x:v>60345.3333333333</x:v>
      </x:c>
      <x:c r="F144" s="20" t="n">
        <x:f>$E$132</x:f>
        <x:v>59538.3333333333</x:v>
      </x:c>
      <x:c r="G144" s="22" t="n">
        <x:f>100*E144/F144</x:f>
        <x:v>101.35542927525684</x:v>
      </x:c>
      <x:c r="H144" s="24" t="n">
        <x:f>G144/100-1</x:f>
        <x:v>0.013554292752568475</x:v>
      </x:c>
      <x:c r="I144" s="26" t="n">
        <x:v>9</x:v>
      </x:c>
      <x:c r="J144" s="26" t="n">
        <x:v>3</x:v>
      </x:c>
      <x:c r="K144" s="7" t="b">
        <x:v>0</x:v>
      </x:c>
      <x:c r="L144" s="2" t="str">
        <x:v>Aug 10–23, 2026</x:v>
      </x:c>
      <x:c r="M144" s="2" t="str">
        <x:v>https://www.census.gov/hfp/btos/downloads/Sector.xlsx</x:v>
      </x:c>
    </x:row>
    <x:row r="145" ht="24" customHeight="1">
      <x:c r="A145" s="2" t="str">
        <x:v>Census BTOS</x:v>
      </x:c>
      <x:c r="B145" s="2" t="str">
        <x:v>Halves</x:v>
      </x:c>
      <x:c r="C145" s="2" t="str">
        <x:v>Higher half</x:v>
      </x:c>
      <x:c r="D145" s="2" t="str">
        <x:v>2024Q3</x:v>
      </x:c>
      <x:c r="E145" s="20" t="n">
        <x:v>73991.9333333333</x:v>
      </x:c>
      <x:c r="F145" s="20" t="n">
        <x:f>$E$133</x:f>
        <x:v>72874.5</x:v>
      </x:c>
      <x:c r="G145" s="22" t="n">
        <x:f>100*E145/F145</x:f>
        <x:v>101.53336672407124</x:v>
      </x:c>
      <x:c r="H145" s="24" t="n">
        <x:f>G145/100-1</x:f>
        <x:v>0.0153336672407125</x:v>
      </x:c>
      <x:c r="I145" s="26" t="n">
        <x:v>9</x:v>
      </x:c>
      <x:c r="J145" s="26" t="n">
        <x:v>3</x:v>
      </x:c>
      <x:c r="K145" s="7" t="b">
        <x:v>0</x:v>
      </x:c>
      <x:c r="L145" s="2" t="str">
        <x:v>Aug 10–23, 2026</x:v>
      </x:c>
      <x:c r="M145" s="2" t="str">
        <x:v>https://www.census.gov/hfp/btos/downloads/Sector.xlsx</x:v>
      </x:c>
    </x:row>
    <x:row r="146" ht="24" customHeight="1">
      <x:c r="A146" s="2" t="str">
        <x:v>Census BTOS</x:v>
      </x:c>
      <x:c r="B146" s="2" t="str">
        <x:v>Halves</x:v>
      </x:c>
      <x:c r="C146" s="2" t="str">
        <x:v>Lower half</x:v>
      </x:c>
      <x:c r="D146" s="2" t="str">
        <x:v>2024Q4</x:v>
      </x:c>
      <x:c r="E146" s="20" t="n">
        <x:v>60432.2</x:v>
      </x:c>
      <x:c r="F146" s="20" t="n">
        <x:f>$E$132</x:f>
        <x:v>59538.3333333333</x:v>
      </x:c>
      <x:c r="G146" s="22" t="n">
        <x:f>100*E146/F146</x:f>
        <x:v>101.50132967555922</x:v>
      </x:c>
      <x:c r="H146" s="24" t="n">
        <x:f>G146/100-1</x:f>
        <x:v>0.015013296755592265</x:v>
      </x:c>
      <x:c r="I146" s="26" t="n">
        <x:v>9</x:v>
      </x:c>
      <x:c r="J146" s="26" t="n">
        <x:v>3</x:v>
      </x:c>
      <x:c r="K146" s="7" t="b">
        <x:v>0</x:v>
      </x:c>
      <x:c r="L146" s="2" t="str">
        <x:v>Aug 10–23, 2026</x:v>
      </x:c>
      <x:c r="M146" s="2" t="str">
        <x:v>https://www.census.gov/hfp/btos/downloads/Sector.xlsx</x:v>
      </x:c>
    </x:row>
    <x:row r="147" ht="24" customHeight="1">
      <x:c r="A147" s="2" t="str">
        <x:v>Census BTOS</x:v>
      </x:c>
      <x:c r="B147" s="2" t="str">
        <x:v>Halves</x:v>
      </x:c>
      <x:c r="C147" s="2" t="str">
        <x:v>Higher half</x:v>
      </x:c>
      <x:c r="D147" s="2" t="str">
        <x:v>2024Q4</x:v>
      </x:c>
      <x:c r="E147" s="20" t="n">
        <x:v>74133.9666666667</x:v>
      </x:c>
      <x:c r="F147" s="20" t="n">
        <x:f>$E$133</x:f>
        <x:v>72874.5</x:v>
      </x:c>
      <x:c r="G147" s="22" t="n">
        <x:f>100*E147/F147</x:f>
        <x:v>101.72826800412587</x:v>
      </x:c>
      <x:c r="H147" s="24" t="n">
        <x:f>G147/100-1</x:f>
        <x:v>0.017282680041258658</x:v>
      </x:c>
      <x:c r="I147" s="26" t="n">
        <x:v>9</x:v>
      </x:c>
      <x:c r="J147" s="26" t="n">
        <x:v>3</x:v>
      </x:c>
      <x:c r="K147" s="7" t="b">
        <x:v>0</x:v>
      </x:c>
      <x:c r="L147" s="2" t="str">
        <x:v>Aug 10–23, 2026</x:v>
      </x:c>
      <x:c r="M147" s="2" t="str">
        <x:v>https://www.census.gov/hfp/btos/downloads/Sector.xlsx</x:v>
      </x:c>
    </x:row>
    <x:row r="148" ht="24" customHeight="1">
      <x:c r="A148" s="2" t="str">
        <x:v>Census BTOS</x:v>
      </x:c>
      <x:c r="B148" s="2" t="str">
        <x:v>Halves</x:v>
      </x:c>
      <x:c r="C148" s="2" t="str">
        <x:v>Lower half</x:v>
      </x:c>
      <x:c r="D148" s="2" t="str">
        <x:v>2025Q1</x:v>
      </x:c>
      <x:c r="E148" s="20" t="n">
        <x:v>60442.2333333333</x:v>
      </x:c>
      <x:c r="F148" s="20" t="n">
        <x:f>$E$132</x:f>
        <x:v>59538.3333333333</x:v>
      </x:c>
      <x:c r="G148" s="22" t="n">
        <x:f>100*E148/F148</x:f>
        <x:v>101.51818156369846</x:v>
      </x:c>
      <x:c r="H148" s="24" t="n">
        <x:f>G148/100-1</x:f>
        <x:v>0.01518181563698473</x:v>
      </x:c>
      <x:c r="I148" s="26" t="n">
        <x:v>9</x:v>
      </x:c>
      <x:c r="J148" s="26" t="n">
        <x:v>3</x:v>
      </x:c>
      <x:c r="K148" s="7" t="b">
        <x:v>0</x:v>
      </x:c>
      <x:c r="L148" s="2" t="str">
        <x:v>Aug 10–23, 2026</x:v>
      </x:c>
      <x:c r="M148" s="2" t="str">
        <x:v>https://www.census.gov/hfp/btos/downloads/Sector.xlsx</x:v>
      </x:c>
    </x:row>
    <x:row r="149" ht="24" customHeight="1">
      <x:c r="A149" s="2" t="str">
        <x:v>Census BTOS</x:v>
      </x:c>
      <x:c r="B149" s="2" t="str">
        <x:v>Halves</x:v>
      </x:c>
      <x:c r="C149" s="2" t="str">
        <x:v>Higher half</x:v>
      </x:c>
      <x:c r="D149" s="2" t="str">
        <x:v>2025Q1</x:v>
      </x:c>
      <x:c r="E149" s="20" t="n">
        <x:v>74276</x:v>
      </x:c>
      <x:c r="F149" s="20" t="n">
        <x:f>$E$133</x:f>
        <x:v>72874.5</x:v>
      </x:c>
      <x:c r="G149" s="22" t="n">
        <x:f>100*E149/F149</x:f>
        <x:v>101.92316928418033</x:v>
      </x:c>
      <x:c r="H149" s="24" t="n">
        <x:f>G149/100-1</x:f>
        <x:v>0.01923169284180326</x:v>
      </x:c>
      <x:c r="I149" s="26" t="n">
        <x:v>9</x:v>
      </x:c>
      <x:c r="J149" s="26" t="n">
        <x:v>3</x:v>
      </x:c>
      <x:c r="K149" s="7" t="b">
        <x:v>0</x:v>
      </x:c>
      <x:c r="L149" s="2" t="str">
        <x:v>Aug 10–23, 2026</x:v>
      </x:c>
      <x:c r="M149" s="2" t="str">
        <x:v>https://www.census.gov/hfp/btos/downloads/Sector.xlsx</x:v>
      </x:c>
    </x:row>
    <x:row r="150" ht="24" customHeight="1">
      <x:c r="A150" s="2" t="str">
        <x:v>Census BTOS</x:v>
      </x:c>
      <x:c r="B150" s="2" t="str">
        <x:v>Halves</x:v>
      </x:c>
      <x:c r="C150" s="2" t="str">
        <x:v>Lower half</x:v>
      </x:c>
      <x:c r="D150" s="2" t="str">
        <x:v>2025Q2</x:v>
      </x:c>
      <x:c r="E150" s="20" t="n">
        <x:v>60434.3333333333</x:v>
      </x:c>
      <x:c r="F150" s="20" t="n">
        <x:f>$E$132</x:f>
        <x:v>59538.3333333333</x:v>
      </x:c>
      <x:c r="G150" s="22" t="n">
        <x:f>100*E150/F150</x:f>
        <x:v>101.50491280127649</x:v>
      </x:c>
      <x:c r="H150" s="24" t="n">
        <x:f>G150/100-1</x:f>
        <x:v>0.015049128012764923</x:v>
      </x:c>
      <x:c r="I150" s="26" t="n">
        <x:v>9</x:v>
      </x:c>
      <x:c r="J150" s="26" t="n">
        <x:v>3</x:v>
      </x:c>
      <x:c r="K150" s="7" t="b">
        <x:v>0</x:v>
      </x:c>
      <x:c r="L150" s="2" t="str">
        <x:v>Aug 10–23, 2026</x:v>
      </x:c>
      <x:c r="M150" s="2" t="str">
        <x:v>https://www.census.gov/hfp/btos/downloads/Sector.xlsx</x:v>
      </x:c>
    </x:row>
    <x:row r="151" ht="24" customHeight="1">
      <x:c r="A151" s="2" t="str">
        <x:v>Census BTOS</x:v>
      </x:c>
      <x:c r="B151" s="2" t="str">
        <x:v>Halves</x:v>
      </x:c>
      <x:c r="C151" s="2" t="str">
        <x:v>Higher half</x:v>
      </x:c>
      <x:c r="D151" s="2" t="str">
        <x:v>2025Q2</x:v>
      </x:c>
      <x:c r="E151" s="20" t="n">
        <x:v>74438.7333333333</x:v>
      </x:c>
      <x:c r="F151" s="20" t="n">
        <x:f>$E$133</x:f>
        <x:v>72874.5</x:v>
      </x:c>
      <x:c r="G151" s="22" t="n">
        <x:f>100*E151/F151</x:f>
        <x:v>102.14647556186772</x:v>
      </x:c>
      <x:c r="H151" s="24" t="n">
        <x:f>G151/100-1</x:f>
        <x:v>0.02146475561867711</x:v>
      </x:c>
      <x:c r="I151" s="26" t="n">
        <x:v>9</x:v>
      </x:c>
      <x:c r="J151" s="26" t="n">
        <x:v>3</x:v>
      </x:c>
      <x:c r="K151" s="7" t="b">
        <x:v>0</x:v>
      </x:c>
      <x:c r="L151" s="2" t="str">
        <x:v>Aug 10–23, 2026</x:v>
      </x:c>
      <x:c r="M151" s="2" t="str">
        <x:v>https://www.census.gov/hfp/btos/downloads/Sector.xlsx</x:v>
      </x:c>
    </x:row>
    <x:row r="152" ht="24" customHeight="1">
      <x:c r="A152" s="2" t="str">
        <x:v>Census BTOS</x:v>
      </x:c>
      <x:c r="B152" s="2" t="str">
        <x:v>Halves</x:v>
      </x:c>
      <x:c r="C152" s="2" t="str">
        <x:v>Lower half</x:v>
      </x:c>
      <x:c r="D152" s="2" t="str">
        <x:v>2025Q3</x:v>
      </x:c>
      <x:c r="E152" s="20" t="n">
        <x:v>60432.2</x:v>
      </x:c>
      <x:c r="F152" s="20" t="n">
        <x:f>$E$132</x:f>
        <x:v>59538.3333333333</x:v>
      </x:c>
      <x:c r="G152" s="22" t="n">
        <x:f>100*E152/F152</x:f>
        <x:v>101.50132967555922</x:v>
      </x:c>
      <x:c r="H152" s="24" t="n">
        <x:f>G152/100-1</x:f>
        <x:v>0.015013296755592265</x:v>
      </x:c>
      <x:c r="I152" s="26" t="n">
        <x:v>9</x:v>
      </x:c>
      <x:c r="J152" s="26" t="n">
        <x:v>3</x:v>
      </x:c>
      <x:c r="K152" s="7" t="b">
        <x:v>0</x:v>
      </x:c>
      <x:c r="L152" s="2" t="str">
        <x:v>Aug 10–23, 2026</x:v>
      </x:c>
      <x:c r="M152" s="2" t="str">
        <x:v>https://www.census.gov/hfp/btos/downloads/Sector.xlsx</x:v>
      </x:c>
    </x:row>
    <x:row r="153" ht="24" customHeight="1">
      <x:c r="A153" s="2" t="str">
        <x:v>Census BTOS</x:v>
      </x:c>
      <x:c r="B153" s="2" t="str">
        <x:v>Halves</x:v>
      </x:c>
      <x:c r="C153" s="2" t="str">
        <x:v>Higher half</x:v>
      </x:c>
      <x:c r="D153" s="2" t="str">
        <x:v>2025Q3</x:v>
      </x:c>
      <x:c r="E153" s="20" t="n">
        <x:v>74493.7666666667</x:v>
      </x:c>
      <x:c r="F153" s="20" t="n">
        <x:f>$E$133</x:f>
        <x:v>72874.5</x:v>
      </x:c>
      <x:c r="G153" s="22" t="n">
        <x:f>100*E153/F153</x:f>
        <x:v>102.22199351853763</x:v>
      </x:c>
      <x:c r="H153" s="24" t="n">
        <x:f>G153/100-1</x:f>
        <x:v>0.02221993518537624</x:v>
      </x:c>
      <x:c r="I153" s="26" t="n">
        <x:v>9</x:v>
      </x:c>
      <x:c r="J153" s="26" t="n">
        <x:v>3</x:v>
      </x:c>
      <x:c r="K153" s="7" t="b">
        <x:v>0</x:v>
      </x:c>
      <x:c r="L153" s="2" t="str">
        <x:v>Aug 10–23, 2026</x:v>
      </x:c>
      <x:c r="M153" s="2" t="str">
        <x:v>https://www.census.gov/hfp/btos/downloads/Sector.xlsx</x:v>
      </x:c>
    </x:row>
    <x:row r="154" ht="24" customHeight="1">
      <x:c r="A154" s="2" t="str">
        <x:v>Census BTOS</x:v>
      </x:c>
      <x:c r="B154" s="2" t="str">
        <x:v>Halves</x:v>
      </x:c>
      <x:c r="C154" s="2" t="str">
        <x:v>Lower half</x:v>
      </x:c>
      <x:c r="D154" s="2" t="str">
        <x:v>2025Q4</x:v>
      </x:c>
      <x:c r="E154" s="20" t="n">
        <x:v>60452</x:v>
      </x:c>
      <x:c r="F154" s="20" t="n">
        <x:f>$E$132</x:f>
        <x:v>59538.3333333333</x:v>
      </x:c>
      <x:c r="G154" s="22" t="n">
        <x:f>100*E154/F154</x:f>
        <x:v>101.53458556112314</x:v>
      </x:c>
      <x:c r="H154" s="24" t="n">
        <x:f>G154/100-1</x:f>
        <x:v>0.015345855611231363</x:v>
      </x:c>
      <x:c r="I154" s="26" t="n">
        <x:v>9</x:v>
      </x:c>
      <x:c r="J154" s="26" t="n">
        <x:v>3</x:v>
      </x:c>
      <x:c r="K154" s="7" t="b">
        <x:v>0</x:v>
      </x:c>
      <x:c r="L154" s="2" t="str">
        <x:v>Aug 10–23, 2026</x:v>
      </x:c>
      <x:c r="M154" s="2" t="str">
        <x:v>https://www.census.gov/hfp/btos/downloads/Sector.xlsx</x:v>
      </x:c>
    </x:row>
    <x:row r="155" ht="24" customHeight="1">
      <x:c r="A155" s="2" t="str">
        <x:v>Census BTOS</x:v>
      </x:c>
      <x:c r="B155" s="2" t="str">
        <x:v>Halves</x:v>
      </x:c>
      <x:c r="C155" s="2" t="str">
        <x:v>Higher half</x:v>
      </x:c>
      <x:c r="D155" s="2" t="str">
        <x:v>2025Q4</x:v>
      </x:c>
      <x:c r="E155" s="20" t="n">
        <x:v>74573.5</x:v>
      </x:c>
      <x:c r="F155" s="20" t="n">
        <x:f>$E$133</x:f>
        <x:v>72874.5</x:v>
      </x:c>
      <x:c r="G155" s="22" t="n">
        <x:f>100*E155/F155</x:f>
        <x:v>102.33140536127178</x:v>
      </x:c>
      <x:c r="H155" s="24" t="n">
        <x:f>G155/100-1</x:f>
        <x:v>0.023314053612717878</x:v>
      </x:c>
      <x:c r="I155" s="26" t="n">
        <x:v>9</x:v>
      </x:c>
      <x:c r="J155" s="26" t="n">
        <x:v>3</x:v>
      </x:c>
      <x:c r="K155" s="7" t="b">
        <x:v>0</x:v>
      </x:c>
      <x:c r="L155" s="2" t="str">
        <x:v>Aug 10–23, 2026</x:v>
      </x:c>
      <x:c r="M155" s="2" t="str">
        <x:v>https://www.census.gov/hfp/btos/downloads/Sector.xlsx</x:v>
      </x:c>
    </x:row>
    <x:row r="156" ht="24" customHeight="1">
      <x:c r="A156" s="2" t="str">
        <x:v>Census BTOS</x:v>
      </x:c>
      <x:c r="B156" s="2" t="str">
        <x:v>Halves</x:v>
      </x:c>
      <x:c r="C156" s="2" t="str">
        <x:v>Lower half</x:v>
      </x:c>
      <x:c r="D156" s="2" t="str">
        <x:v>2026Q1</x:v>
      </x:c>
      <x:c r="E156" s="20" t="n">
        <x:v>60499.0333333333</x:v>
      </x:c>
      <x:c r="F156" s="20" t="n">
        <x:f>$E$132</x:f>
        <x:v>59538.3333333333</x:v>
      </x:c>
      <x:c r="G156" s="22" t="n">
        <x:f>100*E156/F156</x:f>
        <x:v>101.61358228592222</x:v>
      </x:c>
      <x:c r="H156" s="24" t="n">
        <x:f>G156/100-1</x:f>
        <x:v>0.016135822859222104</x:v>
      </x:c>
      <x:c r="I156" s="26" t="n">
        <x:v>9</x:v>
      </x:c>
      <x:c r="J156" s="26" t="n">
        <x:v>3</x:v>
      </x:c>
      <x:c r="K156" s="7" t="b">
        <x:v>0</x:v>
      </x:c>
      <x:c r="L156" s="2" t="str">
        <x:v>Aug 10–23, 2026</x:v>
      </x:c>
      <x:c r="M156" s="2" t="str">
        <x:v>https://www.census.gov/hfp/btos/downloads/Sector.xlsx</x:v>
      </x:c>
    </x:row>
    <x:row r="157" ht="24" customHeight="1">
      <x:c r="A157" s="2" t="str">
        <x:v>Census BTOS</x:v>
      </x:c>
      <x:c r="B157" s="2" t="str">
        <x:v>Halves</x:v>
      </x:c>
      <x:c r="C157" s="2" t="str">
        <x:v>Higher half</x:v>
      </x:c>
      <x:c r="D157" s="2" t="str">
        <x:v>2026Q1</x:v>
      </x:c>
      <x:c r="E157" s="20" t="n">
        <x:v>74695.7333333333</x:v>
      </x:c>
      <x:c r="F157" s="20" t="n">
        <x:f>$E$133</x:f>
        <x:v>72874.5</x:v>
      </x:c>
      <x:c r="G157" s="22" t="n">
        <x:f>100*E157/F157</x:f>
        <x:v>102.4991366435904</x:v>
      </x:c>
      <x:c r="H157" s="24" t="n">
        <x:f>G157/100-1</x:f>
        <x:v>0.02499136643590405</x:v>
      </x:c>
      <x:c r="I157" s="26" t="n">
        <x:v>9</x:v>
      </x:c>
      <x:c r="J157" s="26" t="n">
        <x:v>3</x:v>
      </x:c>
      <x:c r="K157" s="7" t="b">
        <x:v>0</x:v>
      </x:c>
      <x:c r="L157" s="2" t="str">
        <x:v>Aug 10–23, 2026</x:v>
      </x:c>
      <x:c r="M157" s="2" t="str">
        <x:v>https://www.census.gov/hfp/btos/downloads/Sector.xlsx</x:v>
      </x:c>
    </x:row>
    <x:row r="158" ht="24" customHeight="1">
      <x:c r="A158" s="2" t="str">
        <x:v>Census BTOS</x:v>
      </x:c>
      <x:c r="B158" s="2" t="str">
        <x:v>Halves</x:v>
      </x:c>
      <x:c r="C158" s="2" t="str">
        <x:v>Lower half</x:v>
      </x:c>
      <x:c r="D158" s="2" t="str">
        <x:v>2026Q2</x:v>
      </x:c>
      <x:c r="E158" s="20" t="n">
        <x:v>60618.7666666667</x:v>
      </x:c>
      <x:c r="F158" s="20" t="n">
        <x:f>$E$132</x:f>
        <x:v>59538.3333333333</x:v>
      </x:c>
      <x:c r="G158" s="22" t="n">
        <x:f>100*E158/F158</x:f>
        <x:v>101.8146852168072</x:v>
      </x:c>
      <x:c r="H158" s="24" t="n">
        <x:f>G158/100-1</x:f>
        <x:v>0.018146852168072103</x:v>
      </x:c>
      <x:c r="I158" s="26" t="n">
        <x:v>9</x:v>
      </x:c>
      <x:c r="J158" s="26" t="n">
        <x:v>3</x:v>
      </x:c>
      <x:c r="K158" s="7" t="b">
        <x:v>0</x:v>
      </x:c>
      <x:c r="L158" s="2" t="str">
        <x:v>Aug 10–23, 2026</x:v>
      </x:c>
      <x:c r="M158" s="2" t="str">
        <x:v>https://www.census.gov/hfp/btos/downloads/Sector.xlsx</x:v>
      </x:c>
    </x:row>
    <x:row r="159" ht="24" customHeight="1">
      <x:c r="A159" s="2" t="str">
        <x:v>Census BTOS</x:v>
      </x:c>
      <x:c r="B159" s="2" t="str">
        <x:v>Halves</x:v>
      </x:c>
      <x:c r="C159" s="2" t="str">
        <x:v>Higher half</x:v>
      </x:c>
      <x:c r="D159" s="2" t="str">
        <x:v>2026Q2</x:v>
      </x:c>
      <x:c r="E159" s="20" t="n">
        <x:v>74858.1666666667</x:v>
      </x:c>
      <x:c r="F159" s="20" t="n">
        <x:f>$E$133</x:f>
        <x:v>72874.5</x:v>
      </x:c>
      <x:c r="G159" s="22" t="n">
        <x:f>100*E159/F159</x:f>
        <x:v>102.72203125464559</x:v>
      </x:c>
      <x:c r="H159" s="24" t="n">
        <x:f>G159/100-1</x:f>
        <x:v>0.02722031254645585</x:v>
      </x:c>
      <x:c r="I159" s="26" t="n">
        <x:v>9</x:v>
      </x:c>
      <x:c r="J159" s="26" t="n">
        <x:v>3</x:v>
      </x:c>
      <x:c r="K159" s="7" t="b">
        <x:v>0</x:v>
      </x:c>
      <x:c r="L159" s="2" t="str">
        <x:v>Aug 10–23, 2026</x:v>
      </x:c>
      <x:c r="M159" s="2" t="str">
        <x:v>https://www.census.gov/hfp/btos/downloads/Sector.xlsx</x:v>
      </x:c>
    </x:row>
    <x:row r="160" ht="24" customHeight="1">
      <x:c r="A160" s="2" t="str">
        <x:v>RPS</x:v>
      </x:c>
      <x:c r="B160" s="2" t="str">
        <x:v>Quartiles</x:v>
      </x:c>
      <x:c r="C160" s="2" t="str">
        <x:v>Q1</x:v>
      </x:c>
      <x:c r="D160" s="2" t="str">
        <x:v>2023Q1</x:v>
      </x:c>
      <x:c r="E160" s="20" t="n">
        <x:v>29377.5333333333</x:v>
      </x:c>
      <x:c r="F160" s="20" t="n">
        <x:f>$E$160</x:f>
        <x:v>29377.5333333333</x:v>
      </x:c>
      <x:c r="G160" s="22" t="n">
        <x:f>100*E160/F160</x:f>
        <x:v>100.00000000000001</x:v>
      </x:c>
      <x:c r="H160" s="24" t="n">
        <x:f>G160/100-1</x:f>
        <x:v>2.220446049250313e-16</x:v>
      </x:c>
      <x:c r="I160" s="26" t="n">
        <x:v>5</x:v>
      </x:c>
      <x:c r="J160" s="26" t="n">
        <x:v>3</x:v>
      </x:c>
      <x:c r="K160" s="7" t="b">
        <x:v>0</x:v>
      </x:c>
      <x:c r="L160" s="2" t="str">
        <x:v>May 2026</x:v>
      </x:c>
      <x:c r="M160" s="2" t="str">
        <x:v>https://www.genaiadoptiontracker.com/</x:v>
      </x:c>
    </x:row>
    <x:row r="161" ht="24" customHeight="1">
      <x:c r="A161" s="2" t="str">
        <x:v>RPS</x:v>
      </x:c>
      <x:c r="B161" s="2" t="str">
        <x:v>Quartiles</x:v>
      </x:c>
      <x:c r="C161" s="2" t="str">
        <x:v>Q2</x:v>
      </x:c>
      <x:c r="D161" s="2" t="str">
        <x:v>2023Q1</x:v>
      </x:c>
      <x:c r="E161" s="20" t="n">
        <x:v>54180.2666666667</x:v>
      </x:c>
      <x:c r="F161" s="20" t="n">
        <x:f>$E$161</x:f>
        <x:v>54180.2666666667</x:v>
      </x:c>
      <x:c r="G161" s="22" t="n">
        <x:f>100*E161/F161</x:f>
        <x:v>100</x:v>
      </x:c>
      <x:c r="H161" s="24" t="n">
        <x:f>G161/100-1</x:f>
        <x:v>0</x:v>
      </x:c>
      <x:c r="I161" s="26" t="n">
        <x:v>4</x:v>
      </x:c>
      <x:c r="J161" s="26" t="n">
        <x:v>3</x:v>
      </x:c>
      <x:c r="K161" s="7" t="b">
        <x:v>0</x:v>
      </x:c>
      <x:c r="L161" s="2" t="str">
        <x:v>May 2026</x:v>
      </x:c>
      <x:c r="M161" s="2" t="str">
        <x:v>https://www.genaiadoptiontracker.com/</x:v>
      </x:c>
    </x:row>
    <x:row r="162" ht="24" customHeight="1">
      <x:c r="A162" s="2" t="str">
        <x:v>RPS</x:v>
      </x:c>
      <x:c r="B162" s="2" t="str">
        <x:v>Quartiles</x:v>
      </x:c>
      <x:c r="C162" s="2" t="str">
        <x:v>Q3</x:v>
      </x:c>
      <x:c r="D162" s="2" t="str">
        <x:v>2023Q1</x:v>
      </x:c>
      <x:c r="E162" s="20" t="n">
        <x:v>19689.3666666667</x:v>
      </x:c>
      <x:c r="F162" s="20" t="n">
        <x:f>$E$162</x:f>
        <x:v>19689.3666666667</x:v>
      </x:c>
      <x:c r="G162" s="22" t="n">
        <x:f>100*E162/F162</x:f>
        <x:v>100</x:v>
      </x:c>
      <x:c r="H162" s="24" t="n">
        <x:f>G162/100-1</x:f>
        <x:v>0</x:v>
      </x:c>
      <x:c r="I162" s="26" t="n">
        <x:v>4</x:v>
      </x:c>
      <x:c r="J162" s="26" t="n">
        <x:v>3</x:v>
      </x:c>
      <x:c r="K162" s="7" t="b">
        <x:v>0</x:v>
      </x:c>
      <x:c r="L162" s="2" t="str">
        <x:v>May 2026</x:v>
      </x:c>
      <x:c r="M162" s="2" t="str">
        <x:v>https://www.genaiadoptiontracker.com/</x:v>
      </x:c>
    </x:row>
    <x:row r="163" ht="24" customHeight="1">
      <x:c r="A163" s="2" t="str">
        <x:v>RPS</x:v>
      </x:c>
      <x:c r="B163" s="2" t="str">
        <x:v>Quartiles</x:v>
      </x:c>
      <x:c r="C163" s="2" t="str">
        <x:v>Q4</x:v>
      </x:c>
      <x:c r="D163" s="2" t="str">
        <x:v>2023Q1</x:v>
      </x:c>
      <x:c r="E163" s="20" t="n">
        <x:v>29165.6666666667</x:v>
      </x:c>
      <x:c r="F163" s="20" t="n">
        <x:f>$E$163</x:f>
        <x:v>29165.6666666667</x:v>
      </x:c>
      <x:c r="G163" s="22" t="n">
        <x:f>100*E163/F163</x:f>
        <x:v>100</x:v>
      </x:c>
      <x:c r="H163" s="24" t="n">
        <x:f>G163/100-1</x:f>
        <x:v>0</x:v>
      </x:c>
      <x:c r="I163" s="26" t="n">
        <x:v>5</x:v>
      </x:c>
      <x:c r="J163" s="26" t="n">
        <x:v>3</x:v>
      </x:c>
      <x:c r="K163" s="7" t="b">
        <x:v>0</x:v>
      </x:c>
      <x:c r="L163" s="2" t="str">
        <x:v>May 2026</x:v>
      </x:c>
      <x:c r="M163" s="2" t="str">
        <x:v>https://www.genaiadoptiontracker.com/</x:v>
      </x:c>
    </x:row>
    <x:row r="164" ht="24" customHeight="1">
      <x:c r="A164" s="2" t="str">
        <x:v>RPS</x:v>
      </x:c>
      <x:c r="B164" s="2" t="str">
        <x:v>Quartiles</x:v>
      </x:c>
      <x:c r="C164" s="2" t="str">
        <x:v>Q1</x:v>
      </x:c>
      <x:c r="D164" s="2" t="str">
        <x:v>2023Q2</x:v>
      </x:c>
      <x:c r="E164" s="20" t="n">
        <x:v>29536.3</x:v>
      </x:c>
      <x:c r="F164" s="20" t="n">
        <x:f>$E$160</x:f>
        <x:v>29377.5333333333</x:v>
      </x:c>
      <x:c r="G164" s="22" t="n">
        <x:f>100*E164/F164</x:f>
        <x:v>100.54043566171893</x:v>
      </x:c>
      <x:c r="H164" s="24" t="n">
        <x:f>G164/100-1</x:f>
        <x:v>0.005404356617189299</x:v>
      </x:c>
      <x:c r="I164" s="26" t="n">
        <x:v>5</x:v>
      </x:c>
      <x:c r="J164" s="26" t="n">
        <x:v>3</x:v>
      </x:c>
      <x:c r="K164" s="7" t="b">
        <x:v>0</x:v>
      </x:c>
      <x:c r="L164" s="2" t="str">
        <x:v>May 2026</x:v>
      </x:c>
      <x:c r="M164" s="2" t="str">
        <x:v>https://www.genaiadoptiontracker.com/</x:v>
      </x:c>
    </x:row>
    <x:row r="165" ht="24" customHeight="1">
      <x:c r="A165" s="2" t="str">
        <x:v>RPS</x:v>
      </x:c>
      <x:c r="B165" s="2" t="str">
        <x:v>Quartiles</x:v>
      </x:c>
      <x:c r="C165" s="2" t="str">
        <x:v>Q2</x:v>
      </x:c>
      <x:c r="D165" s="2" t="str">
        <x:v>2023Q2</x:v>
      </x:c>
      <x:c r="E165" s="20" t="n">
        <x:v>54368.7666666667</x:v>
      </x:c>
      <x:c r="F165" s="20" t="n">
        <x:f>$E$161</x:f>
        <x:v>54180.2666666667</x:v>
      </x:c>
      <x:c r="G165" s="22" t="n">
        <x:f>100*E165/F165</x:f>
        <x:v>100.34791264716304</x:v>
      </x:c>
      <x:c r="H165" s="24" t="n">
        <x:f>G165/100-1</x:f>
        <x:v>0.0034791264716305115</x:v>
      </x:c>
      <x:c r="I165" s="26" t="n">
        <x:v>4</x:v>
      </x:c>
      <x:c r="J165" s="26" t="n">
        <x:v>3</x:v>
      </x:c>
      <x:c r="K165" s="7" t="b">
        <x:v>0</x:v>
      </x:c>
      <x:c r="L165" s="2" t="str">
        <x:v>May 2026</x:v>
      </x:c>
      <x:c r="M165" s="2" t="str">
        <x:v>https://www.genaiadoptiontracker.com/</x:v>
      </x:c>
    </x:row>
    <x:row r="166" ht="24" customHeight="1">
      <x:c r="A166" s="2" t="str">
        <x:v>RPS</x:v>
      </x:c>
      <x:c r="B166" s="2" t="str">
        <x:v>Quartiles</x:v>
      </x:c>
      <x:c r="C166" s="2" t="str">
        <x:v>Q3</x:v>
      </x:c>
      <x:c r="D166" s="2" t="str">
        <x:v>2023Q2</x:v>
      </x:c>
      <x:c r="E166" s="20" t="n">
        <x:v>19734.7666666667</x:v>
      </x:c>
      <x:c r="F166" s="20" t="n">
        <x:f>$E$162</x:f>
        <x:v>19689.3666666667</x:v>
      </x:c>
      <x:c r="G166" s="22" t="n">
        <x:f>100*E166/F166</x:f>
        <x:v>100.23058131207877</x:v>
      </x:c>
      <x:c r="H166" s="24" t="n">
        <x:f>G166/100-1</x:f>
        <x:v>0.002305813120787592</x:v>
      </x:c>
      <x:c r="I166" s="26" t="n">
        <x:v>4</x:v>
      </x:c>
      <x:c r="J166" s="26" t="n">
        <x:v>3</x:v>
      </x:c>
      <x:c r="K166" s="7" t="b">
        <x:v>0</x:v>
      </x:c>
      <x:c r="L166" s="2" t="str">
        <x:v>May 2026</x:v>
      </x:c>
      <x:c r="M166" s="2" t="str">
        <x:v>https://www.genaiadoptiontracker.com/</x:v>
      </x:c>
    </x:row>
    <x:row r="167" ht="24" customHeight="1">
      <x:c r="A167" s="2" t="str">
        <x:v>RPS</x:v>
      </x:c>
      <x:c r="B167" s="2" t="str">
        <x:v>Quartiles</x:v>
      </x:c>
      <x:c r="C167" s="2" t="str">
        <x:v>Q4</x:v>
      </x:c>
      <x:c r="D167" s="2" t="str">
        <x:v>2023Q2</x:v>
      </x:c>
      <x:c r="E167" s="20" t="n">
        <x:v>29232.5666666667</x:v>
      </x:c>
      <x:c r="F167" s="20" t="n">
        <x:f>$E$163</x:f>
        <x:v>29165.6666666667</x:v>
      </x:c>
      <x:c r="G167" s="22" t="n">
        <x:f>100*E167/F167</x:f>
        <x:v>100.22937929300433</x:v>
      </x:c>
      <x:c r="H167" s="24" t="n">
        <x:f>G167/100-1</x:f>
        <x:v>0.0022937929300432813</x:v>
      </x:c>
      <x:c r="I167" s="26" t="n">
        <x:v>5</x:v>
      </x:c>
      <x:c r="J167" s="26" t="n">
        <x:v>3</x:v>
      </x:c>
      <x:c r="K167" s="7" t="b">
        <x:v>0</x:v>
      </x:c>
      <x:c r="L167" s="2" t="str">
        <x:v>May 2026</x:v>
      </x:c>
      <x:c r="M167" s="2" t="str">
        <x:v>https://www.genaiadoptiontracker.com/</x:v>
      </x:c>
    </x:row>
    <x:row r="168" ht="24" customHeight="1">
      <x:c r="A168" s="2" t="str">
        <x:v>RPS</x:v>
      </x:c>
      <x:c r="B168" s="2" t="str">
        <x:v>Quartiles</x:v>
      </x:c>
      <x:c r="C168" s="2" t="str">
        <x:v>Q1</x:v>
      </x:c>
      <x:c r="D168" s="2" t="str">
        <x:v>2023Q3</x:v>
      </x:c>
      <x:c r="E168" s="20" t="n">
        <x:v>29686.2</x:v>
      </x:c>
      <x:c r="F168" s="20" t="n">
        <x:f>$E$160</x:f>
        <x:v>29377.5333333333</x:v>
      </x:c>
      <x:c r="G168" s="22" t="n">
        <x:f>100*E168/F168</x:f>
        <x:v>101.05068952918681</x:v>
      </x:c>
      <x:c r="H168" s="24" t="n">
        <x:f>G168/100-1</x:f>
        <x:v>0.010506895291868101</x:v>
      </x:c>
      <x:c r="I168" s="26" t="n">
        <x:v>5</x:v>
      </x:c>
      <x:c r="J168" s="26" t="n">
        <x:v>3</x:v>
      </x:c>
      <x:c r="K168" s="7" t="b">
        <x:v>0</x:v>
      </x:c>
      <x:c r="L168" s="2" t="str">
        <x:v>May 2026</x:v>
      </x:c>
      <x:c r="M168" s="2" t="str">
        <x:v>https://www.genaiadoptiontracker.com/</x:v>
      </x:c>
    </x:row>
    <x:row r="169" ht="24" customHeight="1">
      <x:c r="A169" s="2" t="str">
        <x:v>RPS</x:v>
      </x:c>
      <x:c r="B169" s="2" t="str">
        <x:v>Quartiles</x:v>
      </x:c>
      <x:c r="C169" s="2" t="str">
        <x:v>Q2</x:v>
      </x:c>
      <x:c r="D169" s="2" t="str">
        <x:v>2023Q3</x:v>
      </x:c>
      <x:c r="E169" s="20" t="n">
        <x:v>54607.7</x:v>
      </x:c>
      <x:c r="F169" s="20" t="n">
        <x:f>$E$161</x:f>
        <x:v>54180.2666666667</x:v>
      </x:c>
      <x:c r="G169" s="22" t="n">
        <x:f>100*E169/F169</x:f>
        <x:v>100.78890961530884</x:v>
      </x:c>
      <x:c r="H169" s="24" t="n">
        <x:f>G169/100-1</x:f>
        <x:v>0.007889096153088415</x:v>
      </x:c>
      <x:c r="I169" s="26" t="n">
        <x:v>4</x:v>
      </x:c>
      <x:c r="J169" s="26" t="n">
        <x:v>3</x:v>
      </x:c>
      <x:c r="K169" s="7" t="b">
        <x:v>0</x:v>
      </x:c>
      <x:c r="L169" s="2" t="str">
        <x:v>May 2026</x:v>
      </x:c>
      <x:c r="M169" s="2" t="str">
        <x:v>https://www.genaiadoptiontracker.com/</x:v>
      </x:c>
    </x:row>
    <x:row r="170" ht="24" customHeight="1">
      <x:c r="A170" s="2" t="str">
        <x:v>RPS</x:v>
      </x:c>
      <x:c r="B170" s="2" t="str">
        <x:v>Quartiles</x:v>
      </x:c>
      <x:c r="C170" s="2" t="str">
        <x:v>Q3</x:v>
      </x:c>
      <x:c r="D170" s="2" t="str">
        <x:v>2023Q3</x:v>
      </x:c>
      <x:c r="E170" s="20" t="n">
        <x:v>19774.1333333333</x:v>
      </x:c>
      <x:c r="F170" s="20" t="n">
        <x:f>$E$162</x:f>
        <x:v>19689.3666666667</x:v>
      </x:c>
      <x:c r="G170" s="22" t="n">
        <x:f>100*E170/F170</x:f>
        <x:v>100.43052002688387</x:v>
      </x:c>
      <x:c r="H170" s="24" t="n">
        <x:f>G170/100-1</x:f>
        <x:v>0.004305200268838627</x:v>
      </x:c>
      <x:c r="I170" s="26" t="n">
        <x:v>4</x:v>
      </x:c>
      <x:c r="J170" s="26" t="n">
        <x:v>3</x:v>
      </x:c>
      <x:c r="K170" s="7" t="b">
        <x:v>0</x:v>
      </x:c>
      <x:c r="L170" s="2" t="str">
        <x:v>May 2026</x:v>
      </x:c>
      <x:c r="M170" s="2" t="str">
        <x:v>https://www.genaiadoptiontracker.com/</x:v>
      </x:c>
    </x:row>
    <x:row r="171" ht="24" customHeight="1">
      <x:c r="A171" s="2" t="str">
        <x:v>RPS</x:v>
      </x:c>
      <x:c r="B171" s="2" t="str">
        <x:v>Quartiles</x:v>
      </x:c>
      <x:c r="C171" s="2" t="str">
        <x:v>Q4</x:v>
      </x:c>
      <x:c r="D171" s="2" t="str">
        <x:v>2023Q3</x:v>
      </x:c>
      <x:c r="E171" s="20" t="n">
        <x:v>29228.8666666667</x:v>
      </x:c>
      <x:c r="F171" s="20" t="n">
        <x:f>$E$163</x:f>
        <x:v>29165.6666666667</x:v>
      </x:c>
      <x:c r="G171" s="22" t="n">
        <x:f>100*E171/F171</x:f>
        <x:v>100.21669314376493</x:v>
      </x:c>
      <x:c r="H171" s="24" t="n">
        <x:f>G171/100-1</x:f>
        <x:v>0.0021669314376493443</x:v>
      </x:c>
      <x:c r="I171" s="26" t="n">
        <x:v>5</x:v>
      </x:c>
      <x:c r="J171" s="26" t="n">
        <x:v>3</x:v>
      </x:c>
      <x:c r="K171" s="7" t="b">
        <x:v>0</x:v>
      </x:c>
      <x:c r="L171" s="2" t="str">
        <x:v>May 2026</x:v>
      </x:c>
      <x:c r="M171" s="2" t="str">
        <x:v>https://www.genaiadoptiontracker.com/</x:v>
      </x:c>
    </x:row>
    <x:row r="172" ht="24" customHeight="1">
      <x:c r="A172" s="2" t="str">
        <x:v>RPS</x:v>
      </x:c>
      <x:c r="B172" s="2" t="str">
        <x:v>Quartiles</x:v>
      </x:c>
      <x:c r="C172" s="2" t="str">
        <x:v>Q1</x:v>
      </x:c>
      <x:c r="D172" s="2" t="str">
        <x:v>2023Q4</x:v>
      </x:c>
      <x:c r="E172" s="20" t="n">
        <x:v>29784.9666666667</x:v>
      </x:c>
      <x:c r="F172" s="20" t="n">
        <x:f>$E$160</x:f>
        <x:v>29377.5333333333</x:v>
      </x:c>
      <x:c r="G172" s="22" t="n">
        <x:f>100*E172/F172</x:f>
        <x:v>101.38688748544828</x:v>
      </x:c>
      <x:c r="H172" s="24" t="n">
        <x:f>G172/100-1</x:f>
        <x:v>0.013868874854482849</x:v>
      </x:c>
      <x:c r="I172" s="26" t="n">
        <x:v>5</x:v>
      </x:c>
      <x:c r="J172" s="26" t="n">
        <x:v>3</x:v>
      </x:c>
      <x:c r="K172" s="7" t="b">
        <x:v>0</x:v>
      </x:c>
      <x:c r="L172" s="2" t="str">
        <x:v>May 2026</x:v>
      </x:c>
      <x:c r="M172" s="2" t="str">
        <x:v>https://www.genaiadoptiontracker.com/</x:v>
      </x:c>
    </x:row>
    <x:row r="173" ht="24" customHeight="1">
      <x:c r="A173" s="2" t="str">
        <x:v>RPS</x:v>
      </x:c>
      <x:c r="B173" s="2" t="str">
        <x:v>Quartiles</x:v>
      </x:c>
      <x:c r="C173" s="2" t="str">
        <x:v>Q2</x:v>
      </x:c>
      <x:c r="D173" s="2" t="str">
        <x:v>2023Q4</x:v>
      </x:c>
      <x:c r="E173" s="20" t="n">
        <x:v>54830.4333333333</x:v>
      </x:c>
      <x:c r="F173" s="20" t="n">
        <x:f>$E$161</x:f>
        <x:v>54180.2666666667</x:v>
      </x:c>
      <x:c r="G173" s="22" t="n">
        <x:f>100*E173/F173</x:f>
        <x:v>101.2000063983934</x:v>
      </x:c>
      <x:c r="H173" s="24" t="n">
        <x:f>G173/100-1</x:f>
        <x:v>0.01200006398393394</x:v>
      </x:c>
      <x:c r="I173" s="26" t="n">
        <x:v>4</x:v>
      </x:c>
      <x:c r="J173" s="26" t="n">
        <x:v>3</x:v>
      </x:c>
      <x:c r="K173" s="7" t="b">
        <x:v>0</x:v>
      </x:c>
      <x:c r="L173" s="2" t="str">
        <x:v>May 2026</x:v>
      </x:c>
      <x:c r="M173" s="2" t="str">
        <x:v>https://www.genaiadoptiontracker.com/</x:v>
      </x:c>
    </x:row>
    <x:row r="174" ht="24" customHeight="1">
      <x:c r="A174" s="2" t="str">
        <x:v>RPS</x:v>
      </x:c>
      <x:c r="B174" s="2" t="str">
        <x:v>Quartiles</x:v>
      </x:c>
      <x:c r="C174" s="2" t="str">
        <x:v>Q3</x:v>
      </x:c>
      <x:c r="D174" s="2" t="str">
        <x:v>2023Q4</x:v>
      </x:c>
      <x:c r="E174" s="20" t="n">
        <x:v>19813.6666666667</x:v>
      </x:c>
      <x:c r="F174" s="20" t="n">
        <x:f>$E$162</x:f>
        <x:v>19689.3666666667</x:v>
      </x:c>
      <x:c r="G174" s="22" t="n">
        <x:f>100*E174/F174</x:f>
        <x:v>100.63130522227733</x:v>
      </x:c>
      <x:c r="H174" s="24" t="n">
        <x:f>G174/100-1</x:f>
        <x:v>0.00631305222277323</x:v>
      </x:c>
      <x:c r="I174" s="26" t="n">
        <x:v>4</x:v>
      </x:c>
      <x:c r="J174" s="26" t="n">
        <x:v>3</x:v>
      </x:c>
      <x:c r="K174" s="7" t="b">
        <x:v>0</x:v>
      </x:c>
      <x:c r="L174" s="2" t="str">
        <x:v>May 2026</x:v>
      </x:c>
      <x:c r="M174" s="2" t="str">
        <x:v>https://www.genaiadoptiontracker.com/</x:v>
      </x:c>
    </x:row>
    <x:row r="175" ht="24" customHeight="1">
      <x:c r="A175" s="2" t="str">
        <x:v>RPS</x:v>
      </x:c>
      <x:c r="B175" s="2" t="str">
        <x:v>Quartiles</x:v>
      </x:c>
      <x:c r="C175" s="2" t="str">
        <x:v>Q4</x:v>
      </x:c>
      <x:c r="D175" s="2" t="str">
        <x:v>2023Q4</x:v>
      </x:c>
      <x:c r="E175" s="20" t="n">
        <x:v>29198.3</x:v>
      </x:c>
      <x:c r="F175" s="20" t="n">
        <x:f>$E$163</x:f>
        <x:v>29165.6666666667</x:v>
      </x:c>
      <x:c r="G175" s="22" t="n">
        <x:f>100*E175/F175</x:f>
        <x:v>100.11188955049876</x:v>
      </x:c>
      <x:c r="H175" s="24" t="n">
        <x:f>G175/100-1</x:f>
        <x:v>0.0011188955049876714</x:v>
      </x:c>
      <x:c r="I175" s="26" t="n">
        <x:v>5</x:v>
      </x:c>
      <x:c r="J175" s="26" t="n">
        <x:v>3</x:v>
      </x:c>
      <x:c r="K175" s="7" t="b">
        <x:v>0</x:v>
      </x:c>
      <x:c r="L175" s="2" t="str">
        <x:v>May 2026</x:v>
      </x:c>
      <x:c r="M175" s="2" t="str">
        <x:v>https://www.genaiadoptiontracker.com/</x:v>
      </x:c>
    </x:row>
    <x:row r="176" ht="24" customHeight="1">
      <x:c r="A176" s="2" t="str">
        <x:v>RPS</x:v>
      </x:c>
      <x:c r="B176" s="2" t="str">
        <x:v>Quartiles</x:v>
      </x:c>
      <x:c r="C176" s="2" t="str">
        <x:v>Q1</x:v>
      </x:c>
      <x:c r="D176" s="2" t="str">
        <x:v>2024Q1</x:v>
      </x:c>
      <x:c r="E176" s="20" t="n">
        <x:v>29858.8666666667</x:v>
      </x:c>
      <x:c r="F176" s="20" t="n">
        <x:f>$E$160</x:f>
        <x:v>29377.5333333333</x:v>
      </x:c>
      <x:c r="G176" s="22" t="n">
        <x:f>100*E176/F176</x:f>
        <x:v>101.63844025933673</x:v>
      </x:c>
      <x:c r="H176" s="24" t="n">
        <x:f>G176/100-1</x:f>
        <x:v>0.016384402593367264</x:v>
      </x:c>
      <x:c r="I176" s="26" t="n">
        <x:v>5</x:v>
      </x:c>
      <x:c r="J176" s="26" t="n">
        <x:v>3</x:v>
      </x:c>
      <x:c r="K176" s="7" t="b">
        <x:v>0</x:v>
      </x:c>
      <x:c r="L176" s="2" t="str">
        <x:v>May 2026</x:v>
      </x:c>
      <x:c r="M176" s="2" t="str">
        <x:v>https://www.genaiadoptiontracker.com/</x:v>
      </x:c>
    </x:row>
    <x:row r="177" ht="24" customHeight="1">
      <x:c r="A177" s="2" t="str">
        <x:v>RPS</x:v>
      </x:c>
      <x:c r="B177" s="2" t="str">
        <x:v>Quartiles</x:v>
      </x:c>
      <x:c r="C177" s="2" t="str">
        <x:v>Q2</x:v>
      </x:c>
      <x:c r="D177" s="2" t="str">
        <x:v>2024Q1</x:v>
      </x:c>
      <x:c r="E177" s="20" t="n">
        <x:v>55087.0666666667</x:v>
      </x:c>
      <x:c r="F177" s="20" t="n">
        <x:f>$E$161</x:f>
        <x:v>54180.2666666667</x:v>
      </x:c>
      <x:c r="G177" s="22" t="n">
        <x:f>100*E177/F177</x:f>
        <x:v>101.6736720872544</x:v>
      </x:c>
      <x:c r="H177" s="24" t="n">
        <x:f>G177/100-1</x:f>
        <x:v>0.016736720872543964</x:v>
      </x:c>
      <x:c r="I177" s="26" t="n">
        <x:v>4</x:v>
      </x:c>
      <x:c r="J177" s="26" t="n">
        <x:v>3</x:v>
      </x:c>
      <x:c r="K177" s="7" t="b">
        <x:v>0</x:v>
      </x:c>
      <x:c r="L177" s="2" t="str">
        <x:v>May 2026</x:v>
      </x:c>
      <x:c r="M177" s="2" t="str">
        <x:v>https://www.genaiadoptiontracker.com/</x:v>
      </x:c>
    </x:row>
    <x:row r="178" ht="24" customHeight="1">
      <x:c r="A178" s="2" t="str">
        <x:v>RPS</x:v>
      </x:c>
      <x:c r="B178" s="2" t="str">
        <x:v>Quartiles</x:v>
      </x:c>
      <x:c r="C178" s="2" t="str">
        <x:v>Q3</x:v>
      </x:c>
      <x:c r="D178" s="2" t="str">
        <x:v>2024Q1</x:v>
      </x:c>
      <x:c r="E178" s="20" t="n">
        <x:v>19848.9333333333</x:v>
      </x:c>
      <x:c r="F178" s="20" t="n">
        <x:f>$E$162</x:f>
        <x:v>19689.3666666667</x:v>
      </x:c>
      <x:c r="G178" s="22" t="n">
        <x:f>100*E178/F178</x:f>
        <x:v>100.810420514626</x:v>
      </x:c>
      <x:c r="H178" s="24" t="n">
        <x:f>G178/100-1</x:f>
        <x:v>0.00810420514626009</x:v>
      </x:c>
      <x:c r="I178" s="26" t="n">
        <x:v>4</x:v>
      </x:c>
      <x:c r="J178" s="26" t="n">
        <x:v>3</x:v>
      </x:c>
      <x:c r="K178" s="7" t="b">
        <x:v>0</x:v>
      </x:c>
      <x:c r="L178" s="2" t="str">
        <x:v>May 2026</x:v>
      </x:c>
      <x:c r="M178" s="2" t="str">
        <x:v>https://www.genaiadoptiontracker.com/</x:v>
      </x:c>
    </x:row>
    <x:row r="179" ht="24" customHeight="1">
      <x:c r="A179" s="2" t="str">
        <x:v>RPS</x:v>
      </x:c>
      <x:c r="B179" s="2" t="str">
        <x:v>Quartiles</x:v>
      </x:c>
      <x:c r="C179" s="2" t="str">
        <x:v>Q4</x:v>
      </x:c>
      <x:c r="D179" s="2" t="str">
        <x:v>2024Q1</x:v>
      </x:c>
      <x:c r="E179" s="20" t="n">
        <x:v>29192.1333333333</x:v>
      </x:c>
      <x:c r="F179" s="20" t="n">
        <x:f>$E$163</x:f>
        <x:v>29165.6666666667</x:v>
      </x:c>
      <x:c r="G179" s="22" t="n">
        <x:f>100*E179/F179</x:f>
        <x:v>100.09074596843297</x:v>
      </x:c>
      <x:c r="H179" s="24" t="n">
        <x:f>G179/100-1</x:f>
        <x:v>0.0009074596843297034</x:v>
      </x:c>
      <x:c r="I179" s="26" t="n">
        <x:v>5</x:v>
      </x:c>
      <x:c r="J179" s="26" t="n">
        <x:v>3</x:v>
      </x:c>
      <x:c r="K179" s="7" t="b">
        <x:v>0</x:v>
      </x:c>
      <x:c r="L179" s="2" t="str">
        <x:v>May 2026</x:v>
      </x:c>
      <x:c r="M179" s="2" t="str">
        <x:v>https://www.genaiadoptiontracker.com/</x:v>
      </x:c>
    </x:row>
    <x:row r="180" ht="24" customHeight="1">
      <x:c r="A180" s="2" t="str">
        <x:v>RPS</x:v>
      </x:c>
      <x:c r="B180" s="2" t="str">
        <x:v>Quartiles</x:v>
      </x:c>
      <x:c r="C180" s="2" t="str">
        <x:v>Q1</x:v>
      </x:c>
      <x:c r="D180" s="2" t="str">
        <x:v>2024Q2</x:v>
      </x:c>
      <x:c r="E180" s="20" t="n">
        <x:v>29923.3</x:v>
      </x:c>
      <x:c r="F180" s="20" t="n">
        <x:f>$E$160</x:f>
        <x:v>29377.5333333333</x:v>
      </x:c>
      <x:c r="G180" s="22" t="n">
        <x:f>100*E180/F180</x:f>
        <x:v>101.85776886191954</x:v>
      </x:c>
      <x:c r="H180" s="24" t="n">
        <x:f>G180/100-1</x:f>
        <x:v>0.018577688619195287</x:v>
      </x:c>
      <x:c r="I180" s="26" t="n">
        <x:v>5</x:v>
      </x:c>
      <x:c r="J180" s="26" t="n">
        <x:v>3</x:v>
      </x:c>
      <x:c r="K180" s="7" t="b">
        <x:v>0</x:v>
      </x:c>
      <x:c r="L180" s="2" t="str">
        <x:v>May 2026</x:v>
      </x:c>
      <x:c r="M180" s="2" t="str">
        <x:v>https://www.genaiadoptiontracker.com/</x:v>
      </x:c>
    </x:row>
    <x:row r="181" ht="24" customHeight="1">
      <x:c r="A181" s="2" t="str">
        <x:v>RPS</x:v>
      </x:c>
      <x:c r="B181" s="2" t="str">
        <x:v>Quartiles</x:v>
      </x:c>
      <x:c r="C181" s="2" t="str">
        <x:v>Q2</x:v>
      </x:c>
      <x:c r="D181" s="2" t="str">
        <x:v>2024Q2</x:v>
      </x:c>
      <x:c r="E181" s="20" t="n">
        <x:v>55324.6333333333</x:v>
      </x:c>
      <x:c r="F181" s="20" t="n">
        <x:f>$E$161</x:f>
        <x:v>54180.2666666667</x:v>
      </x:c>
      <x:c r="G181" s="22" t="n">
        <x:f>100*E181/F181</x:f>
        <x:v>102.11214661180442</x:v>
      </x:c>
      <x:c r="H181" s="24" t="n">
        <x:f>G181/100-1</x:f>
        <x:v>0.021121466118044108</x:v>
      </x:c>
      <x:c r="I181" s="26" t="n">
        <x:v>4</x:v>
      </x:c>
      <x:c r="J181" s="26" t="n">
        <x:v>3</x:v>
      </x:c>
      <x:c r="K181" s="7" t="b">
        <x:v>0</x:v>
      </x:c>
      <x:c r="L181" s="2" t="str">
        <x:v>May 2026</x:v>
      </x:c>
      <x:c r="M181" s="2" t="str">
        <x:v>https://www.genaiadoptiontracker.com/</x:v>
      </x:c>
    </x:row>
    <x:row r="182" ht="24" customHeight="1">
      <x:c r="A182" s="2" t="str">
        <x:v>RPS</x:v>
      </x:c>
      <x:c r="B182" s="2" t="str">
        <x:v>Quartiles</x:v>
      </x:c>
      <x:c r="C182" s="2" t="str">
        <x:v>Q3</x:v>
      </x:c>
      <x:c r="D182" s="2" t="str">
        <x:v>2024Q2</x:v>
      </x:c>
      <x:c r="E182" s="20" t="n">
        <x:v>19830.2</x:v>
      </x:c>
      <x:c r="F182" s="20" t="n">
        <x:f>$E$162</x:f>
        <x:v>19689.3666666667</x:v>
      </x:c>
      <x:c r="G182" s="22" t="n">
        <x:f>100*E182/F182</x:f>
        <x:v>100.7152760965731</x:v>
      </x:c>
      <x:c r="H182" s="24" t="n">
        <x:f>G182/100-1</x:f>
        <x:v>0.007152760965731142</x:v>
      </x:c>
      <x:c r="I182" s="26" t="n">
        <x:v>4</x:v>
      </x:c>
      <x:c r="J182" s="26" t="n">
        <x:v>3</x:v>
      </x:c>
      <x:c r="K182" s="7" t="b">
        <x:v>0</x:v>
      </x:c>
      <x:c r="L182" s="2" t="str">
        <x:v>May 2026</x:v>
      </x:c>
      <x:c r="M182" s="2" t="str">
        <x:v>https://www.genaiadoptiontracker.com/</x:v>
      </x:c>
    </x:row>
    <x:row r="183" ht="24" customHeight="1">
      <x:c r="A183" s="2" t="str">
        <x:v>RPS</x:v>
      </x:c>
      <x:c r="B183" s="2" t="str">
        <x:v>Quartiles</x:v>
      </x:c>
      <x:c r="C183" s="2" t="str">
        <x:v>Q4</x:v>
      </x:c>
      <x:c r="D183" s="2" t="str">
        <x:v>2024Q2</x:v>
      </x:c>
      <x:c r="E183" s="20" t="n">
        <x:v>29171.0666666667</x:v>
      </x:c>
      <x:c r="F183" s="20" t="n">
        <x:f>$E$163</x:f>
        <x:v>29165.6666666667</x:v>
      </x:c>
      <x:c r="G183" s="22" t="n">
        <x:f>100*E183/F183</x:f>
        <x:v>100.01851492051155</x:v>
      </x:c>
      <x:c r="H183" s="24" t="n">
        <x:f>G183/100-1</x:f>
        <x:v>0.00018514920511547572</x:v>
      </x:c>
      <x:c r="I183" s="26" t="n">
        <x:v>5</x:v>
      </x:c>
      <x:c r="J183" s="26" t="n">
        <x:v>3</x:v>
      </x:c>
      <x:c r="K183" s="7" t="b">
        <x:v>0</x:v>
      </x:c>
      <x:c r="L183" s="2" t="str">
        <x:v>May 2026</x:v>
      </x:c>
      <x:c r="M183" s="2" t="str">
        <x:v>https://www.genaiadoptiontracker.com/</x:v>
      </x:c>
    </x:row>
    <x:row r="184" ht="24" customHeight="1">
      <x:c r="A184" s="2" t="str">
        <x:v>RPS</x:v>
      </x:c>
      <x:c r="B184" s="2" t="str">
        <x:v>Quartiles</x:v>
      </x:c>
      <x:c r="C184" s="2" t="str">
        <x:v>Q1</x:v>
      </x:c>
      <x:c r="D184" s="2" t="str">
        <x:v>2024Q3</x:v>
      </x:c>
      <x:c r="E184" s="20" t="n">
        <x:v>29947.6</x:v>
      </x:c>
      <x:c r="F184" s="20" t="n">
        <x:f>$E$160</x:f>
        <x:v>29377.5333333333</x:v>
      </x:c>
      <x:c r="G184" s="22" t="n">
        <x:f>100*E184/F184</x:f>
        <x:v>101.94048513262982</x:v>
      </x:c>
      <x:c r="H184" s="24" t="n">
        <x:f>G184/100-1</x:f>
        <x:v>0.0194048513262981</x:v>
      </x:c>
      <x:c r="I184" s="26" t="n">
        <x:v>5</x:v>
      </x:c>
      <x:c r="J184" s="26" t="n">
        <x:v>3</x:v>
      </x:c>
      <x:c r="K184" s="7" t="b">
        <x:v>0</x:v>
      </x:c>
      <x:c r="L184" s="2" t="str">
        <x:v>May 2026</x:v>
      </x:c>
      <x:c r="M184" s="2" t="str">
        <x:v>https://www.genaiadoptiontracker.com/</x:v>
      </x:c>
    </x:row>
    <x:row r="185" ht="24" customHeight="1">
      <x:c r="A185" s="2" t="str">
        <x:v>RPS</x:v>
      </x:c>
      <x:c r="B185" s="2" t="str">
        <x:v>Quartiles</x:v>
      </x:c>
      <x:c r="C185" s="2" t="str">
        <x:v>Q2</x:v>
      </x:c>
      <x:c r="D185" s="2" t="str">
        <x:v>2024Q3</x:v>
      </x:c>
      <x:c r="E185" s="20" t="n">
        <x:v>55437.3666666667</x:v>
      </x:c>
      <x:c r="F185" s="20" t="n">
        <x:f>$E$161</x:f>
        <x:v>54180.2666666667</x:v>
      </x:c>
      <x:c r="G185" s="22" t="n">
        <x:f>100*E185/F185</x:f>
        <x:v>102.32021744694255</x:v>
      </x:c>
      <x:c r="H185" s="24" t="n">
        <x:f>G185/100-1</x:f>
        <x:v>0.02320217446942552</x:v>
      </x:c>
      <x:c r="I185" s="26" t="n">
        <x:v>4</x:v>
      </x:c>
      <x:c r="J185" s="26" t="n">
        <x:v>3</x:v>
      </x:c>
      <x:c r="K185" s="7" t="b">
        <x:v>0</x:v>
      </x:c>
      <x:c r="L185" s="2" t="str">
        <x:v>May 2026</x:v>
      </x:c>
      <x:c r="M185" s="2" t="str">
        <x:v>https://www.genaiadoptiontracker.com/</x:v>
      </x:c>
    </x:row>
    <x:row r="186" ht="24" customHeight="1">
      <x:c r="A186" s="2" t="str">
        <x:v>RPS</x:v>
      </x:c>
      <x:c r="B186" s="2" t="str">
        <x:v>Quartiles</x:v>
      </x:c>
      <x:c r="C186" s="2" t="str">
        <x:v>Q3</x:v>
      </x:c>
      <x:c r="D186" s="2" t="str">
        <x:v>2024Q3</x:v>
      </x:c>
      <x:c r="E186" s="20" t="n">
        <x:v>19816.3666666667</x:v>
      </x:c>
      <x:c r="F186" s="20" t="n">
        <x:f>$E$162</x:f>
        <x:v>19689.3666666667</x:v>
      </x:c>
      <x:c r="G186" s="22" t="n">
        <x:f>100*E186/F186</x:f>
        <x:v>100.64501820779745</x:v>
      </x:c>
      <x:c r="H186" s="24" t="n">
        <x:f>G186/100-1</x:f>
        <x:v>0.006450182077974542</x:v>
      </x:c>
      <x:c r="I186" s="26" t="n">
        <x:v>4</x:v>
      </x:c>
      <x:c r="J186" s="26" t="n">
        <x:v>3</x:v>
      </x:c>
      <x:c r="K186" s="7" t="b">
        <x:v>0</x:v>
      </x:c>
      <x:c r="L186" s="2" t="str">
        <x:v>May 2026</x:v>
      </x:c>
      <x:c r="M186" s="2" t="str">
        <x:v>https://www.genaiadoptiontracker.com/</x:v>
      </x:c>
    </x:row>
    <x:row r="187" ht="24" customHeight="1">
      <x:c r="A187" s="2" t="str">
        <x:v>RPS</x:v>
      </x:c>
      <x:c r="B187" s="2" t="str">
        <x:v>Quartiles</x:v>
      </x:c>
      <x:c r="C187" s="2" t="str">
        <x:v>Q4</x:v>
      </x:c>
      <x:c r="D187" s="2" t="str">
        <x:v>2024Q3</x:v>
      </x:c>
      <x:c r="E187" s="20" t="n">
        <x:v>29135.9333333333</x:v>
      </x:c>
      <x:c r="F187" s="20" t="n">
        <x:f>$E$163</x:f>
        <x:v>29165.6666666667</x:v>
      </x:c>
      <x:c r="G187" s="22" t="n">
        <x:f>100*E187/F187</x:f>
        <x:v>99.89805364755341</x:v>
      </x:c>
      <x:c r="H187" s="24" t="n">
        <x:f>G187/100-1</x:f>
        <x:v>-0.0010194635244659134</x:v>
      </x:c>
      <x:c r="I187" s="26" t="n">
        <x:v>5</x:v>
      </x:c>
      <x:c r="J187" s="26" t="n">
        <x:v>3</x:v>
      </x:c>
      <x:c r="K187" s="7" t="b">
        <x:v>0</x:v>
      </x:c>
      <x:c r="L187" s="2" t="str">
        <x:v>May 2026</x:v>
      </x:c>
      <x:c r="M187" s="2" t="str">
        <x:v>https://www.genaiadoptiontracker.com/</x:v>
      </x:c>
    </x:row>
    <x:row r="188" ht="24" customHeight="1">
      <x:c r="A188" s="2" t="str">
        <x:v>RPS</x:v>
      </x:c>
      <x:c r="B188" s="2" t="str">
        <x:v>Quartiles</x:v>
      </x:c>
      <x:c r="C188" s="2" t="str">
        <x:v>Q1</x:v>
      </x:c>
      <x:c r="D188" s="2" t="str">
        <x:v>2024Q4</x:v>
      </x:c>
      <x:c r="E188" s="20" t="n">
        <x:v>30034.7333333333</x:v>
      </x:c>
      <x:c r="F188" s="20" t="n">
        <x:f>$E$160</x:f>
        <x:v>29377.5333333333</x:v>
      </x:c>
      <x:c r="G188" s="22" t="n">
        <x:f>100*E188/F188</x:f>
        <x:v>102.23708366711071</x:v>
      </x:c>
      <x:c r="H188" s="24" t="n">
        <x:f>G188/100-1</x:f>
        <x:v>0.022370836671107064</x:v>
      </x:c>
      <x:c r="I188" s="26" t="n">
        <x:v>5</x:v>
      </x:c>
      <x:c r="J188" s="26" t="n">
        <x:v>3</x:v>
      </x:c>
      <x:c r="K188" s="7" t="b">
        <x:v>0</x:v>
      </x:c>
      <x:c r="L188" s="2" t="str">
        <x:v>May 2026</x:v>
      </x:c>
      <x:c r="M188" s="2" t="str">
        <x:v>https://www.genaiadoptiontracker.com/</x:v>
      </x:c>
    </x:row>
    <x:row r="189" ht="24" customHeight="1">
      <x:c r="A189" s="2" t="str">
        <x:v>RPS</x:v>
      </x:c>
      <x:c r="B189" s="2" t="str">
        <x:v>Quartiles</x:v>
      </x:c>
      <x:c r="C189" s="2" t="str">
        <x:v>Q2</x:v>
      </x:c>
      <x:c r="D189" s="2" t="str">
        <x:v>2024Q4</x:v>
      </x:c>
      <x:c r="E189" s="20" t="n">
        <x:v>55632.7666666667</x:v>
      </x:c>
      <x:c r="F189" s="20" t="n">
        <x:f>$E$161</x:f>
        <x:v>54180.2666666667</x:v>
      </x:c>
      <x:c r="G189" s="22" t="n">
        <x:f>100*E189/F189</x:f>
        <x:v>102.68086535811315</x:v>
      </x:c>
      <x:c r="H189" s="24" t="n">
        <x:f>G189/100-1</x:f>
        <x:v>0.026808653581131603</x:v>
      </x:c>
      <x:c r="I189" s="26" t="n">
        <x:v>4</x:v>
      </x:c>
      <x:c r="J189" s="26" t="n">
        <x:v>3</x:v>
      </x:c>
      <x:c r="K189" s="7" t="b">
        <x:v>0</x:v>
      </x:c>
      <x:c r="L189" s="2" t="str">
        <x:v>May 2026</x:v>
      </x:c>
      <x:c r="M189" s="2" t="str">
        <x:v>https://www.genaiadoptiontracker.com/</x:v>
      </x:c>
    </x:row>
    <x:row r="190" ht="24" customHeight="1">
      <x:c r="A190" s="2" t="str">
        <x:v>RPS</x:v>
      </x:c>
      <x:c r="B190" s="2" t="str">
        <x:v>Quartiles</x:v>
      </x:c>
      <x:c r="C190" s="2" t="str">
        <x:v>Q3</x:v>
      </x:c>
      <x:c r="D190" s="2" t="str">
        <x:v>2024Q4</x:v>
      </x:c>
      <x:c r="E190" s="20" t="n">
        <x:v>19789.9333333333</x:v>
      </x:c>
      <x:c r="F190" s="20" t="n">
        <x:f>$E$162</x:f>
        <x:v>19689.3666666667</x:v>
      </x:c>
      <x:c r="G190" s="22" t="n">
        <x:f>100*E190/F190</x:f>
        <x:v>100.51076638659413</x:v>
      </x:c>
      <x:c r="H190" s="24" t="n">
        <x:f>G190/100-1</x:f>
        <x:v>0.005107663865941303</x:v>
      </x:c>
      <x:c r="I190" s="26" t="n">
        <x:v>4</x:v>
      </x:c>
      <x:c r="J190" s="26" t="n">
        <x:v>3</x:v>
      </x:c>
      <x:c r="K190" s="7" t="b">
        <x:v>0</x:v>
      </x:c>
      <x:c r="L190" s="2" t="str">
        <x:v>May 2026</x:v>
      </x:c>
      <x:c r="M190" s="2" t="str">
        <x:v>https://www.genaiadoptiontracker.com/</x:v>
      </x:c>
    </x:row>
    <x:row r="191" ht="24" customHeight="1">
      <x:c r="A191" s="2" t="str">
        <x:v>RPS</x:v>
      </x:c>
      <x:c r="B191" s="2" t="str">
        <x:v>Quartiles</x:v>
      </x:c>
      <x:c r="C191" s="2" t="str">
        <x:v>Q4</x:v>
      </x:c>
      <x:c r="D191" s="2" t="str">
        <x:v>2024Q4</x:v>
      </x:c>
      <x:c r="E191" s="20" t="n">
        <x:v>29108.7333333333</x:v>
      </x:c>
      <x:c r="F191" s="20" t="n">
        <x:f>$E$163</x:f>
        <x:v>29165.6666666667</x:v>
      </x:c>
      <x:c r="G191" s="22" t="n">
        <x:f>100*E191/F191</x:f>
        <x:v>99.80479330719888</x:v>
      </x:c>
      <x:c r="H191" s="24" t="n">
        <x:f>G191/100-1</x:f>
        <x:v>-0.001952066928011198</x:v>
      </x:c>
      <x:c r="I191" s="26" t="n">
        <x:v>5</x:v>
      </x:c>
      <x:c r="J191" s="26" t="n">
        <x:v>3</x:v>
      </x:c>
      <x:c r="K191" s="7" t="b">
        <x:v>0</x:v>
      </x:c>
      <x:c r="L191" s="2" t="str">
        <x:v>May 2026</x:v>
      </x:c>
      <x:c r="M191" s="2" t="str">
        <x:v>https://www.genaiadoptiontracker.com/</x:v>
      </x:c>
    </x:row>
    <x:row r="192" ht="24" customHeight="1">
      <x:c r="A192" s="2" t="str">
        <x:v>RPS</x:v>
      </x:c>
      <x:c r="B192" s="2" t="str">
        <x:v>Quartiles</x:v>
      </x:c>
      <x:c r="C192" s="2" t="str">
        <x:v>Q1</x:v>
      </x:c>
      <x:c r="D192" s="2" t="str">
        <x:v>2025Q1</x:v>
      </x:c>
      <x:c r="E192" s="20" t="n">
        <x:v>30052.2333333333</x:v>
      </x:c>
      <x:c r="F192" s="20" t="n">
        <x:f>$E$160</x:f>
        <x:v>29377.5333333333</x:v>
      </x:c>
      <x:c r="G192" s="22" t="n">
        <x:f>100*E192/F192</x:f>
        <x:v>102.29665299786913</x:v>
      </x:c>
      <x:c r="H192" s="24" t="n">
        <x:f>G192/100-1</x:f>
        <x:v>0.02296652997869142</x:v>
      </x:c>
      <x:c r="I192" s="26" t="n">
        <x:v>5</x:v>
      </x:c>
      <x:c r="J192" s="26" t="n">
        <x:v>3</x:v>
      </x:c>
      <x:c r="K192" s="7" t="b">
        <x:v>0</x:v>
      </x:c>
      <x:c r="L192" s="2" t="str">
        <x:v>May 2026</x:v>
      </x:c>
      <x:c r="M192" s="2" t="str">
        <x:v>https://www.genaiadoptiontracker.com/</x:v>
      </x:c>
    </x:row>
    <x:row r="193" ht="24" customHeight="1">
      <x:c r="A193" s="2" t="str">
        <x:v>RPS</x:v>
      </x:c>
      <x:c r="B193" s="2" t="str">
        <x:v>Quartiles</x:v>
      </x:c>
      <x:c r="C193" s="2" t="str">
        <x:v>Q2</x:v>
      </x:c>
      <x:c r="D193" s="2" t="str">
        <x:v>2025Q1</x:v>
      </x:c>
      <x:c r="E193" s="20" t="n">
        <x:v>55803.4333333333</x:v>
      </x:c>
      <x:c r="F193" s="20" t="n">
        <x:f>$E$161</x:f>
        <x:v>54180.2666666667</x:v>
      </x:c>
      <x:c r="G193" s="22" t="n">
        <x:f>100*E193/F193</x:f>
        <x:v>102.99586319250294</x:v>
      </x:c>
      <x:c r="H193" s="24" t="n">
        <x:f>G193/100-1</x:f>
        <x:v>0.029958631925029344</x:v>
      </x:c>
      <x:c r="I193" s="26" t="n">
        <x:v>4</x:v>
      </x:c>
      <x:c r="J193" s="26" t="n">
        <x:v>3</x:v>
      </x:c>
      <x:c r="K193" s="7" t="b">
        <x:v>0</x:v>
      </x:c>
      <x:c r="L193" s="2" t="str">
        <x:v>May 2026</x:v>
      </x:c>
      <x:c r="M193" s="2" t="str">
        <x:v>https://www.genaiadoptiontracker.com/</x:v>
      </x:c>
    </x:row>
    <x:row r="194" ht="24" customHeight="1">
      <x:c r="A194" s="2" t="str">
        <x:v>RPS</x:v>
      </x:c>
      <x:c r="B194" s="2" t="str">
        <x:v>Quartiles</x:v>
      </x:c>
      <x:c r="C194" s="2" t="str">
        <x:v>Q3</x:v>
      </x:c>
      <x:c r="D194" s="2" t="str">
        <x:v>2025Q1</x:v>
      </x:c>
      <x:c r="E194" s="20" t="n">
        <x:v>19778.5</x:v>
      </x:c>
      <x:c r="F194" s="20" t="n">
        <x:f>$E$162</x:f>
        <x:v>19689.3666666667</x:v>
      </x:c>
      <x:c r="G194" s="22" t="n">
        <x:f>100*E194/F194</x:f>
        <x:v>100.45269781828075</x:v>
      </x:c>
      <x:c r="H194" s="24" t="n">
        <x:f>G194/100-1</x:f>
        <x:v>0.004526978182807451</x:v>
      </x:c>
      <x:c r="I194" s="26" t="n">
        <x:v>4</x:v>
      </x:c>
      <x:c r="J194" s="26" t="n">
        <x:v>3</x:v>
      </x:c>
      <x:c r="K194" s="7" t="b">
        <x:v>0</x:v>
      </x:c>
      <x:c r="L194" s="2" t="str">
        <x:v>May 2026</x:v>
      </x:c>
      <x:c r="M194" s="2" t="str">
        <x:v>https://www.genaiadoptiontracker.com/</x:v>
      </x:c>
    </x:row>
    <x:row r="195" ht="24" customHeight="1">
      <x:c r="A195" s="2" t="str">
        <x:v>RPS</x:v>
      </x:c>
      <x:c r="B195" s="2" t="str">
        <x:v>Quartiles</x:v>
      </x:c>
      <x:c r="C195" s="2" t="str">
        <x:v>Q4</x:v>
      </x:c>
      <x:c r="D195" s="2" t="str">
        <x:v>2025Q1</x:v>
      </x:c>
      <x:c r="E195" s="20" t="n">
        <x:v>29084.0666666667</x:v>
      </x:c>
      <x:c r="F195" s="20" t="n">
        <x:f>$E$163</x:f>
        <x:v>29165.6666666667</x:v>
      </x:c>
      <x:c r="G195" s="22" t="n">
        <x:f>100*E195/F195</x:f>
        <x:v>99.72021897893642</x:v>
      </x:c>
      <x:c r="H195" s="24" t="n">
        <x:f>G195/100-1</x:f>
        <x:v>-0.0027978102106358538</x:v>
      </x:c>
      <x:c r="I195" s="26" t="n">
        <x:v>5</x:v>
      </x:c>
      <x:c r="J195" s="26" t="n">
        <x:v>3</x:v>
      </x:c>
      <x:c r="K195" s="7" t="b">
        <x:v>0</x:v>
      </x:c>
      <x:c r="L195" s="2" t="str">
        <x:v>May 2026</x:v>
      </x:c>
      <x:c r="M195" s="2" t="str">
        <x:v>https://www.genaiadoptiontracker.com/</x:v>
      </x:c>
    </x:row>
    <x:row r="196" ht="24" customHeight="1">
      <x:c r="A196" s="2" t="str">
        <x:v>RPS</x:v>
      </x:c>
      <x:c r="B196" s="2" t="str">
        <x:v>Quartiles</x:v>
      </x:c>
      <x:c r="C196" s="2" t="str">
        <x:v>Q1</x:v>
      </x:c>
      <x:c r="D196" s="2" t="str">
        <x:v>2025Q2</x:v>
      </x:c>
      <x:c r="E196" s="20" t="n">
        <x:v>30058</x:v>
      </x:c>
      <x:c r="F196" s="20" t="n">
        <x:f>$E$160</x:f>
        <x:v>29377.5333333333</x:v>
      </x:c>
      <x:c r="G196" s="22" t="n">
        <x:f>100*E196/F196</x:f>
        <x:v>102.31628251067154</x:v>
      </x:c>
      <x:c r="H196" s="24" t="n">
        <x:f>G196/100-1</x:f>
        <x:v>0.023162825106715523</x:v>
      </x:c>
      <x:c r="I196" s="26" t="n">
        <x:v>5</x:v>
      </x:c>
      <x:c r="J196" s="26" t="n">
        <x:v>3</x:v>
      </x:c>
      <x:c r="K196" s="7" t="b">
        <x:v>0</x:v>
      </x:c>
      <x:c r="L196" s="2" t="str">
        <x:v>May 2026</x:v>
      </x:c>
      <x:c r="M196" s="2" t="str">
        <x:v>https://www.genaiadoptiontracker.com/</x:v>
      </x:c>
    </x:row>
    <x:row r="197" ht="24" customHeight="1">
      <x:c r="A197" s="2" t="str">
        <x:v>RPS</x:v>
      </x:c>
      <x:c r="B197" s="2" t="str">
        <x:v>Quartiles</x:v>
      </x:c>
      <x:c r="C197" s="2" t="str">
        <x:v>Q2</x:v>
      </x:c>
      <x:c r="D197" s="2" t="str">
        <x:v>2025Q2</x:v>
      </x:c>
      <x:c r="E197" s="20" t="n">
        <x:v>55968.8333333333</x:v>
      </x:c>
      <x:c r="F197" s="20" t="n">
        <x:f>$E$161</x:f>
        <x:v>54180.2666666667</x:v>
      </x:c>
      <x:c r="G197" s="22" t="n">
        <x:f>100*E197/F197</x:f>
        <x:v>103.3011403905972</x:v>
      </x:c>
      <x:c r="H197" s="24" t="n">
        <x:f>G197/100-1</x:f>
        <x:v>0.0330114039059719</x:v>
      </x:c>
      <x:c r="I197" s="26" t="n">
        <x:v>4</x:v>
      </x:c>
      <x:c r="J197" s="26" t="n">
        <x:v>3</x:v>
      </x:c>
      <x:c r="K197" s="7" t="b">
        <x:v>0</x:v>
      </x:c>
      <x:c r="L197" s="2" t="str">
        <x:v>May 2026</x:v>
      </x:c>
      <x:c r="M197" s="2" t="str">
        <x:v>https://www.genaiadoptiontracker.com/</x:v>
      </x:c>
    </x:row>
    <x:row r="198" ht="24" customHeight="1">
      <x:c r="A198" s="2" t="str">
        <x:v>RPS</x:v>
      </x:c>
      <x:c r="B198" s="2" t="str">
        <x:v>Quartiles</x:v>
      </x:c>
      <x:c r="C198" s="2" t="str">
        <x:v>Q3</x:v>
      </x:c>
      <x:c r="D198" s="2" t="str">
        <x:v>2025Q2</x:v>
      </x:c>
      <x:c r="E198" s="20" t="n">
        <x:v>19771.7666666667</x:v>
      </x:c>
      <x:c r="F198" s="20" t="n">
        <x:f>$E$162</x:f>
        <x:v>19689.3666666667</x:v>
      </x:c>
      <x:c r="G198" s="22" t="n">
        <x:f>100*E198/F198</x:f>
        <x:v>100.41850000253943</x:v>
      </x:c>
      <x:c r="H198" s="24" t="n">
        <x:f>G198/100-1</x:f>
        <x:v>0.0041850000253942365</x:v>
      </x:c>
      <x:c r="I198" s="26" t="n">
        <x:v>4</x:v>
      </x:c>
      <x:c r="J198" s="26" t="n">
        <x:v>3</x:v>
      </x:c>
      <x:c r="K198" s="7" t="b">
        <x:v>0</x:v>
      </x:c>
      <x:c r="L198" s="2" t="str">
        <x:v>May 2026</x:v>
      </x:c>
      <x:c r="M198" s="2" t="str">
        <x:v>https://www.genaiadoptiontracker.com/</x:v>
      </x:c>
    </x:row>
    <x:row r="199" ht="24" customHeight="1">
      <x:c r="A199" s="2" t="str">
        <x:v>RPS</x:v>
      </x:c>
      <x:c r="B199" s="2" t="str">
        <x:v>Quartiles</x:v>
      </x:c>
      <x:c r="C199" s="2" t="str">
        <x:v>Q4</x:v>
      </x:c>
      <x:c r="D199" s="2" t="str">
        <x:v>2025Q2</x:v>
      </x:c>
      <x:c r="E199" s="20" t="n">
        <x:v>29074.4666666667</x:v>
      </x:c>
      <x:c r="F199" s="20" t="n">
        <x:f>$E$163</x:f>
        <x:v>29165.6666666667</x:v>
      </x:c>
      <x:c r="G199" s="22" t="n">
        <x:f>100*E199/F199</x:f>
        <x:v>99.68730356469364</x:v>
      </x:c>
      <x:c r="H199" s="24" t="n">
        <x:f>G199/100-1</x:f>
        <x:v>-0.0031269643530635882</x:v>
      </x:c>
      <x:c r="I199" s="26" t="n">
        <x:v>5</x:v>
      </x:c>
      <x:c r="J199" s="26" t="n">
        <x:v>3</x:v>
      </x:c>
      <x:c r="K199" s="7" t="b">
        <x:v>0</x:v>
      </x:c>
      <x:c r="L199" s="2" t="str">
        <x:v>May 2026</x:v>
      </x:c>
      <x:c r="M199" s="2" t="str">
        <x:v>https://www.genaiadoptiontracker.com/</x:v>
      </x:c>
    </x:row>
    <x:row r="200" ht="24" customHeight="1">
      <x:c r="A200" s="2" t="str">
        <x:v>RPS</x:v>
      </x:c>
      <x:c r="B200" s="2" t="str">
        <x:v>Quartiles</x:v>
      </x:c>
      <x:c r="C200" s="2" t="str">
        <x:v>Q1</x:v>
      </x:c>
      <x:c r="D200" s="2" t="str">
        <x:v>2025Q3</x:v>
      </x:c>
      <x:c r="E200" s="20" t="n">
        <x:v>30088.6333333333</x:v>
      </x:c>
      <x:c r="F200" s="20" t="n">
        <x:f>$E$160</x:f>
        <x:v>29377.5333333333</x:v>
      </x:c>
      <x:c r="G200" s="22" t="n">
        <x:f>100*E200/F200</x:f>
        <x:v>102.42055720584663</x:v>
      </x:c>
      <x:c r="H200" s="24" t="n">
        <x:f>G200/100-1</x:f>
        <x:v>0.024205572058466407</x:v>
      </x:c>
      <x:c r="I200" s="26" t="n">
        <x:v>5</x:v>
      </x:c>
      <x:c r="J200" s="26" t="n">
        <x:v>3</x:v>
      </x:c>
      <x:c r="K200" s="7" t="b">
        <x:v>0</x:v>
      </x:c>
      <x:c r="L200" s="2" t="str">
        <x:v>May 2026</x:v>
      </x:c>
      <x:c r="M200" s="2" t="str">
        <x:v>https://www.genaiadoptiontracker.com/</x:v>
      </x:c>
    </x:row>
    <x:row r="201" ht="24" customHeight="1">
      <x:c r="A201" s="2" t="str">
        <x:v>RPS</x:v>
      </x:c>
      <x:c r="B201" s="2" t="str">
        <x:v>Quartiles</x:v>
      </x:c>
      <x:c r="C201" s="2" t="str">
        <x:v>Q2</x:v>
      </x:c>
      <x:c r="D201" s="2" t="str">
        <x:v>2025Q3</x:v>
      </x:c>
      <x:c r="E201" s="20" t="n">
        <x:v>56072.8</x:v>
      </x:c>
      <x:c r="F201" s="20" t="n">
        <x:f>$E$161</x:f>
        <x:v>54180.2666666667</x:v>
      </x:c>
      <x:c r="G201" s="22" t="n">
        <x:f>100*E201/F201</x:f>
        <x:v>103.49303067291406</x:v>
      </x:c>
      <x:c r="H201" s="24" t="n">
        <x:f>G201/100-1</x:f>
        <x:v>0.03493030672914066</x:v>
      </x:c>
      <x:c r="I201" s="26" t="n">
        <x:v>4</x:v>
      </x:c>
      <x:c r="J201" s="26" t="n">
        <x:v>3</x:v>
      </x:c>
      <x:c r="K201" s="7" t="b">
        <x:v>0</x:v>
      </x:c>
      <x:c r="L201" s="2" t="str">
        <x:v>May 2026</x:v>
      </x:c>
      <x:c r="M201" s="2" t="str">
        <x:v>https://www.genaiadoptiontracker.com/</x:v>
      </x:c>
    </x:row>
    <x:row r="202" ht="24" customHeight="1">
      <x:c r="A202" s="2" t="str">
        <x:v>RPS</x:v>
      </x:c>
      <x:c r="B202" s="2" t="str">
        <x:v>Quartiles</x:v>
      </x:c>
      <x:c r="C202" s="2" t="str">
        <x:v>Q3</x:v>
      </x:c>
      <x:c r="D202" s="2" t="str">
        <x:v>2025Q3</x:v>
      </x:c>
      <x:c r="E202" s="20" t="n">
        <x:v>19723.7</x:v>
      </x:c>
      <x:c r="F202" s="20" t="n">
        <x:f>$E$162</x:f>
        <x:v>19689.3666666667</x:v>
      </x:c>
      <x:c r="G202" s="22" t="n">
        <x:f>100*E202/F202</x:f>
        <x:v>100.17437500105792</x:v>
      </x:c>
      <x:c r="H202" s="24" t="n">
        <x:f>G202/100-1</x:f>
        <x:v>0.001743750010579248</x:v>
      </x:c>
      <x:c r="I202" s="26" t="n">
        <x:v>4</x:v>
      </x:c>
      <x:c r="J202" s="26" t="n">
        <x:v>3</x:v>
      </x:c>
      <x:c r="K202" s="7" t="b">
        <x:v>0</x:v>
      </x:c>
      <x:c r="L202" s="2" t="str">
        <x:v>May 2026</x:v>
      </x:c>
      <x:c r="M202" s="2" t="str">
        <x:v>https://www.genaiadoptiontracker.com/</x:v>
      </x:c>
    </x:row>
    <x:row r="203" ht="24" customHeight="1">
      <x:c r="A203" s="2" t="str">
        <x:v>RPS</x:v>
      </x:c>
      <x:c r="B203" s="2" t="str">
        <x:v>Quartiles</x:v>
      </x:c>
      <x:c r="C203" s="2" t="str">
        <x:v>Q4</x:v>
      </x:c>
      <x:c r="D203" s="2" t="str">
        <x:v>2025Q3</x:v>
      </x:c>
      <x:c r="E203" s="20" t="n">
        <x:v>29040.8333333333</x:v>
      </x:c>
      <x:c r="F203" s="20" t="n">
        <x:f>$E$163</x:f>
        <x:v>29165.6666666667</x:v>
      </x:c>
      <x:c r="G203" s="22" t="n">
        <x:f>100*E203/F203</x:f>
        <x:v>99.57198532521092</x:v>
      </x:c>
      <x:c r="H203" s="24" t="n">
        <x:f>G203/100-1</x:f>
        <x:v>-0.0042801467478907895</x:v>
      </x:c>
      <x:c r="I203" s="26" t="n">
        <x:v>5</x:v>
      </x:c>
      <x:c r="J203" s="26" t="n">
        <x:v>3</x:v>
      </x:c>
      <x:c r="K203" s="7" t="b">
        <x:v>0</x:v>
      </x:c>
      <x:c r="L203" s="2" t="str">
        <x:v>May 2026</x:v>
      </x:c>
      <x:c r="M203" s="2" t="str">
        <x:v>https://www.genaiadoptiontracker.com/</x:v>
      </x:c>
    </x:row>
    <x:row r="204" ht="24" customHeight="1">
      <x:c r="A204" s="2" t="str">
        <x:v>RPS</x:v>
      </x:c>
      <x:c r="B204" s="2" t="str">
        <x:v>Quartiles</x:v>
      </x:c>
      <x:c r="C204" s="2" t="str">
        <x:v>Q1</x:v>
      </x:c>
      <x:c r="D204" s="2" t="str">
        <x:v>2025Q4</x:v>
      </x:c>
      <x:c r="E204" s="20" t="n">
        <x:v>30105.9666666667</x:v>
      </x:c>
      <x:c r="F204" s="20" t="n">
        <x:f>$E$160</x:f>
        <x:v>29377.5333333333</x:v>
      </x:c>
      <x:c r="G204" s="22" t="n">
        <x:f>100*E204/F204</x:f>
        <x:v>102.47955920964569</x:v>
      </x:c>
      <x:c r="H204" s="24" t="n">
        <x:f>G204/100-1</x:f>
        <x:v>0.024795592096456875</x:v>
      </x:c>
      <x:c r="I204" s="26" t="n">
        <x:v>5</x:v>
      </x:c>
      <x:c r="J204" s="26" t="n">
        <x:v>3</x:v>
      </x:c>
      <x:c r="K204" s="7" t="b">
        <x:v>0</x:v>
      </x:c>
      <x:c r="L204" s="2" t="str">
        <x:v>May 2026</x:v>
      </x:c>
      <x:c r="M204" s="2" t="str">
        <x:v>https://www.genaiadoptiontracker.com/</x:v>
      </x:c>
    </x:row>
    <x:row r="205" ht="24" customHeight="1">
      <x:c r="A205" s="2" t="str">
        <x:v>RPS</x:v>
      </x:c>
      <x:c r="B205" s="2" t="str">
        <x:v>Quartiles</x:v>
      </x:c>
      <x:c r="C205" s="2" t="str">
        <x:v>Q2</x:v>
      </x:c>
      <x:c r="D205" s="2" t="str">
        <x:v>2025Q4</x:v>
      </x:c>
      <x:c r="E205" s="20" t="n">
        <x:v>56198.8</x:v>
      </x:c>
      <x:c r="F205" s="20" t="n">
        <x:f>$E$161</x:f>
        <x:v>54180.2666666667</x:v>
      </x:c>
      <x:c r="G205" s="22" t="n">
        <x:f>100*E205/F205</x:f>
        <x:v>103.72558766783472</x:v>
      </x:c>
      <x:c r="H205" s="24" t="n">
        <x:f>G205/100-1</x:f>
        <x:v>0.037255876678347066</x:v>
      </x:c>
      <x:c r="I205" s="26" t="n">
        <x:v>4</x:v>
      </x:c>
      <x:c r="J205" s="26" t="n">
        <x:v>3</x:v>
      </x:c>
      <x:c r="K205" s="7" t="b">
        <x:v>0</x:v>
      </x:c>
      <x:c r="L205" s="2" t="str">
        <x:v>May 2026</x:v>
      </x:c>
      <x:c r="M205" s="2" t="str">
        <x:v>https://www.genaiadoptiontracker.com/</x:v>
      </x:c>
    </x:row>
    <x:row r="206" ht="24" customHeight="1">
      <x:c r="A206" s="2" t="str">
        <x:v>RPS</x:v>
      </x:c>
      <x:c r="B206" s="2" t="str">
        <x:v>Quartiles</x:v>
      </x:c>
      <x:c r="C206" s="2" t="str">
        <x:v>Q3</x:v>
      </x:c>
      <x:c r="D206" s="2" t="str">
        <x:v>2025Q4</x:v>
      </x:c>
      <x:c r="E206" s="20" t="n">
        <x:v>19687.8333333333</x:v>
      </x:c>
      <x:c r="F206" s="20" t="n">
        <x:f>$E$162</x:f>
        <x:v>19689.3666666667</x:v>
      </x:c>
      <x:c r="G206" s="22" t="n">
        <x:f>100*E206/F206</x:f>
        <x:v>99.99221237859318</x:v>
      </x:c>
      <x:c r="H206" s="24" t="n">
        <x:f>G206/100-1</x:f>
        <x:v>-0.00007787621406818435</x:v>
      </x:c>
      <x:c r="I206" s="26" t="n">
        <x:v>4</x:v>
      </x:c>
      <x:c r="J206" s="26" t="n">
        <x:v>3</x:v>
      </x:c>
      <x:c r="K206" s="7" t="b">
        <x:v>0</x:v>
      </x:c>
      <x:c r="L206" s="2" t="str">
        <x:v>May 2026</x:v>
      </x:c>
      <x:c r="M206" s="2" t="str">
        <x:v>https://www.genaiadoptiontracker.com/</x:v>
      </x:c>
    </x:row>
    <x:row r="207" ht="24" customHeight="1">
      <x:c r="A207" s="2" t="str">
        <x:v>RPS</x:v>
      </x:c>
      <x:c r="B207" s="2" t="str">
        <x:v>Quartiles</x:v>
      </x:c>
      <x:c r="C207" s="2" t="str">
        <x:v>Q4</x:v>
      </x:c>
      <x:c r="D207" s="2" t="str">
        <x:v>2025Q4</x:v>
      </x:c>
      <x:c r="E207" s="20" t="n">
        <x:v>29032.9</x:v>
      </x:c>
      <x:c r="F207" s="20" t="n">
        <x:f>$E$163</x:f>
        <x:v>29165.6666666667</x:v>
      </x:c>
      <x:c r="G207" s="22" t="n">
        <x:f>100*E207/F207</x:f>
        <x:v>99.54478439260762</x:v>
      </x:c>
      <x:c r="H207" s="24" t="n">
        <x:f>G207/100-1</x:f>
        <x:v>-0.004552156073923785</x:v>
      </x:c>
      <x:c r="I207" s="26" t="n">
        <x:v>5</x:v>
      </x:c>
      <x:c r="J207" s="26" t="n">
        <x:v>3</x:v>
      </x:c>
      <x:c r="K207" s="7" t="b">
        <x:v>0</x:v>
      </x:c>
      <x:c r="L207" s="2" t="str">
        <x:v>May 2026</x:v>
      </x:c>
      <x:c r="M207" s="2" t="str">
        <x:v>https://www.genaiadoptiontracker.com/</x:v>
      </x:c>
    </x:row>
    <x:row r="208" ht="24" customHeight="1">
      <x:c r="A208" s="2" t="str">
        <x:v>RPS</x:v>
      </x:c>
      <x:c r="B208" s="2" t="str">
        <x:v>Quartiles</x:v>
      </x:c>
      <x:c r="C208" s="2" t="str">
        <x:v>Q1</x:v>
      </x:c>
      <x:c r="D208" s="2" t="str">
        <x:v>2026Q1</x:v>
      </x:c>
      <x:c r="E208" s="20" t="n">
        <x:v>30106.6</x:v>
      </x:c>
      <x:c r="F208" s="20" t="n">
        <x:f>$E$160</x:f>
        <x:v>29377.5333333333</x:v>
      </x:c>
      <x:c r="G208" s="22" t="n">
        <x:f>100*E208/F208</x:f>
        <x:v>102.48171505209207</x:v>
      </x:c>
      <x:c r="H208" s="24" t="n">
        <x:f>G208/100-1</x:f>
        <x:v>0.024817150520920706</x:v>
      </x:c>
      <x:c r="I208" s="26" t="n">
        <x:v>5</x:v>
      </x:c>
      <x:c r="J208" s="26" t="n">
        <x:v>3</x:v>
      </x:c>
      <x:c r="K208" s="7" t="b">
        <x:v>0</x:v>
      </x:c>
      <x:c r="L208" s="2" t="str">
        <x:v>May 2026</x:v>
      </x:c>
      <x:c r="M208" s="2" t="str">
        <x:v>https://www.genaiadoptiontracker.com/</x:v>
      </x:c>
    </x:row>
    <x:row r="209" ht="24" customHeight="1">
      <x:c r="A209" s="2" t="str">
        <x:v>RPS</x:v>
      </x:c>
      <x:c r="B209" s="2" t="str">
        <x:v>Quartiles</x:v>
      </x:c>
      <x:c r="C209" s="2" t="str">
        <x:v>Q2</x:v>
      </x:c>
      <x:c r="D209" s="2" t="str">
        <x:v>2026Q1</x:v>
      </x:c>
      <x:c r="E209" s="20" t="n">
        <x:v>56445.8666666667</x:v>
      </x:c>
      <x:c r="F209" s="20" t="n">
        <x:f>$E$161</x:f>
        <x:v>54180.2666666667</x:v>
      </x:c>
      <x:c r="G209" s="22" t="n">
        <x:f>100*E209/F209</x:f>
        <x:v>104.18159625152576</x:v>
      </x:c>
      <x:c r="H209" s="24" t="n">
        <x:f>G209/100-1</x:f>
        <x:v>0.041815962515257654</x:v>
      </x:c>
      <x:c r="I209" s="26" t="n">
        <x:v>4</x:v>
      </x:c>
      <x:c r="J209" s="26" t="n">
        <x:v>3</x:v>
      </x:c>
      <x:c r="K209" s="7" t="b">
        <x:v>0</x:v>
      </x:c>
      <x:c r="L209" s="2" t="str">
        <x:v>May 2026</x:v>
      </x:c>
      <x:c r="M209" s="2" t="str">
        <x:v>https://www.genaiadoptiontracker.com/</x:v>
      </x:c>
    </x:row>
    <x:row r="210" ht="24" customHeight="1">
      <x:c r="A210" s="2" t="str">
        <x:v>RPS</x:v>
      </x:c>
      <x:c r="B210" s="2" t="str">
        <x:v>Quartiles</x:v>
      </x:c>
      <x:c r="C210" s="2" t="str">
        <x:v>Q3</x:v>
      </x:c>
      <x:c r="D210" s="2" t="str">
        <x:v>2026Q1</x:v>
      </x:c>
      <x:c r="E210" s="20" t="n">
        <x:v>19674.0333333333</x:v>
      </x:c>
      <x:c r="F210" s="20" t="n">
        <x:f>$E$162</x:f>
        <x:v>19689.3666666667</x:v>
      </x:c>
      <x:c r="G210" s="22" t="n">
        <x:f>100*E210/F210</x:f>
        <x:v>99.92212378593487</x:v>
      </x:c>
      <x:c r="H210" s="24" t="n">
        <x:f>G210/100-1</x:f>
        <x:v>-0.0007787621406513123</x:v>
      </x:c>
      <x:c r="I210" s="26" t="n">
        <x:v>4</x:v>
      </x:c>
      <x:c r="J210" s="26" t="n">
        <x:v>3</x:v>
      </x:c>
      <x:c r="K210" s="7" t="b">
        <x:v>0</x:v>
      </x:c>
      <x:c r="L210" s="2" t="str">
        <x:v>May 2026</x:v>
      </x:c>
      <x:c r="M210" s="2" t="str">
        <x:v>https://www.genaiadoptiontracker.com/</x:v>
      </x:c>
    </x:row>
    <x:row r="211" ht="24" customHeight="1">
      <x:c r="A211" s="2" t="str">
        <x:v>RPS</x:v>
      </x:c>
      <x:c r="B211" s="2" t="str">
        <x:v>Quartiles</x:v>
      </x:c>
      <x:c r="C211" s="2" t="str">
        <x:v>Q4</x:v>
      </x:c>
      <x:c r="D211" s="2" t="str">
        <x:v>2026Q1</x:v>
      </x:c>
      <x:c r="E211" s="20" t="n">
        <x:v>28968.2666666667</x:v>
      </x:c>
      <x:c r="F211" s="20" t="n">
        <x:f>$E$163</x:f>
        <x:v>29165.6666666667</x:v>
      </x:c>
      <x:c r="G211" s="22" t="n">
        <x:f>100*E211/F211</x:f>
        <x:v>99.32317679463294</x:v>
      </x:c>
      <x:c r="H211" s="24" t="n">
        <x:f>G211/100-1</x:f>
        <x:v>-0.006768232053670609</x:v>
      </x:c>
      <x:c r="I211" s="26" t="n">
        <x:v>5</x:v>
      </x:c>
      <x:c r="J211" s="26" t="n">
        <x:v>3</x:v>
      </x:c>
      <x:c r="K211" s="7" t="b">
        <x:v>0</x:v>
      </x:c>
      <x:c r="L211" s="2" t="str">
        <x:v>May 2026</x:v>
      </x:c>
      <x:c r="M211" s="2" t="str">
        <x:v>https://www.genaiadoptiontracker.com/</x:v>
      </x:c>
    </x:row>
    <x:row r="212" ht="24" customHeight="1">
      <x:c r="A212" s="2" t="str">
        <x:v>RPS</x:v>
      </x:c>
      <x:c r="B212" s="2" t="str">
        <x:v>Quartiles</x:v>
      </x:c>
      <x:c r="C212" s="2" t="str">
        <x:v>Q1</x:v>
      </x:c>
      <x:c r="D212" s="2" t="str">
        <x:v>2026Q2</x:v>
      </x:c>
      <x:c r="E212" s="20" t="n">
        <x:v>30174.4</x:v>
      </x:c>
      <x:c r="F212" s="20" t="n">
        <x:f>$E$160</x:f>
        <x:v>29377.5333333333</x:v>
      </x:c>
      <x:c r="G212" s="22" t="n">
        <x:f>100*E212/F212</x:f>
        <x:v>102.712503659259</x:v>
      </x:c>
      <x:c r="H212" s="24" t="n">
        <x:f>G212/100-1</x:f>
        <x:v>0.027125036592589913</x:v>
      </x:c>
      <x:c r="I212" s="26" t="n">
        <x:v>5</x:v>
      </x:c>
      <x:c r="J212" s="26" t="n">
        <x:v>3</x:v>
      </x:c>
      <x:c r="K212" s="7" t="b">
        <x:v>0</x:v>
      </x:c>
      <x:c r="L212" s="2" t="str">
        <x:v>May 2026</x:v>
      </x:c>
      <x:c r="M212" s="2" t="str">
        <x:v>https://www.genaiadoptiontracker.com/</x:v>
      </x:c>
    </x:row>
    <x:row r="213" ht="24" customHeight="1">
      <x:c r="A213" s="2" t="str">
        <x:v>RPS</x:v>
      </x:c>
      <x:c r="B213" s="2" t="str">
        <x:v>Quartiles</x:v>
      </x:c>
      <x:c r="C213" s="2" t="str">
        <x:v>Q2</x:v>
      </x:c>
      <x:c r="D213" s="2" t="str">
        <x:v>2026Q2</x:v>
      </x:c>
      <x:c r="E213" s="20" t="n">
        <x:v>56672.4</x:v>
      </x:c>
      <x:c r="F213" s="20" t="n">
        <x:f>$E$161</x:f>
        <x:v>54180.2666666667</x:v>
      </x:c>
      <x:c r="G213" s="22" t="n">
        <x:f>100*E213/F213</x:f>
        <x:v>104.59970665826665</x:v>
      </x:c>
      <x:c r="H213" s="24" t="n">
        <x:f>G213/100-1</x:f>
        <x:v>0.04599706658266656</x:v>
      </x:c>
      <x:c r="I213" s="26" t="n">
        <x:v>4</x:v>
      </x:c>
      <x:c r="J213" s="26" t="n">
        <x:v>3</x:v>
      </x:c>
      <x:c r="K213" s="7" t="b">
        <x:v>0</x:v>
      </x:c>
      <x:c r="L213" s="2" t="str">
        <x:v>May 2026</x:v>
      </x:c>
      <x:c r="M213" s="2" t="str">
        <x:v>https://www.genaiadoptiontracker.com/</x:v>
      </x:c>
    </x:row>
    <x:row r="214" ht="24" customHeight="1">
      <x:c r="A214" s="2" t="str">
        <x:v>RPS</x:v>
      </x:c>
      <x:c r="B214" s="2" t="str">
        <x:v>Quartiles</x:v>
      </x:c>
      <x:c r="C214" s="2" t="str">
        <x:v>Q3</x:v>
      </x:c>
      <x:c r="D214" s="2" t="str">
        <x:v>2026Q2</x:v>
      </x:c>
      <x:c r="E214" s="20" t="n">
        <x:v>19688.0666666667</x:v>
      </x:c>
      <x:c r="F214" s="20" t="n">
        <x:f>$E$162</x:f>
        <x:v>19689.3666666667</x:v>
      </x:c>
      <x:c r="G214" s="22" t="n">
        <x:f>100*E214/F214</x:f>
        <x:v>99.99339745141623</x:v>
      </x:c>
      <x:c r="H214" s="24" t="n">
        <x:f>G214/100-1</x:f>
        <x:v>-0.00006602548583767298</x:v>
      </x:c>
      <x:c r="I214" s="26" t="n">
        <x:v>4</x:v>
      </x:c>
      <x:c r="J214" s="26" t="n">
        <x:v>3</x:v>
      </x:c>
      <x:c r="K214" s="7" t="b">
        <x:v>0</x:v>
      </x:c>
      <x:c r="L214" s="2" t="str">
        <x:v>May 2026</x:v>
      </x:c>
      <x:c r="M214" s="2" t="str">
        <x:v>https://www.genaiadoptiontracker.com/</x:v>
      </x:c>
    </x:row>
    <x:row r="215" ht="24" customHeight="1">
      <x:c r="A215" s="2" t="str">
        <x:v>RPS</x:v>
      </x:c>
      <x:c r="B215" s="2" t="str">
        <x:v>Quartiles</x:v>
      </x:c>
      <x:c r="C215" s="2" t="str">
        <x:v>Q4</x:v>
      </x:c>
      <x:c r="D215" s="2" t="str">
        <x:v>2026Q2</x:v>
      </x:c>
      <x:c r="E215" s="20" t="n">
        <x:v>28942.0666666667</x:v>
      </x:c>
      <x:c r="F215" s="20" t="n">
        <x:f>$E$163</x:f>
        <x:v>29165.6666666667</x:v>
      </x:c>
      <x:c r="G215" s="22" t="n">
        <x:f>100*E215/F215</x:f>
        <x:v>99.23334514326204</x:v>
      </x:c>
      <x:c r="H215" s="24" t="n">
        <x:f>G215/100-1</x:f>
        <x:v>-0.007666548567379583</x:v>
      </x:c>
      <x:c r="I215" s="26" t="n">
        <x:v>5</x:v>
      </x:c>
      <x:c r="J215" s="26" t="n">
        <x:v>3</x:v>
      </x:c>
      <x:c r="K215" s="7" t="b">
        <x:v>0</x:v>
      </x:c>
      <x:c r="L215" s="2" t="str">
        <x:v>May 2026</x:v>
      </x:c>
      <x:c r="M215" s="2" t="str">
        <x:v>https://www.genaiadoptiontracker.com/</x:v>
      </x:c>
    </x:row>
    <x:row r="216" ht="24" customHeight="1">
      <x:c r="A216" s="2" t="str">
        <x:v>RPS</x:v>
      </x:c>
      <x:c r="B216" s="2" t="str">
        <x:v>Quintiles</x:v>
      </x:c>
      <x:c r="C216" s="2" t="str">
        <x:v>Q1</x:v>
      </x:c>
      <x:c r="D216" s="2" t="str">
        <x:v>2023Q1</x:v>
      </x:c>
      <x:c r="E216" s="20" t="n">
        <x:v>26934</x:v>
      </x:c>
      <x:c r="F216" s="20" t="n">
        <x:f>$E$216</x:f>
        <x:v>26934</x:v>
      </x:c>
      <x:c r="G216" s="22" t="n">
        <x:f>100*E216/F216</x:f>
        <x:v>100</x:v>
      </x:c>
      <x:c r="H216" s="24" t="n">
        <x:f>G216/100-1</x:f>
        <x:v>0</x:v>
      </x:c>
      <x:c r="I216" s="26" t="n">
        <x:v>4</x:v>
      </x:c>
      <x:c r="J216" s="26" t="n">
        <x:v>3</x:v>
      </x:c>
      <x:c r="K216" s="7" t="b">
        <x:v>0</x:v>
      </x:c>
      <x:c r="L216" s="2" t="str">
        <x:v>May 2026</x:v>
      </x:c>
      <x:c r="M216" s="2" t="str">
        <x:v>https://www.genaiadoptiontracker.com/</x:v>
      </x:c>
    </x:row>
    <x:row r="217" ht="24" customHeight="1">
      <x:c r="A217" s="2" t="str">
        <x:v>RPS</x:v>
      </x:c>
      <x:c r="B217" s="2" t="str">
        <x:v>Quintiles</x:v>
      </x:c>
      <x:c r="C217" s="2" t="str">
        <x:v>Q2</x:v>
      </x:c>
      <x:c r="D217" s="2" t="str">
        <x:v>2023Q1</x:v>
      </x:c>
      <x:c r="E217" s="20" t="n">
        <x:v>39187.3</x:v>
      </x:c>
      <x:c r="F217" s="20" t="n">
        <x:f>$E$217</x:f>
        <x:v>39187.3</x:v>
      </x:c>
      <x:c r="G217" s="22" t="n">
        <x:f>100*E217/F217</x:f>
        <x:v>100</x:v>
      </x:c>
      <x:c r="H217" s="24" t="n">
        <x:f>G217/100-1</x:f>
        <x:v>0</x:v>
      </x:c>
      <x:c r="I217" s="26" t="n">
        <x:v>3</x:v>
      </x:c>
      <x:c r="J217" s="26" t="n">
        <x:v>3</x:v>
      </x:c>
      <x:c r="K217" s="7" t="b">
        <x:v>0</x:v>
      </x:c>
      <x:c r="L217" s="2" t="str">
        <x:v>May 2026</x:v>
      </x:c>
      <x:c r="M217" s="2" t="str">
        <x:v>https://www.genaiadoptiontracker.com/</x:v>
      </x:c>
    </x:row>
    <x:row r="218" ht="24" customHeight="1">
      <x:c r="A218" s="2" t="str">
        <x:v>RPS</x:v>
      </x:c>
      <x:c r="B218" s="2" t="str">
        <x:v>Quintiles</x:v>
      </x:c>
      <x:c r="C218" s="2" t="str">
        <x:v>Q3</x:v>
      </x:c>
      <x:c r="D218" s="2" t="str">
        <x:v>2023Q1</x:v>
      </x:c>
      <x:c r="E218" s="20" t="n">
        <x:v>34118.5666666667</x:v>
      </x:c>
      <x:c r="F218" s="20" t="n">
        <x:f>$E$218</x:f>
        <x:v>34118.5666666667</x:v>
      </x:c>
      <x:c r="G218" s="22" t="n">
        <x:f>100*E218/F218</x:f>
        <x:v>100</x:v>
      </x:c>
      <x:c r="H218" s="24" t="n">
        <x:f>G218/100-1</x:f>
        <x:v>0</x:v>
      </x:c>
      <x:c r="I218" s="26" t="n">
        <x:v>4</x:v>
      </x:c>
      <x:c r="J218" s="26" t="n">
        <x:v>3</x:v>
      </x:c>
      <x:c r="K218" s="7" t="b">
        <x:v>0</x:v>
      </x:c>
      <x:c r="L218" s="2" t="str">
        <x:v>May 2026</x:v>
      </x:c>
      <x:c r="M218" s="2" t="str">
        <x:v>https://www.genaiadoptiontracker.com/</x:v>
      </x:c>
    </x:row>
    <x:row r="219" ht="24" customHeight="1">
      <x:c r="A219" s="2" t="str">
        <x:v>RPS</x:v>
      </x:c>
      <x:c r="B219" s="2" t="str">
        <x:v>Quintiles</x:v>
      </x:c>
      <x:c r="C219" s="2" t="str">
        <x:v>Q4</x:v>
      </x:c>
      <x:c r="D219" s="2" t="str">
        <x:v>2023Q1</x:v>
      </x:c>
      <x:c r="E219" s="20" t="n">
        <x:v>9093.1333333333</x:v>
      </x:c>
      <x:c r="F219" s="20" t="n">
        <x:f>$E$219</x:f>
        <x:v>9093.1333333333</x:v>
      </x:c>
      <x:c r="G219" s="22" t="n">
        <x:f>100*E219/F219</x:f>
        <x:v>100</x:v>
      </x:c>
      <x:c r="H219" s="24" t="n">
        <x:f>G219/100-1</x:f>
        <x:v>0</x:v>
      </x:c>
      <x:c r="I219" s="26" t="n">
        <x:v>3</x:v>
      </x:c>
      <x:c r="J219" s="26" t="n">
        <x:v>3</x:v>
      </x:c>
      <x:c r="K219" s="7" t="b">
        <x:v>0</x:v>
      </x:c>
      <x:c r="L219" s="2" t="str">
        <x:v>May 2026</x:v>
      </x:c>
      <x:c r="M219" s="2" t="str">
        <x:v>https://www.genaiadoptiontracker.com/</x:v>
      </x:c>
    </x:row>
    <x:row r="220" ht="24" customHeight="1">
      <x:c r="A220" s="2" t="str">
        <x:v>RPS</x:v>
      </x:c>
      <x:c r="B220" s="2" t="str">
        <x:v>Quintiles</x:v>
      </x:c>
      <x:c r="C220" s="2" t="str">
        <x:v>Q5</x:v>
      </x:c>
      <x:c r="D220" s="2" t="str">
        <x:v>2023Q1</x:v>
      </x:c>
      <x:c r="E220" s="20" t="n">
        <x:v>23079.8333333333</x:v>
      </x:c>
      <x:c r="F220" s="20" t="n">
        <x:f>$E$220</x:f>
        <x:v>23079.8333333333</x:v>
      </x:c>
      <x:c r="G220" s="22" t="n">
        <x:f>100*E220/F220</x:f>
        <x:v>99.99999999999999</x:v>
      </x:c>
      <x:c r="H220" s="24" t="n">
        <x:f>G220/100-1</x:f>
        <x:v>-1.1102230246251565e-16</x:v>
      </x:c>
      <x:c r="I220" s="26" t="n">
        <x:v>4</x:v>
      </x:c>
      <x:c r="J220" s="26" t="n">
        <x:v>3</x:v>
      </x:c>
      <x:c r="K220" s="7" t="b">
        <x:v>0</x:v>
      </x:c>
      <x:c r="L220" s="2" t="str">
        <x:v>May 2026</x:v>
      </x:c>
      <x:c r="M220" s="2" t="str">
        <x:v>https://www.genaiadoptiontracker.com/</x:v>
      </x:c>
    </x:row>
    <x:row r="221" ht="24" customHeight="1">
      <x:c r="A221" s="2" t="str">
        <x:v>RPS</x:v>
      </x:c>
      <x:c r="B221" s="2" t="str">
        <x:v>Quintiles</x:v>
      </x:c>
      <x:c r="C221" s="2" t="str">
        <x:v>Q1</x:v>
      </x:c>
      <x:c r="D221" s="2" t="str">
        <x:v>2023Q2</x:v>
      </x:c>
      <x:c r="E221" s="20" t="n">
        <x:v>27031.6666666667</x:v>
      </x:c>
      <x:c r="F221" s="20" t="n">
        <x:f>$E$216</x:f>
        <x:v>26934</x:v>
      </x:c>
      <x:c r="G221" s="22" t="n">
        <x:f>100*E221/F221</x:f>
        <x:v>100.36261478676283</x:v>
      </x:c>
      <x:c r="H221" s="24" t="n">
        <x:f>G221/100-1</x:f>
        <x:v>0.003626147867628271</x:v>
      </x:c>
      <x:c r="I221" s="26" t="n">
        <x:v>4</x:v>
      </x:c>
      <x:c r="J221" s="26" t="n">
        <x:v>3</x:v>
      </x:c>
      <x:c r="K221" s="7" t="b">
        <x:v>0</x:v>
      </x:c>
      <x:c r="L221" s="2" t="str">
        <x:v>May 2026</x:v>
      </x:c>
      <x:c r="M221" s="2" t="str">
        <x:v>https://www.genaiadoptiontracker.com/</x:v>
      </x:c>
    </x:row>
    <x:row r="222" ht="24" customHeight="1">
      <x:c r="A222" s="2" t="str">
        <x:v>RPS</x:v>
      </x:c>
      <x:c r="B222" s="2" t="str">
        <x:v>Quintiles</x:v>
      </x:c>
      <x:c r="C222" s="2" t="str">
        <x:v>Q2</x:v>
      </x:c>
      <x:c r="D222" s="2" t="str">
        <x:v>2023Q2</x:v>
      </x:c>
      <x:c r="E222" s="20" t="n">
        <x:v>39438.3333333333</x:v>
      </x:c>
      <x:c r="F222" s="20" t="n">
        <x:f>$E$217</x:f>
        <x:v>39187.3</x:v>
      </x:c>
      <x:c r="G222" s="22" t="n">
        <x:f>100*E222/F222</x:f>
        <x:v>100.640598697367</x:v>
      </x:c>
      <x:c r="H222" s="24" t="n">
        <x:f>G222/100-1</x:f>
        <x:v>0.006405986973669897</x:v>
      </x:c>
      <x:c r="I222" s="26" t="n">
        <x:v>3</x:v>
      </x:c>
      <x:c r="J222" s="26" t="n">
        <x:v>3</x:v>
      </x:c>
      <x:c r="K222" s="7" t="b">
        <x:v>0</x:v>
      </x:c>
      <x:c r="L222" s="2" t="str">
        <x:v>May 2026</x:v>
      </x:c>
      <x:c r="M222" s="2" t="str">
        <x:v>https://www.genaiadoptiontracker.com/</x:v>
      </x:c>
    </x:row>
    <x:row r="223" ht="24" customHeight="1">
      <x:c r="A223" s="2" t="str">
        <x:v>RPS</x:v>
      </x:c>
      <x:c r="B223" s="2" t="str">
        <x:v>Quintiles</x:v>
      </x:c>
      <x:c r="C223" s="2" t="str">
        <x:v>Q3</x:v>
      </x:c>
      <x:c r="D223" s="2" t="str">
        <x:v>2023Q2</x:v>
      </x:c>
      <x:c r="E223" s="20" t="n">
        <x:v>34141.7</x:v>
      </x:c>
      <x:c r="F223" s="20" t="n">
        <x:f>$E$218</x:f>
        <x:v>34118.5666666667</x:v>
      </x:c>
      <x:c r="G223" s="22" t="n">
        <x:f>100*E223/F223</x:f>
        <x:v>100.0678027701436</x:v>
      </x:c>
      <x:c r="H223" s="24" t="n">
        <x:f>G223/100-1</x:f>
        <x:v>0.0006780277014359903</x:v>
      </x:c>
      <x:c r="I223" s="26" t="n">
        <x:v>4</x:v>
      </x:c>
      <x:c r="J223" s="26" t="n">
        <x:v>3</x:v>
      </x:c>
      <x:c r="K223" s="7" t="b">
        <x:v>0</x:v>
      </x:c>
      <x:c r="L223" s="2" t="str">
        <x:v>May 2026</x:v>
      </x:c>
      <x:c r="M223" s="2" t="str">
        <x:v>https://www.genaiadoptiontracker.com/</x:v>
      </x:c>
    </x:row>
    <x:row r="224" ht="24" customHeight="1">
      <x:c r="A224" s="2" t="str">
        <x:v>RPS</x:v>
      </x:c>
      <x:c r="B224" s="2" t="str">
        <x:v>Quintiles</x:v>
      </x:c>
      <x:c r="C224" s="2" t="str">
        <x:v>Q4</x:v>
      </x:c>
      <x:c r="D224" s="2" t="str">
        <x:v>2023Q2</x:v>
      </x:c>
      <x:c r="E224" s="20" t="n">
        <x:v>9125.1333333333</x:v>
      </x:c>
      <x:c r="F224" s="20" t="n">
        <x:f>$E$219</x:f>
        <x:v>9093.1333333333</x:v>
      </x:c>
      <x:c r="G224" s="22" t="n">
        <x:f>100*E224/F224</x:f>
        <x:v>100.35191389839952</x:v>
      </x:c>
      <x:c r="H224" s="24" t="n">
        <x:f>G224/100-1</x:f>
        <x:v>0.0035191389839952514</x:v>
      </x:c>
      <x:c r="I224" s="26" t="n">
        <x:v>3</x:v>
      </x:c>
      <x:c r="J224" s="26" t="n">
        <x:v>3</x:v>
      </x:c>
      <x:c r="K224" s="7" t="b">
        <x:v>0</x:v>
      </x:c>
      <x:c r="L224" s="2" t="str">
        <x:v>May 2026</x:v>
      </x:c>
      <x:c r="M224" s="2" t="str">
        <x:v>https://www.genaiadoptiontracker.com/</x:v>
      </x:c>
    </x:row>
    <x:row r="225" ht="24" customHeight="1">
      <x:c r="A225" s="2" t="str">
        <x:v>RPS</x:v>
      </x:c>
      <x:c r="B225" s="2" t="str">
        <x:v>Quintiles</x:v>
      </x:c>
      <x:c r="C225" s="2" t="str">
        <x:v>Q5</x:v>
      </x:c>
      <x:c r="D225" s="2" t="str">
        <x:v>2023Q2</x:v>
      </x:c>
      <x:c r="E225" s="20" t="n">
        <x:v>23135.5666666667</x:v>
      </x:c>
      <x:c r="F225" s="20" t="n">
        <x:f>$E$220</x:f>
        <x:v>23079.8333333333</x:v>
      </x:c>
      <x:c r="G225" s="22" t="n">
        <x:f>100*E225/F225</x:f>
        <x:v>100.24148065771733</x:v>
      </x:c>
      <x:c r="H225" s="24" t="n">
        <x:f>G225/100-1</x:f>
        <x:v>0.0024148065771734117</x:v>
      </x:c>
      <x:c r="I225" s="26" t="n">
        <x:v>4</x:v>
      </x:c>
      <x:c r="J225" s="26" t="n">
        <x:v>3</x:v>
      </x:c>
      <x:c r="K225" s="7" t="b">
        <x:v>0</x:v>
      </x:c>
      <x:c r="L225" s="2" t="str">
        <x:v>May 2026</x:v>
      </x:c>
      <x:c r="M225" s="2" t="str">
        <x:v>https://www.genaiadoptiontracker.com/</x:v>
      </x:c>
    </x:row>
    <x:row r="226" ht="24" customHeight="1">
      <x:c r="A226" s="2" t="str">
        <x:v>RPS</x:v>
      </x:c>
      <x:c r="B226" s="2" t="str">
        <x:v>Quintiles</x:v>
      </x:c>
      <x:c r="C226" s="2" t="str">
        <x:v>Q1</x:v>
      </x:c>
      <x:c r="D226" s="2" t="str">
        <x:v>2023Q3</x:v>
      </x:c>
      <x:c r="E226" s="20" t="n">
        <x:v>27167.7333333333</x:v>
      </x:c>
      <x:c r="F226" s="20" t="n">
        <x:f>$E$216</x:f>
        <x:v>26934</x:v>
      </x:c>
      <x:c r="G226" s="22" t="n">
        <x:f>100*E226/F226</x:f>
        <x:v>100.86780030197261</x:v>
      </x:c>
      <x:c r="H226" s="24" t="n">
        <x:f>G226/100-1</x:f>
        <x:v>0.008678003019725988</x:v>
      </x:c>
      <x:c r="I226" s="26" t="n">
        <x:v>4</x:v>
      </x:c>
      <x:c r="J226" s="26" t="n">
        <x:v>3</x:v>
      </x:c>
      <x:c r="K226" s="7" t="b">
        <x:v>0</x:v>
      </x:c>
      <x:c r="L226" s="2" t="str">
        <x:v>May 2026</x:v>
      </x:c>
      <x:c r="M226" s="2" t="str">
        <x:v>https://www.genaiadoptiontracker.com/</x:v>
      </x:c>
    </x:row>
    <x:row r="227" ht="24" customHeight="1">
      <x:c r="A227" s="2" t="str">
        <x:v>RPS</x:v>
      </x:c>
      <x:c r="B227" s="2" t="str">
        <x:v>Quintiles</x:v>
      </x:c>
      <x:c r="C227" s="2" t="str">
        <x:v>Q2</x:v>
      </x:c>
      <x:c r="D227" s="2" t="str">
        <x:v>2023Q3</x:v>
      </x:c>
      <x:c r="E227" s="20" t="n">
        <x:v>39724.1333333333</x:v>
      </x:c>
      <x:c r="F227" s="20" t="n">
        <x:f>$E$217</x:f>
        <x:v>39187.3</x:v>
      </x:c>
      <x:c r="G227" s="22" t="n">
        <x:f>100*E227/F227</x:f>
        <x:v>101.36991661414106</x:v>
      </x:c>
      <x:c r="H227" s="24" t="n">
        <x:f>G227/100-1</x:f>
        <x:v>0.013699166141410535</x:v>
      </x:c>
      <x:c r="I227" s="26" t="n">
        <x:v>3</x:v>
      </x:c>
      <x:c r="J227" s="26" t="n">
        <x:v>3</x:v>
      </x:c>
      <x:c r="K227" s="7" t="b">
        <x:v>0</x:v>
      </x:c>
      <x:c r="L227" s="2" t="str">
        <x:v>May 2026</x:v>
      </x:c>
      <x:c r="M227" s="2" t="str">
        <x:v>https://www.genaiadoptiontracker.com/</x:v>
      </x:c>
    </x:row>
    <x:row r="228" ht="24" customHeight="1">
      <x:c r="A228" s="2" t="str">
        <x:v>RPS</x:v>
      </x:c>
      <x:c r="B228" s="2" t="str">
        <x:v>Quintiles</x:v>
      </x:c>
      <x:c r="C228" s="2" t="str">
        <x:v>Q3</x:v>
      </x:c>
      <x:c r="D228" s="2" t="str">
        <x:v>2023Q3</x:v>
      </x:c>
      <x:c r="E228" s="20" t="n">
        <x:v>34135.5333333333</x:v>
      </x:c>
      <x:c r="F228" s="20" t="n">
        <x:f>$E$218</x:f>
        <x:v>34118.5666666667</x:v>
      </x:c>
      <x:c r="G228" s="22" t="n">
        <x:f>100*E228/F228</x:f>
        <x:v>100.04972854467293</x:v>
      </x:c>
      <x:c r="H228" s="24" t="n">
        <x:f>G228/100-1</x:f>
        <x:v>0.0004972854467293342</x:v>
      </x:c>
      <x:c r="I228" s="26" t="n">
        <x:v>4</x:v>
      </x:c>
      <x:c r="J228" s="26" t="n">
        <x:v>3</x:v>
      </x:c>
      <x:c r="K228" s="7" t="b">
        <x:v>0</x:v>
      </x:c>
      <x:c r="L228" s="2" t="str">
        <x:v>May 2026</x:v>
      </x:c>
      <x:c r="M228" s="2" t="str">
        <x:v>https://www.genaiadoptiontracker.com/</x:v>
      </x:c>
    </x:row>
    <x:row r="229" ht="24" customHeight="1">
      <x:c r="A229" s="2" t="str">
        <x:v>RPS</x:v>
      </x:c>
      <x:c r="B229" s="2" t="str">
        <x:v>Quintiles</x:v>
      </x:c>
      <x:c r="C229" s="2" t="str">
        <x:v>Q4</x:v>
      </x:c>
      <x:c r="D229" s="2" t="str">
        <x:v>2023Q3</x:v>
      </x:c>
      <x:c r="E229" s="20" t="n">
        <x:v>9159</x:v>
      </x:c>
      <x:c r="F229" s="20" t="n">
        <x:f>$E$219</x:f>
        <x:v>9093.1333333333</x:v>
      </x:c>
      <x:c r="G229" s="22" t="n">
        <x:f>100*E229/F229</x:f>
        <x:v>100.72435610753939</x:v>
      </x:c>
      <x:c r="H229" s="24" t="n">
        <x:f>G229/100-1</x:f>
        <x:v>0.007243561075394034</x:v>
      </x:c>
      <x:c r="I229" s="26" t="n">
        <x:v>3</x:v>
      </x:c>
      <x:c r="J229" s="26" t="n">
        <x:v>3</x:v>
      </x:c>
      <x:c r="K229" s="7" t="b">
        <x:v>0</x:v>
      </x:c>
      <x:c r="L229" s="2" t="str">
        <x:v>May 2026</x:v>
      </x:c>
      <x:c r="M229" s="2" t="str">
        <x:v>https://www.genaiadoptiontracker.com/</x:v>
      </x:c>
    </x:row>
    <x:row r="230" ht="24" customHeight="1">
      <x:c r="A230" s="2" t="str">
        <x:v>RPS</x:v>
      </x:c>
      <x:c r="B230" s="2" t="str">
        <x:v>Quintiles</x:v>
      </x:c>
      <x:c r="C230" s="2" t="str">
        <x:v>Q5</x:v>
      </x:c>
      <x:c r="D230" s="2" t="str">
        <x:v>2023Q3</x:v>
      </x:c>
      <x:c r="E230" s="20" t="n">
        <x:v>23110.5</x:v>
      </x:c>
      <x:c r="F230" s="20" t="n">
        <x:f>$E$220</x:f>
        <x:v>23079.8333333333</x:v>
      </x:c>
      <x:c r="G230" s="22" t="n">
        <x:f>100*E230/F230</x:f>
        <x:v>100.1328721322368</x:v>
      </x:c>
      <x:c r="H230" s="24" t="n">
        <x:f>G230/100-1</x:f>
        <x:v>0.0013287213223680538</x:v>
      </x:c>
      <x:c r="I230" s="26" t="n">
        <x:v>4</x:v>
      </x:c>
      <x:c r="J230" s="26" t="n">
        <x:v>3</x:v>
      </x:c>
      <x:c r="K230" s="7" t="b">
        <x:v>0</x:v>
      </x:c>
      <x:c r="L230" s="2" t="str">
        <x:v>May 2026</x:v>
      </x:c>
      <x:c r="M230" s="2" t="str">
        <x:v>https://www.genaiadoptiontracker.com/</x:v>
      </x:c>
    </x:row>
    <x:row r="231" ht="24" customHeight="1">
      <x:c r="A231" s="2" t="str">
        <x:v>RPS</x:v>
      </x:c>
      <x:c r="B231" s="2" t="str">
        <x:v>Quintiles</x:v>
      </x:c>
      <x:c r="C231" s="2" t="str">
        <x:v>Q1</x:v>
      </x:c>
      <x:c r="D231" s="2" t="str">
        <x:v>2023Q4</x:v>
      </x:c>
      <x:c r="E231" s="20" t="n">
        <x:v>27225.0666666667</x:v>
      </x:c>
      <x:c r="F231" s="20" t="n">
        <x:f>$E$216</x:f>
        <x:v>26934</x:v>
      </x:c>
      <x:c r="G231" s="22" t="n">
        <x:f>100*E231/F231</x:f>
        <x:v>101.08066632014071</x:v>
      </x:c>
      <x:c r="H231" s="24" t="n">
        <x:f>G231/100-1</x:f>
        <x:v>0.010806663201406996</x:v>
      </x:c>
      <x:c r="I231" s="26" t="n">
        <x:v>4</x:v>
      </x:c>
      <x:c r="J231" s="26" t="n">
        <x:v>3</x:v>
      </x:c>
      <x:c r="K231" s="7" t="b">
        <x:v>0</x:v>
      </x:c>
      <x:c r="L231" s="2" t="str">
        <x:v>May 2026</x:v>
      </x:c>
      <x:c r="M231" s="2" t="str">
        <x:v>https://www.genaiadoptiontracker.com/</x:v>
      </x:c>
    </x:row>
    <x:row r="232" ht="24" customHeight="1">
      <x:c r="A232" s="2" t="str">
        <x:v>RPS</x:v>
      </x:c>
      <x:c r="B232" s="2" t="str">
        <x:v>Quintiles</x:v>
      </x:c>
      <x:c r="C232" s="2" t="str">
        <x:v>Q2</x:v>
      </x:c>
      <x:c r="D232" s="2" t="str">
        <x:v>2023Q4</x:v>
      </x:c>
      <x:c r="E232" s="20" t="n">
        <x:v>40029.7</x:v>
      </x:c>
      <x:c r="F232" s="20" t="n">
        <x:f>$E$217</x:f>
        <x:v>39187.3</x:v>
      </x:c>
      <x:c r="G232" s="22" t="n">
        <x:f>100*E232/F232</x:f>
        <x:v>102.14967604300371</x:v>
      </x:c>
      <x:c r="H232" s="24" t="n">
        <x:f>G232/100-1</x:f>
        <x:v>0.02149676043003712</x:v>
      </x:c>
      <x:c r="I232" s="26" t="n">
        <x:v>3</x:v>
      </x:c>
      <x:c r="J232" s="26" t="n">
        <x:v>3</x:v>
      </x:c>
      <x:c r="K232" s="7" t="b">
        <x:v>0</x:v>
      </x:c>
      <x:c r="L232" s="2" t="str">
        <x:v>May 2026</x:v>
      </x:c>
      <x:c r="M232" s="2" t="str">
        <x:v>https://www.genaiadoptiontracker.com/</x:v>
      </x:c>
    </x:row>
    <x:row r="233" ht="24" customHeight="1">
      <x:c r="A233" s="2" t="str">
        <x:v>RPS</x:v>
      </x:c>
      <x:c r="B233" s="2" t="str">
        <x:v>Quintiles</x:v>
      </x:c>
      <x:c r="C233" s="2" t="str">
        <x:v>Q3</x:v>
      </x:c>
      <x:c r="D233" s="2" t="str">
        <x:v>2023Q4</x:v>
      </x:c>
      <x:c r="E233" s="20" t="n">
        <x:v>34122.9666666667</x:v>
      </x:c>
      <x:c r="F233" s="20" t="n">
        <x:f>$E$218</x:f>
        <x:v>34118.5666666667</x:v>
      </x:c>
      <x:c r="G233" s="22" t="n">
        <x:f>100*E233/F233</x:f>
        <x:v>100.01289620411956</x:v>
      </x:c>
      <x:c r="H233" s="24" t="n">
        <x:f>G233/100-1</x:f>
        <x:v>0.0001289620411955017</x:v>
      </x:c>
      <x:c r="I233" s="26" t="n">
        <x:v>4</x:v>
      </x:c>
      <x:c r="J233" s="26" t="n">
        <x:v>3</x:v>
      </x:c>
      <x:c r="K233" s="7" t="b">
        <x:v>0</x:v>
      </x:c>
      <x:c r="L233" s="2" t="str">
        <x:v>May 2026</x:v>
      </x:c>
      <x:c r="M233" s="2" t="str">
        <x:v>https://www.genaiadoptiontracker.com/</x:v>
      </x:c>
    </x:row>
    <x:row r="234" ht="24" customHeight="1">
      <x:c r="A234" s="2" t="str">
        <x:v>RPS</x:v>
      </x:c>
      <x:c r="B234" s="2" t="str">
        <x:v>Quintiles</x:v>
      </x:c>
      <x:c r="C234" s="2" t="str">
        <x:v>Q4</x:v>
      </x:c>
      <x:c r="D234" s="2" t="str">
        <x:v>2023Q4</x:v>
      </x:c>
      <x:c r="E234" s="20" t="n">
        <x:v>9182.1666666667</x:v>
      </x:c>
      <x:c r="F234" s="20" t="n">
        <x:f>$E$219</x:f>
        <x:v>9093.1333333333</x:v>
      </x:c>
      <x:c r="G234" s="22" t="n">
        <x:f>100*E234/F234</x:f>
        <x:v>100.97912710690191</x:v>
      </x:c>
      <x:c r="H234" s="24" t="n">
        <x:f>G234/100-1</x:f>
        <x:v>0.009791271069019114</x:v>
      </x:c>
      <x:c r="I234" s="26" t="n">
        <x:v>3</x:v>
      </x:c>
      <x:c r="J234" s="26" t="n">
        <x:v>3</x:v>
      </x:c>
      <x:c r="K234" s="7" t="b">
        <x:v>0</x:v>
      </x:c>
      <x:c r="L234" s="2" t="str">
        <x:v>May 2026</x:v>
      </x:c>
      <x:c r="M234" s="2" t="str">
        <x:v>https://www.genaiadoptiontracker.com/</x:v>
      </x:c>
    </x:row>
    <x:row r="235" ht="24" customHeight="1">
      <x:c r="A235" s="2" t="str">
        <x:v>RPS</x:v>
      </x:c>
      <x:c r="B235" s="2" t="str">
        <x:v>Quintiles</x:v>
      </x:c>
      <x:c r="C235" s="2" t="str">
        <x:v>Q5</x:v>
      </x:c>
      <x:c r="D235" s="2" t="str">
        <x:v>2023Q4</x:v>
      </x:c>
      <x:c r="E235" s="20" t="n">
        <x:v>23067.4666666667</x:v>
      </x:c>
      <x:c r="F235" s="20" t="n">
        <x:f>$E$220</x:f>
        <x:v>23079.8333333333</x:v>
      </x:c>
      <x:c r="G235" s="22" t="n">
        <x:f>100*E235/F235</x:f>
        <x:v>99.94641786841355</x:v>
      </x:c>
      <x:c r="H235" s="24" t="n">
        <x:f>G235/100-1</x:f>
        <x:v>-0.0005358213158644931</x:v>
      </x:c>
      <x:c r="I235" s="26" t="n">
        <x:v>4</x:v>
      </x:c>
      <x:c r="J235" s="26" t="n">
        <x:v>3</x:v>
      </x:c>
      <x:c r="K235" s="7" t="b">
        <x:v>0</x:v>
      </x:c>
      <x:c r="L235" s="2" t="str">
        <x:v>May 2026</x:v>
      </x:c>
      <x:c r="M235" s="2" t="str">
        <x:v>https://www.genaiadoptiontracker.com/</x:v>
      </x:c>
    </x:row>
    <x:row r="236" ht="24" customHeight="1">
      <x:c r="A236" s="2" t="str">
        <x:v>RPS</x:v>
      </x:c>
      <x:c r="B236" s="2" t="str">
        <x:v>Quintiles</x:v>
      </x:c>
      <x:c r="C236" s="2" t="str">
        <x:v>Q1</x:v>
      </x:c>
      <x:c r="D236" s="2" t="str">
        <x:v>2024Q1</x:v>
      </x:c>
      <x:c r="E236" s="20" t="n">
        <x:v>27264.4</x:v>
      </x:c>
      <x:c r="F236" s="20" t="n">
        <x:f>$E$216</x:f>
        <x:v>26934</x:v>
      </x:c>
      <x:c r="G236" s="22" t="n">
        <x:f>100*E236/F236</x:f>
        <x:v>101.22670230934878</x:v>
      </x:c>
      <x:c r="H236" s="24" t="n">
        <x:f>G236/100-1</x:f>
        <x:v>0.012267023093487817</x:v>
      </x:c>
      <x:c r="I236" s="26" t="n">
        <x:v>4</x:v>
      </x:c>
      <x:c r="J236" s="26" t="n">
        <x:v>3</x:v>
      </x:c>
      <x:c r="K236" s="7" t="b">
        <x:v>0</x:v>
      </x:c>
      <x:c r="L236" s="2" t="str">
        <x:v>May 2026</x:v>
      </x:c>
      <x:c r="M236" s="2" t="str">
        <x:v>https://www.genaiadoptiontracker.com/</x:v>
      </x:c>
    </x:row>
    <x:row r="237" ht="24" customHeight="1">
      <x:c r="A237" s="2" t="str">
        <x:v>RPS</x:v>
      </x:c>
      <x:c r="B237" s="2" t="str">
        <x:v>Quintiles</x:v>
      </x:c>
      <x:c r="C237" s="2" t="str">
        <x:v>Q2</x:v>
      </x:c>
      <x:c r="D237" s="2" t="str">
        <x:v>2024Q1</x:v>
      </x:c>
      <x:c r="E237" s="20" t="n">
        <x:v>40309.5333333333</x:v>
      </x:c>
      <x:c r="F237" s="20" t="n">
        <x:f>$E$217</x:f>
        <x:v>39187.3</x:v>
      </x:c>
      <x:c r="G237" s="22" t="n">
        <x:f>100*E237/F237</x:f>
        <x:v>102.86376793842213</x:v>
      </x:c>
      <x:c r="H237" s="24" t="n">
        <x:f>G237/100-1</x:f>
        <x:v>0.02863767938422135</x:v>
      </x:c>
      <x:c r="I237" s="26" t="n">
        <x:v>3</x:v>
      </x:c>
      <x:c r="J237" s="26" t="n">
        <x:v>3</x:v>
      </x:c>
      <x:c r="K237" s="7" t="b">
        <x:v>0</x:v>
      </x:c>
      <x:c r="L237" s="2" t="str">
        <x:v>May 2026</x:v>
      </x:c>
      <x:c r="M237" s="2" t="str">
        <x:v>https://www.genaiadoptiontracker.com/</x:v>
      </x:c>
    </x:row>
    <x:row r="238" ht="24" customHeight="1">
      <x:c r="A238" s="2" t="str">
        <x:v>RPS</x:v>
      </x:c>
      <x:c r="B238" s="2" t="str">
        <x:v>Quintiles</x:v>
      </x:c>
      <x:c r="C238" s="2" t="str">
        <x:v>Q3</x:v>
      </x:c>
      <x:c r="D238" s="2" t="str">
        <x:v>2024Q1</x:v>
      </x:c>
      <x:c r="E238" s="20" t="n">
        <x:v>34168.1</x:v>
      </x:c>
      <x:c r="F238" s="20" t="n">
        <x:f>$E$218</x:f>
        <x:v>34118.5666666667</x:v>
      </x:c>
      <x:c r="G238" s="22" t="n">
        <x:f>100*E238/F238</x:f>
        <x:v>100.14517999486095</x:v>
      </x:c>
      <x:c r="H238" s="24" t="n">
        <x:f>G238/100-1</x:f>
        <x:v>0.0014517999486094446</x:v>
      </x:c>
      <x:c r="I238" s="26" t="n">
        <x:v>4</x:v>
      </x:c>
      <x:c r="J238" s="26" t="n">
        <x:v>3</x:v>
      </x:c>
      <x:c r="K238" s="7" t="b">
        <x:v>0</x:v>
      </x:c>
      <x:c r="L238" s="2" t="str">
        <x:v>May 2026</x:v>
      </x:c>
      <x:c r="M238" s="2" t="str">
        <x:v>https://www.genaiadoptiontracker.com/</x:v>
      </x:c>
    </x:row>
    <x:row r="239" ht="24" customHeight="1">
      <x:c r="A239" s="2" t="str">
        <x:v>RPS</x:v>
      </x:c>
      <x:c r="B239" s="2" t="str">
        <x:v>Quintiles</x:v>
      </x:c>
      <x:c r="C239" s="2" t="str">
        <x:v>Q4</x:v>
      </x:c>
      <x:c r="D239" s="2" t="str">
        <x:v>2024Q1</x:v>
      </x:c>
      <x:c r="E239" s="20" t="n">
        <x:v>9177.4</x:v>
      </x:c>
      <x:c r="F239" s="20" t="n">
        <x:f>$E$219</x:f>
        <x:v>9093.1333333333</x:v>
      </x:c>
      <x:c r="G239" s="22" t="n">
        <x:f>100*E239/F239</x:f>
        <x:v>100.92670659911911</x:v>
      </x:c>
      <x:c r="H239" s="24" t="n">
        <x:f>G239/100-1</x:f>
        <x:v>0.009267065991191092</x:v>
      </x:c>
      <x:c r="I239" s="26" t="n">
        <x:v>3</x:v>
      </x:c>
      <x:c r="J239" s="26" t="n">
        <x:v>3</x:v>
      </x:c>
      <x:c r="K239" s="7" t="b">
        <x:v>0</x:v>
      </x:c>
      <x:c r="L239" s="2" t="str">
        <x:v>May 2026</x:v>
      </x:c>
      <x:c r="M239" s="2" t="str">
        <x:v>https://www.genaiadoptiontracker.com/</x:v>
      </x:c>
    </x:row>
    <x:row r="240" ht="24" customHeight="1">
      <x:c r="A240" s="2" t="str">
        <x:v>RPS</x:v>
      </x:c>
      <x:c r="B240" s="2" t="str">
        <x:v>Quintiles</x:v>
      </x:c>
      <x:c r="C240" s="2" t="str">
        <x:v>Q5</x:v>
      </x:c>
      <x:c r="D240" s="2" t="str">
        <x:v>2024Q1</x:v>
      </x:c>
      <x:c r="E240" s="20" t="n">
        <x:v>23067.5666666667</x:v>
      </x:c>
      <x:c r="F240" s="20" t="n">
        <x:f>$E$220</x:f>
        <x:v>23079.8333333333</x:v>
      </x:c>
      <x:c r="G240" s="22" t="n">
        <x:f>100*E240/F240</x:f>
        <x:v>99.94685114710562</x:v>
      </x:c>
      <x:c r="H240" s="24" t="n">
        <x:f>G240/100-1</x:f>
        <x:v>-0.000531488528943802</x:v>
      </x:c>
      <x:c r="I240" s="26" t="n">
        <x:v>4</x:v>
      </x:c>
      <x:c r="J240" s="26" t="n">
        <x:v>3</x:v>
      </x:c>
      <x:c r="K240" s="7" t="b">
        <x:v>0</x:v>
      </x:c>
      <x:c r="L240" s="2" t="str">
        <x:v>May 2026</x:v>
      </x:c>
      <x:c r="M240" s="2" t="str">
        <x:v>https://www.genaiadoptiontracker.com/</x:v>
      </x:c>
    </x:row>
    <x:row r="241" ht="24" customHeight="1">
      <x:c r="A241" s="2" t="str">
        <x:v>RPS</x:v>
      </x:c>
      <x:c r="B241" s="2" t="str">
        <x:v>Quintiles</x:v>
      </x:c>
      <x:c r="C241" s="2" t="str">
        <x:v>Q1</x:v>
      </x:c>
      <x:c r="D241" s="2" t="str">
        <x:v>2024Q2</x:v>
      </x:c>
      <x:c r="E241" s="20" t="n">
        <x:v>27311.5333333333</x:v>
      </x:c>
      <x:c r="F241" s="20" t="n">
        <x:f>$E$216</x:f>
        <x:v>26934</x:v>
      </x:c>
      <x:c r="G241" s="22" t="n">
        <x:f>100*E241/F241</x:f>
        <x:v>101.40169797777271</x:v>
      </x:c>
      <x:c r="H241" s="24" t="n">
        <x:f>G241/100-1</x:f>
        <x:v>0.014016979777727201</x:v>
      </x:c>
      <x:c r="I241" s="26" t="n">
        <x:v>4</x:v>
      </x:c>
      <x:c r="J241" s="26" t="n">
        <x:v>3</x:v>
      </x:c>
      <x:c r="K241" s="7" t="b">
        <x:v>0</x:v>
      </x:c>
      <x:c r="L241" s="2" t="str">
        <x:v>May 2026</x:v>
      </x:c>
      <x:c r="M241" s="2" t="str">
        <x:v>https://www.genaiadoptiontracker.com/</x:v>
      </x:c>
    </x:row>
    <x:row r="242" ht="24" customHeight="1">
      <x:c r="A242" s="2" t="str">
        <x:v>RPS</x:v>
      </x:c>
      <x:c r="B242" s="2" t="str">
        <x:v>Quintiles</x:v>
      </x:c>
      <x:c r="C242" s="2" t="str">
        <x:v>Q2</x:v>
      </x:c>
      <x:c r="D242" s="2" t="str">
        <x:v>2024Q2</x:v>
      </x:c>
      <x:c r="E242" s="20" t="n">
        <x:v>40559.9666666667</x:v>
      </x:c>
      <x:c r="F242" s="20" t="n">
        <x:f>$E$217</x:f>
        <x:v>39187.3</x:v>
      </x:c>
      <x:c r="G242" s="22" t="n">
        <x:f>100*E242/F242</x:f>
        <x:v>103.50283552749666</x:v>
      </x:c>
      <x:c r="H242" s="24" t="n">
        <x:f>G242/100-1</x:f>
        <x:v>0.035028355274966616</x:v>
      </x:c>
      <x:c r="I242" s="26" t="n">
        <x:v>3</x:v>
      </x:c>
      <x:c r="J242" s="26" t="n">
        <x:v>3</x:v>
      </x:c>
      <x:c r="K242" s="7" t="b">
        <x:v>0</x:v>
      </x:c>
      <x:c r="L242" s="2" t="str">
        <x:v>May 2026</x:v>
      </x:c>
      <x:c r="M242" s="2" t="str">
        <x:v>https://www.genaiadoptiontracker.com/</x:v>
      </x:c>
    </x:row>
    <x:row r="243" ht="24" customHeight="1">
      <x:c r="A243" s="2" t="str">
        <x:v>RPS</x:v>
      </x:c>
      <x:c r="B243" s="2" t="str">
        <x:v>Quintiles</x:v>
      </x:c>
      <x:c r="C243" s="2" t="str">
        <x:v>Q3</x:v>
      </x:c>
      <x:c r="D243" s="2" t="str">
        <x:v>2024Q2</x:v>
      </x:c>
      <x:c r="E243" s="20" t="n">
        <x:v>34164.7</x:v>
      </x:c>
      <x:c r="F243" s="20" t="n">
        <x:f>$E$218</x:f>
        <x:v>34118.5666666667</x:v>
      </x:c>
      <x:c r="G243" s="22" t="n">
        <x:f>100*E243/F243</x:f>
        <x:v>100.1352147462231</x:v>
      </x:c>
      <x:c r="H243" s="24" t="n">
        <x:f>G243/100-1</x:f>
        <x:v>0.0013521474622308904</x:v>
      </x:c>
      <x:c r="I243" s="26" t="n">
        <x:v>4</x:v>
      </x:c>
      <x:c r="J243" s="26" t="n">
        <x:v>3</x:v>
      </x:c>
      <x:c r="K243" s="7" t="b">
        <x:v>0</x:v>
      </x:c>
      <x:c r="L243" s="2" t="str">
        <x:v>May 2026</x:v>
      </x:c>
      <x:c r="M243" s="2" t="str">
        <x:v>https://www.genaiadoptiontracker.com/</x:v>
      </x:c>
    </x:row>
    <x:row r="244" ht="24" customHeight="1">
      <x:c r="A244" s="2" t="str">
        <x:v>RPS</x:v>
      </x:c>
      <x:c r="B244" s="2" t="str">
        <x:v>Quintiles</x:v>
      </x:c>
      <x:c r="C244" s="2" t="str">
        <x:v>Q4</x:v>
      </x:c>
      <x:c r="D244" s="2" t="str">
        <x:v>2024Q2</x:v>
      </x:c>
      <x:c r="E244" s="20" t="n">
        <x:v>9158.1</x:v>
      </x:c>
      <x:c r="F244" s="20" t="n">
        <x:f>$E$219</x:f>
        <x:v>9093.1333333333</x:v>
      </x:c>
      <x:c r="G244" s="22" t="n">
        <x:f>100*E244/F244</x:f>
        <x:v>100.7144585291469</x:v>
      </x:c>
      <x:c r="H244" s="24" t="n">
        <x:f>G244/100-1</x:f>
        <x:v>0.007144585291468886</x:v>
      </x:c>
      <x:c r="I244" s="26" t="n">
        <x:v>3</x:v>
      </x:c>
      <x:c r="J244" s="26" t="n">
        <x:v>3</x:v>
      </x:c>
      <x:c r="K244" s="7" t="b">
        <x:v>0</x:v>
      </x:c>
      <x:c r="L244" s="2" t="str">
        <x:v>May 2026</x:v>
      </x:c>
      <x:c r="M244" s="2" t="str">
        <x:v>https://www.genaiadoptiontracker.com/</x:v>
      </x:c>
    </x:row>
    <x:row r="245" ht="24" customHeight="1">
      <x:c r="A245" s="2" t="str">
        <x:v>RPS</x:v>
      </x:c>
      <x:c r="B245" s="2" t="str">
        <x:v>Quintiles</x:v>
      </x:c>
      <x:c r="C245" s="2" t="str">
        <x:v>Q5</x:v>
      </x:c>
      <x:c r="D245" s="2" t="str">
        <x:v>2024Q2</x:v>
      </x:c>
      <x:c r="E245" s="20" t="n">
        <x:v>23054.9</x:v>
      </x:c>
      <x:c r="F245" s="20" t="n">
        <x:f>$E$220</x:f>
        <x:v>23079.8333333333</x:v>
      </x:c>
      <x:c r="G245" s="22" t="n">
        <x:f>100*E245/F245</x:f>
        <x:v>99.89196917944251</x:v>
      </x:c>
      <x:c r="H245" s="24" t="n">
        <x:f>G245/100-1</x:f>
        <x:v>-0.0010803082055749202</x:v>
      </x:c>
      <x:c r="I245" s="26" t="n">
        <x:v>4</x:v>
      </x:c>
      <x:c r="J245" s="26" t="n">
        <x:v>3</x:v>
      </x:c>
      <x:c r="K245" s="7" t="b">
        <x:v>0</x:v>
      </x:c>
      <x:c r="L245" s="2" t="str">
        <x:v>May 2026</x:v>
      </x:c>
      <x:c r="M245" s="2" t="str">
        <x:v>https://www.genaiadoptiontracker.com/</x:v>
      </x:c>
    </x:row>
    <x:row r="246" ht="24" customHeight="1">
      <x:c r="A246" s="2" t="str">
        <x:v>RPS</x:v>
      </x:c>
      <x:c r="B246" s="2" t="str">
        <x:v>Quintiles</x:v>
      </x:c>
      <x:c r="C246" s="2" t="str">
        <x:v>Q1</x:v>
      </x:c>
      <x:c r="D246" s="2" t="str">
        <x:v>2024Q3</x:v>
      </x:c>
      <x:c r="E246" s="20" t="n">
        <x:v>27322.6333333333</x:v>
      </x:c>
      <x:c r="F246" s="20" t="n">
        <x:f>$E$216</x:f>
        <x:v>26934</x:v>
      </x:c>
      <x:c r="G246" s="22" t="n">
        <x:f>100*E246/F246</x:f>
        <x:v>101.4429098289645</x:v>
      </x:c>
      <x:c r="H246" s="24" t="n">
        <x:f>G246/100-1</x:f>
        <x:v>0.014429098289645115</x:v>
      </x:c>
      <x:c r="I246" s="26" t="n">
        <x:v>4</x:v>
      </x:c>
      <x:c r="J246" s="26" t="n">
        <x:v>3</x:v>
      </x:c>
      <x:c r="K246" s="7" t="b">
        <x:v>0</x:v>
      </x:c>
      <x:c r="L246" s="2" t="str">
        <x:v>May 2026</x:v>
      </x:c>
      <x:c r="M246" s="2" t="str">
        <x:v>https://www.genaiadoptiontracker.com/</x:v>
      </x:c>
    </x:row>
    <x:row r="247" ht="24" customHeight="1">
      <x:c r="A247" s="2" t="str">
        <x:v>RPS</x:v>
      </x:c>
      <x:c r="B247" s="2" t="str">
        <x:v>Quintiles</x:v>
      </x:c>
      <x:c r="C247" s="2" t="str">
        <x:v>Q2</x:v>
      </x:c>
      <x:c r="D247" s="2" t="str">
        <x:v>2024Q3</x:v>
      </x:c>
      <x:c r="E247" s="20" t="n">
        <x:v>40691</x:v>
      </x:c>
      <x:c r="F247" s="20" t="n">
        <x:f>$E$217</x:f>
        <x:v>39187.3</x:v>
      </x:c>
      <x:c r="G247" s="22" t="n">
        <x:f>100*E247/F247</x:f>
        <x:v>103.83721256631613</x:v>
      </x:c>
      <x:c r="H247" s="24" t="n">
        <x:f>G247/100-1</x:f>
        <x:v>0.03837212566316128</x:v>
      </x:c>
      <x:c r="I247" s="26" t="n">
        <x:v>3</x:v>
      </x:c>
      <x:c r="J247" s="26" t="n">
        <x:v>3</x:v>
      </x:c>
      <x:c r="K247" s="7" t="b">
        <x:v>0</x:v>
      </x:c>
      <x:c r="L247" s="2" t="str">
        <x:v>May 2026</x:v>
      </x:c>
      <x:c r="M247" s="2" t="str">
        <x:v>https://www.genaiadoptiontracker.com/</x:v>
      </x:c>
    </x:row>
    <x:row r="248" ht="24" customHeight="1">
      <x:c r="A248" s="2" t="str">
        <x:v>RPS</x:v>
      </x:c>
      <x:c r="B248" s="2" t="str">
        <x:v>Quintiles</x:v>
      </x:c>
      <x:c r="C248" s="2" t="str">
        <x:v>Q3</x:v>
      </x:c>
      <x:c r="D248" s="2" t="str">
        <x:v>2024Q3</x:v>
      </x:c>
      <x:c r="E248" s="20" t="n">
        <x:v>34142.0333333333</x:v>
      </x:c>
      <x:c r="F248" s="20" t="n">
        <x:f>$E$218</x:f>
        <x:v>34118.5666666667</x:v>
      </x:c>
      <x:c r="G248" s="22" t="n">
        <x:f>100*E248/F248</x:f>
        <x:v>100.06877975530409</x:v>
      </x:c>
      <x:c r="H248" s="24" t="n">
        <x:f>G248/100-1</x:f>
        <x:v>0.0006877975530408253</x:v>
      </x:c>
      <x:c r="I248" s="26" t="n">
        <x:v>4</x:v>
      </x:c>
      <x:c r="J248" s="26" t="n">
        <x:v>3</x:v>
      </x:c>
      <x:c r="K248" s="7" t="b">
        <x:v>0</x:v>
      </x:c>
      <x:c r="L248" s="2" t="str">
        <x:v>May 2026</x:v>
      </x:c>
      <x:c r="M248" s="2" t="str">
        <x:v>https://www.genaiadoptiontracker.com/</x:v>
      </x:c>
    </x:row>
    <x:row r="249" ht="24" customHeight="1">
      <x:c r="A249" s="2" t="str">
        <x:v>RPS</x:v>
      </x:c>
      <x:c r="B249" s="2" t="str">
        <x:v>Quintiles</x:v>
      </x:c>
      <x:c r="C249" s="2" t="str">
        <x:v>Q4</x:v>
      </x:c>
      <x:c r="D249" s="2" t="str">
        <x:v>2024Q3</x:v>
      </x:c>
      <x:c r="E249" s="20" t="n">
        <x:v>9151</x:v>
      </x:c>
      <x:c r="F249" s="20" t="n">
        <x:f>$E$219</x:f>
        <x:v>9093.1333333333</x:v>
      </x:c>
      <x:c r="G249" s="22" t="n">
        <x:f>100*E249/F249</x:f>
        <x:v>100.6363776329395</x:v>
      </x:c>
      <x:c r="H249" s="24" t="n">
        <x:f>G249/100-1</x:f>
        <x:v>0.006363776329394888</x:v>
      </x:c>
      <x:c r="I249" s="26" t="n">
        <x:v>3</x:v>
      </x:c>
      <x:c r="J249" s="26" t="n">
        <x:v>3</x:v>
      </x:c>
      <x:c r="K249" s="7" t="b">
        <x:v>0</x:v>
      </x:c>
      <x:c r="L249" s="2" t="str">
        <x:v>May 2026</x:v>
      </x:c>
      <x:c r="M249" s="2" t="str">
        <x:v>https://www.genaiadoptiontracker.com/</x:v>
      </x:c>
    </x:row>
    <x:row r="250" ht="24" customHeight="1">
      <x:c r="A250" s="2" t="str">
        <x:v>RPS</x:v>
      </x:c>
      <x:c r="B250" s="2" t="str">
        <x:v>Quintiles</x:v>
      </x:c>
      <x:c r="C250" s="2" t="str">
        <x:v>Q5</x:v>
      </x:c>
      <x:c r="D250" s="2" t="str">
        <x:v>2024Q3</x:v>
      </x:c>
      <x:c r="E250" s="20" t="n">
        <x:v>23030.6</x:v>
      </x:c>
      <x:c r="F250" s="20" t="n">
        <x:f>$E$220</x:f>
        <x:v>23079.8333333333</x:v>
      </x:c>
      <x:c r="G250" s="22" t="n">
        <x:f>100*E250/F250</x:f>
        <x:v>99.78668245726804</x:v>
      </x:c>
      <x:c r="H250" s="24" t="n">
        <x:f>G250/100-1</x:f>
        <x:v>-0.0021331754273196113</x:v>
      </x:c>
      <x:c r="I250" s="26" t="n">
        <x:v>4</x:v>
      </x:c>
      <x:c r="J250" s="26" t="n">
        <x:v>3</x:v>
      </x:c>
      <x:c r="K250" s="7" t="b">
        <x:v>0</x:v>
      </x:c>
      <x:c r="L250" s="2" t="str">
        <x:v>May 2026</x:v>
      </x:c>
      <x:c r="M250" s="2" t="str">
        <x:v>https://www.genaiadoptiontracker.com/</x:v>
      </x:c>
    </x:row>
    <x:row r="251" ht="24" customHeight="1">
      <x:c r="A251" s="2" t="str">
        <x:v>RPS</x:v>
      </x:c>
      <x:c r="B251" s="2" t="str">
        <x:v>Quintiles</x:v>
      </x:c>
      <x:c r="C251" s="2" t="str">
        <x:v>Q1</x:v>
      </x:c>
      <x:c r="D251" s="2" t="str">
        <x:v>2024Q4</x:v>
      </x:c>
      <x:c r="E251" s="20" t="n">
        <x:v>27391.4666666667</x:v>
      </x:c>
      <x:c r="F251" s="20" t="n">
        <x:f>$E$216</x:f>
        <x:v>26934</x:v>
      </x:c>
      <x:c r="G251" s="22" t="n">
        <x:f>100*E251/F251</x:f>
        <x:v>101.69847281007907</x:v>
      </x:c>
      <x:c r="H251" s="24" t="n">
        <x:f>G251/100-1</x:f>
        <x:v>0.016984728100790658</x:v>
      </x:c>
      <x:c r="I251" s="26" t="n">
        <x:v>4</x:v>
      </x:c>
      <x:c r="J251" s="26" t="n">
        <x:v>3</x:v>
      </x:c>
      <x:c r="K251" s="7" t="b">
        <x:v>0</x:v>
      </x:c>
      <x:c r="L251" s="2" t="str">
        <x:v>May 2026</x:v>
      </x:c>
      <x:c r="M251" s="2" t="str">
        <x:v>https://www.genaiadoptiontracker.com/</x:v>
      </x:c>
    </x:row>
    <x:row r="252" ht="24" customHeight="1">
      <x:c r="A252" s="2" t="str">
        <x:v>RPS</x:v>
      </x:c>
      <x:c r="B252" s="2" t="str">
        <x:v>Quintiles</x:v>
      </x:c>
      <x:c r="C252" s="2" t="str">
        <x:v>Q2</x:v>
      </x:c>
      <x:c r="D252" s="2" t="str">
        <x:v>2024Q4</x:v>
      </x:c>
      <x:c r="E252" s="20" t="n">
        <x:v>40913.3</x:v>
      </x:c>
      <x:c r="F252" s="20" t="n">
        <x:f>$E$217</x:f>
        <x:v>39187.3</x:v>
      </x:c>
      <x:c r="G252" s="22" t="n">
        <x:f>100*E252/F252</x:f>
        <x:v>104.40448818877545</x:v>
      </x:c>
      <x:c r="H252" s="24" t="n">
        <x:f>G252/100-1</x:f>
        <x:v>0.04404488188775435</x:v>
      </x:c>
      <x:c r="I252" s="26" t="n">
        <x:v>3</x:v>
      </x:c>
      <x:c r="J252" s="26" t="n">
        <x:v>3</x:v>
      </x:c>
      <x:c r="K252" s="7" t="b">
        <x:v>0</x:v>
      </x:c>
      <x:c r="L252" s="2" t="str">
        <x:v>May 2026</x:v>
      </x:c>
      <x:c r="M252" s="2" t="str">
        <x:v>https://www.genaiadoptiontracker.com/</x:v>
      </x:c>
    </x:row>
    <x:row r="253" ht="24" customHeight="1">
      <x:c r="A253" s="2" t="str">
        <x:v>RPS</x:v>
      </x:c>
      <x:c r="B253" s="2" t="str">
        <x:v>Quintiles</x:v>
      </x:c>
      <x:c r="C253" s="2" t="str">
        <x:v>Q3</x:v>
      </x:c>
      <x:c r="D253" s="2" t="str">
        <x:v>2024Q4</x:v>
      </x:c>
      <x:c r="E253" s="20" t="n">
        <x:v>34101.1</x:v>
      </x:c>
      <x:c r="F253" s="20" t="n">
        <x:f>$E$218</x:f>
        <x:v>34118.5666666667</x:v>
      </x:c>
      <x:c r="G253" s="22" t="n">
        <x:f>100*E253/F253</x:f>
        <x:v>99.9488059775859</x:v>
      </x:c>
      <x:c r="H253" s="24" t="n">
        <x:f>G253/100-1</x:f>
        <x:v>-0.0005119402241409166</x:v>
      </x:c>
      <x:c r="I253" s="26" t="n">
        <x:v>4</x:v>
      </x:c>
      <x:c r="J253" s="26" t="n">
        <x:v>3</x:v>
      </x:c>
      <x:c r="K253" s="7" t="b">
        <x:v>0</x:v>
      </x:c>
      <x:c r="L253" s="2" t="str">
        <x:v>May 2026</x:v>
      </x:c>
      <x:c r="M253" s="2" t="str">
        <x:v>https://www.genaiadoptiontracker.com/</x:v>
      </x:c>
    </x:row>
    <x:row r="254" ht="24" customHeight="1">
      <x:c r="A254" s="2" t="str">
        <x:v>RPS</x:v>
      </x:c>
      <x:c r="B254" s="2" t="str">
        <x:v>Quintiles</x:v>
      </x:c>
      <x:c r="C254" s="2" t="str">
        <x:v>Q4</x:v>
      </x:c>
      <x:c r="D254" s="2" t="str">
        <x:v>2024Q4</x:v>
      </x:c>
      <x:c r="E254" s="20" t="n">
        <x:v>9143.7</x:v>
      </x:c>
      <x:c r="F254" s="20" t="n">
        <x:f>$E$219</x:f>
        <x:v>9093.1333333333</x:v>
      </x:c>
      <x:c r="G254" s="22" t="n">
        <x:f>100*E254/F254</x:f>
        <x:v>100.55609727486713</x:v>
      </x:c>
      <x:c r="H254" s="24" t="n">
        <x:f>G254/100-1</x:f>
        <x:v>0.005560972748671178</x:v>
      </x:c>
      <x:c r="I254" s="26" t="n">
        <x:v>3</x:v>
      </x:c>
      <x:c r="J254" s="26" t="n">
        <x:v>3</x:v>
      </x:c>
      <x:c r="K254" s="7" t="b">
        <x:v>0</x:v>
      </x:c>
      <x:c r="L254" s="2" t="str">
        <x:v>May 2026</x:v>
      </x:c>
      <x:c r="M254" s="2" t="str">
        <x:v>https://www.genaiadoptiontracker.com/</x:v>
      </x:c>
    </x:row>
    <x:row r="255" ht="24" customHeight="1">
      <x:c r="A255" s="2" t="str">
        <x:v>RPS</x:v>
      </x:c>
      <x:c r="B255" s="2" t="str">
        <x:v>Quintiles</x:v>
      </x:c>
      <x:c r="C255" s="2" t="str">
        <x:v>Q5</x:v>
      </x:c>
      <x:c r="D255" s="2" t="str">
        <x:v>2024Q4</x:v>
      </x:c>
      <x:c r="E255" s="20" t="n">
        <x:v>23016.6</x:v>
      </x:c>
      <x:c r="F255" s="20" t="n">
        <x:f>$E$220</x:f>
        <x:v>23079.8333333333</x:v>
      </x:c>
      <x:c r="G255" s="22" t="n">
        <x:f>100*E255/F255</x:f>
        <x:v>99.72602344037739</x:v>
      </x:c>
      <x:c r="H255" s="24" t="n">
        <x:f>G255/100-1</x:f>
        <x:v>-0.002739765596226129</x:v>
      </x:c>
      <x:c r="I255" s="26" t="n">
        <x:v>4</x:v>
      </x:c>
      <x:c r="J255" s="26" t="n">
        <x:v>3</x:v>
      </x:c>
      <x:c r="K255" s="7" t="b">
        <x:v>0</x:v>
      </x:c>
      <x:c r="L255" s="2" t="str">
        <x:v>May 2026</x:v>
      </x:c>
      <x:c r="M255" s="2" t="str">
        <x:v>https://www.genaiadoptiontracker.com/</x:v>
      </x:c>
    </x:row>
    <x:row r="256" ht="24" customHeight="1">
      <x:c r="A256" s="2" t="str">
        <x:v>RPS</x:v>
      </x:c>
      <x:c r="B256" s="2" t="str">
        <x:v>Quintiles</x:v>
      </x:c>
      <x:c r="C256" s="2" t="str">
        <x:v>Q1</x:v>
      </x:c>
      <x:c r="D256" s="2" t="str">
        <x:v>2025Q1</x:v>
      </x:c>
      <x:c r="E256" s="20" t="n">
        <x:v>27391.5666666667</x:v>
      </x:c>
      <x:c r="F256" s="20" t="n">
        <x:f>$E$216</x:f>
        <x:v>26934</x:v>
      </x:c>
      <x:c r="G256" s="22" t="n">
        <x:f>100*E256/F256</x:f>
        <x:v>101.69884408801774</x:v>
      </x:c>
      <x:c r="H256" s="24" t="n">
        <x:f>G256/100-1</x:f>
        <x:v>0.016988440880177258</x:v>
      </x:c>
      <x:c r="I256" s="26" t="n">
        <x:v>4</x:v>
      </x:c>
      <x:c r="J256" s="26" t="n">
        <x:v>3</x:v>
      </x:c>
      <x:c r="K256" s="7" t="b">
        <x:v>0</x:v>
      </x:c>
      <x:c r="L256" s="2" t="str">
        <x:v>May 2026</x:v>
      </x:c>
      <x:c r="M256" s="2" t="str">
        <x:v>https://www.genaiadoptiontracker.com/</x:v>
      </x:c>
    </x:row>
    <x:row r="257" ht="24" customHeight="1">
      <x:c r="A257" s="2" t="str">
        <x:v>RPS</x:v>
      </x:c>
      <x:c r="B257" s="2" t="str">
        <x:v>Quintiles</x:v>
      </x:c>
      <x:c r="C257" s="2" t="str">
        <x:v>Q2</x:v>
      </x:c>
      <x:c r="D257" s="2" t="str">
        <x:v>2025Q1</x:v>
      </x:c>
      <x:c r="E257" s="20" t="n">
        <x:v>41128.4333333333</x:v>
      </x:c>
      <x:c r="F257" s="20" t="n">
        <x:f>$E$217</x:f>
        <x:v>39187.3</x:v>
      </x:c>
      <x:c r="G257" s="22" t="n">
        <x:f>100*E257/F257</x:f>
        <x:v>104.95347557329363</x:v>
      </x:c>
      <x:c r="H257" s="24" t="n">
        <x:f>G257/100-1</x:f>
        <x:v>0.0495347557329362</x:v>
      </x:c>
      <x:c r="I257" s="26" t="n">
        <x:v>3</x:v>
      </x:c>
      <x:c r="J257" s="26" t="n">
        <x:v>3</x:v>
      </x:c>
      <x:c r="K257" s="7" t="b">
        <x:v>0</x:v>
      </x:c>
      <x:c r="L257" s="2" t="str">
        <x:v>May 2026</x:v>
      </x:c>
      <x:c r="M257" s="2" t="str">
        <x:v>https://www.genaiadoptiontracker.com/</x:v>
      </x:c>
    </x:row>
    <x:row r="258" ht="24" customHeight="1">
      <x:c r="A258" s="2" t="str">
        <x:v>RPS</x:v>
      </x:c>
      <x:c r="B258" s="2" t="str">
        <x:v>Quintiles</x:v>
      </x:c>
      <x:c r="C258" s="2" t="str">
        <x:v>Q3</x:v>
      </x:c>
      <x:c r="D258" s="2" t="str">
        <x:v>2025Q1</x:v>
      </x:c>
      <x:c r="E258" s="20" t="n">
        <x:v>34057.7666666667</x:v>
      </x:c>
      <x:c r="F258" s="20" t="n">
        <x:f>$E$218</x:f>
        <x:v>34118.5666666667</x:v>
      </x:c>
      <x:c r="G258" s="22" t="n">
        <x:f>100*E258/F258</x:f>
        <x:v>99.82179790671158</x:v>
      </x:c>
      <x:c r="H258" s="24" t="n">
        <x:f>G258/100-1</x:f>
        <x:v>-0.001782020932884154</x:v>
      </x:c>
      <x:c r="I258" s="26" t="n">
        <x:v>4</x:v>
      </x:c>
      <x:c r="J258" s="26" t="n">
        <x:v>3</x:v>
      </x:c>
      <x:c r="K258" s="7" t="b">
        <x:v>0</x:v>
      </x:c>
      <x:c r="L258" s="2" t="str">
        <x:v>May 2026</x:v>
      </x:c>
      <x:c r="M258" s="2" t="str">
        <x:v>https://www.genaiadoptiontracker.com/</x:v>
      </x:c>
    </x:row>
    <x:row r="259" ht="24" customHeight="1">
      <x:c r="A259" s="2" t="str">
        <x:v>RPS</x:v>
      </x:c>
      <x:c r="B259" s="2" t="str">
        <x:v>Quintiles</x:v>
      </x:c>
      <x:c r="C259" s="2" t="str">
        <x:v>Q4</x:v>
      </x:c>
      <x:c r="D259" s="2" t="str">
        <x:v>2025Q1</x:v>
      </x:c>
      <x:c r="E259" s="20" t="n">
        <x:v>9126.8</x:v>
      </x:c>
      <x:c r="F259" s="20" t="n">
        <x:f>$E$219</x:f>
        <x:v>9093.1333333333</x:v>
      </x:c>
      <x:c r="G259" s="22" t="n">
        <x:f>100*E259/F259</x:f>
        <x:v>100.37024274727484</x:v>
      </x:c>
      <x:c r="H259" s="24" t="n">
        <x:f>G259/100-1</x:f>
        <x:v>0.003702427472748404</x:v>
      </x:c>
      <x:c r="I259" s="26" t="n">
        <x:v>3</x:v>
      </x:c>
      <x:c r="J259" s="26" t="n">
        <x:v>3</x:v>
      </x:c>
      <x:c r="K259" s="7" t="b">
        <x:v>0</x:v>
      </x:c>
      <x:c r="L259" s="2" t="str">
        <x:v>May 2026</x:v>
      </x:c>
      <x:c r="M259" s="2" t="str">
        <x:v>https://www.genaiadoptiontracker.com/</x:v>
      </x:c>
    </x:row>
    <x:row r="260" ht="24" customHeight="1">
      <x:c r="A260" s="2" t="str">
        <x:v>RPS</x:v>
      </x:c>
      <x:c r="B260" s="2" t="str">
        <x:v>Quintiles</x:v>
      </x:c>
      <x:c r="C260" s="2" t="str">
        <x:v>Q5</x:v>
      </x:c>
      <x:c r="D260" s="2" t="str">
        <x:v>2025Q1</x:v>
      </x:c>
      <x:c r="E260" s="20" t="n">
        <x:v>23013.6666666667</x:v>
      </x:c>
      <x:c r="F260" s="20" t="n">
        <x:f>$E$220</x:f>
        <x:v>23079.8333333333</x:v>
      </x:c>
      <x:c r="G260" s="22" t="n">
        <x:f>100*E260/F260</x:f>
        <x:v>99.71331393207664</x:v>
      </x:c>
      <x:c r="H260" s="24" t="n">
        <x:f>G260/100-1</x:f>
        <x:v>-0.002866860679233585</x:v>
      </x:c>
      <x:c r="I260" s="26" t="n">
        <x:v>4</x:v>
      </x:c>
      <x:c r="J260" s="26" t="n">
        <x:v>3</x:v>
      </x:c>
      <x:c r="K260" s="7" t="b">
        <x:v>0</x:v>
      </x:c>
      <x:c r="L260" s="2" t="str">
        <x:v>May 2026</x:v>
      </x:c>
      <x:c r="M260" s="2" t="str">
        <x:v>https://www.genaiadoptiontracker.com/</x:v>
      </x:c>
    </x:row>
    <x:row r="261" ht="24" customHeight="1">
      <x:c r="A261" s="2" t="str">
        <x:v>RPS</x:v>
      </x:c>
      <x:c r="B261" s="2" t="str">
        <x:v>Quintiles</x:v>
      </x:c>
      <x:c r="C261" s="2" t="str">
        <x:v>Q1</x:v>
      </x:c>
      <x:c r="D261" s="2" t="str">
        <x:v>2025Q2</x:v>
      </x:c>
      <x:c r="E261" s="20" t="n">
        <x:v>27378.6333333333</x:v>
      </x:c>
      <x:c r="F261" s="20" t="n">
        <x:f>$E$216</x:f>
        <x:v>26934</x:v>
      </x:c>
      <x:c r="G261" s="22" t="n">
        <x:f>100*E261/F261</x:f>
        <x:v>101.65082547461684</x:v>
      </x:c>
      <x:c r="H261" s="24" t="n">
        <x:f>G261/100-1</x:f>
        <x:v>0.01650825474616835</x:v>
      </x:c>
      <x:c r="I261" s="26" t="n">
        <x:v>4</x:v>
      </x:c>
      <x:c r="J261" s="26" t="n">
        <x:v>3</x:v>
      </x:c>
      <x:c r="K261" s="7" t="b">
        <x:v>0</x:v>
      </x:c>
      <x:c r="L261" s="2" t="str">
        <x:v>May 2026</x:v>
      </x:c>
      <x:c r="M261" s="2" t="str">
        <x:v>https://www.genaiadoptiontracker.com/</x:v>
      </x:c>
    </x:row>
    <x:row r="262" ht="24" customHeight="1">
      <x:c r="A262" s="2" t="str">
        <x:v>RPS</x:v>
      </x:c>
      <x:c r="B262" s="2" t="str">
        <x:v>Quintiles</x:v>
      </x:c>
      <x:c r="C262" s="2" t="str">
        <x:v>Q2</x:v>
      </x:c>
      <x:c r="D262" s="2" t="str">
        <x:v>2025Q2</x:v>
      </x:c>
      <x:c r="E262" s="20" t="n">
        <x:v>41337.2333333333</x:v>
      </x:c>
      <x:c r="F262" s="20" t="n">
        <x:f>$E$217</x:f>
        <x:v>39187.3</x:v>
      </x:c>
      <x:c r="G262" s="22" t="n">
        <x:f>100*E262/F262</x:f>
        <x:v>105.48630125916637</x:v>
      </x:c>
      <x:c r="H262" s="24" t="n">
        <x:f>G262/100-1</x:f>
        <x:v>0.054863012591663596</x:v>
      </x:c>
      <x:c r="I262" s="26" t="n">
        <x:v>3</x:v>
      </x:c>
      <x:c r="J262" s="26" t="n">
        <x:v>3</x:v>
      </x:c>
      <x:c r="K262" s="7" t="b">
        <x:v>0</x:v>
      </x:c>
      <x:c r="L262" s="2" t="str">
        <x:v>May 2026</x:v>
      </x:c>
      <x:c r="M262" s="2" t="str">
        <x:v>https://www.genaiadoptiontracker.com/</x:v>
      </x:c>
    </x:row>
    <x:row r="263" ht="24" customHeight="1">
      <x:c r="A263" s="2" t="str">
        <x:v>RPS</x:v>
      </x:c>
      <x:c r="B263" s="2" t="str">
        <x:v>Quintiles</x:v>
      </x:c>
      <x:c r="C263" s="2" t="str">
        <x:v>Q3</x:v>
      </x:c>
      <x:c r="D263" s="2" t="str">
        <x:v>2025Q2</x:v>
      </x:c>
      <x:c r="E263" s="20" t="n">
        <x:v>34017.2666666667</x:v>
      </x:c>
      <x:c r="F263" s="20" t="n">
        <x:f>$E$218</x:f>
        <x:v>34118.5666666667</x:v>
      </x:c>
      <x:c r="G263" s="22" t="n">
        <x:f>100*E263/F263</x:f>
        <x:v>99.70309420970203</x:v>
      </x:c>
      <x:c r="H263" s="24" t="n">
        <x:f>G263/100-1</x:f>
        <x:v>-0.0029690579029797437</x:v>
      </x:c>
      <x:c r="I263" s="26" t="n">
        <x:v>4</x:v>
      </x:c>
      <x:c r="J263" s="26" t="n">
        <x:v>3</x:v>
      </x:c>
      <x:c r="K263" s="7" t="b">
        <x:v>0</x:v>
      </x:c>
      <x:c r="L263" s="2" t="str">
        <x:v>May 2026</x:v>
      </x:c>
      <x:c r="M263" s="2" t="str">
        <x:v>https://www.genaiadoptiontracker.com/</x:v>
      </x:c>
    </x:row>
    <x:row r="264" ht="24" customHeight="1">
      <x:c r="A264" s="2" t="str">
        <x:v>RPS</x:v>
      </x:c>
      <x:c r="B264" s="2" t="str">
        <x:v>Quintiles</x:v>
      </x:c>
      <x:c r="C264" s="2" t="str">
        <x:v>Q4</x:v>
      </x:c>
      <x:c r="D264" s="2" t="str">
        <x:v>2025Q2</x:v>
      </x:c>
      <x:c r="E264" s="20" t="n">
        <x:v>9129.4333333333</x:v>
      </x:c>
      <x:c r="F264" s="20" t="n">
        <x:f>$E$219</x:f>
        <x:v>9093.1333333333</x:v>
      </x:c>
      <x:c r="G264" s="22" t="n">
        <x:f>100*E264/F264</x:f>
        <x:v>100.39920232849695</x:v>
      </x:c>
      <x:c r="H264" s="24" t="n">
        <x:f>G264/100-1</x:f>
        <x:v>0.003992023284969504</x:v>
      </x:c>
      <x:c r="I264" s="26" t="n">
        <x:v>3</x:v>
      </x:c>
      <x:c r="J264" s="26" t="n">
        <x:v>3</x:v>
      </x:c>
      <x:c r="K264" s="7" t="b">
        <x:v>0</x:v>
      </x:c>
      <x:c r="L264" s="2" t="str">
        <x:v>May 2026</x:v>
      </x:c>
      <x:c r="M264" s="2" t="str">
        <x:v>https://www.genaiadoptiontracker.com/</x:v>
      </x:c>
    </x:row>
    <x:row r="265" ht="24" customHeight="1">
      <x:c r="A265" s="2" t="str">
        <x:v>RPS</x:v>
      </x:c>
      <x:c r="B265" s="2" t="str">
        <x:v>Quintiles</x:v>
      </x:c>
      <x:c r="C265" s="2" t="str">
        <x:v>Q5</x:v>
      </x:c>
      <x:c r="D265" s="2" t="str">
        <x:v>2025Q2</x:v>
      </x:c>
      <x:c r="E265" s="20" t="n">
        <x:v>23010.5</x:v>
      </x:c>
      <x:c r="F265" s="20" t="n">
        <x:f>$E$220</x:f>
        <x:v>23079.8333333333</x:v>
      </x:c>
      <x:c r="G265" s="22" t="n">
        <x:f>100*E265/F265</x:f>
        <x:v>99.69959344016075</x:v>
      </x:c>
      <x:c r="H265" s="24" t="n">
        <x:f>G265/100-1</x:f>
        <x:v>-0.0030040655983925024</x:v>
      </x:c>
      <x:c r="I265" s="26" t="n">
        <x:v>4</x:v>
      </x:c>
      <x:c r="J265" s="26" t="n">
        <x:v>3</x:v>
      </x:c>
      <x:c r="K265" s="7" t="b">
        <x:v>0</x:v>
      </x:c>
      <x:c r="L265" s="2" t="str">
        <x:v>May 2026</x:v>
      </x:c>
      <x:c r="M265" s="2" t="str">
        <x:v>https://www.genaiadoptiontracker.com/</x:v>
      </x:c>
    </x:row>
    <x:row r="266" ht="24" customHeight="1">
      <x:c r="A266" s="2" t="str">
        <x:v>RPS</x:v>
      </x:c>
      <x:c r="B266" s="2" t="str">
        <x:v>Quintiles</x:v>
      </x:c>
      <x:c r="C266" s="2" t="str">
        <x:v>Q1</x:v>
      </x:c>
      <x:c r="D266" s="2" t="str">
        <x:v>2025Q3</x:v>
      </x:c>
      <x:c r="E266" s="20" t="n">
        <x:v>27389.1</x:v>
      </x:c>
      <x:c r="F266" s="20" t="n">
        <x:f>$E$216</x:f>
        <x:v>26934</x:v>
      </x:c>
      <x:c r="G266" s="22" t="n">
        <x:f>100*E266/F266</x:f>
        <x:v>101.68968589886389</x:v>
      </x:c>
      <x:c r="H266" s="24" t="n">
        <x:f>G266/100-1</x:f>
        <x:v>0.016896858988638908</x:v>
      </x:c>
      <x:c r="I266" s="26" t="n">
        <x:v>4</x:v>
      </x:c>
      <x:c r="J266" s="26" t="n">
        <x:v>3</x:v>
      </x:c>
      <x:c r="K266" s="7" t="b">
        <x:v>0</x:v>
      </x:c>
      <x:c r="L266" s="2" t="str">
        <x:v>May 2026</x:v>
      </x:c>
      <x:c r="M266" s="2" t="str">
        <x:v>https://www.genaiadoptiontracker.com/</x:v>
      </x:c>
    </x:row>
    <x:row r="267" ht="24" customHeight="1">
      <x:c r="A267" s="2" t="str">
        <x:v>RPS</x:v>
      </x:c>
      <x:c r="B267" s="2" t="str">
        <x:v>Quintiles</x:v>
      </x:c>
      <x:c r="C267" s="2" t="str">
        <x:v>Q2</x:v>
      </x:c>
      <x:c r="D267" s="2" t="str">
        <x:v>2025Q3</x:v>
      </x:c>
      <x:c r="E267" s="20" t="n">
        <x:v>41534.5666666667</x:v>
      </x:c>
      <x:c r="F267" s="20" t="n">
        <x:f>$E$217</x:f>
        <x:v>39187.3</x:v>
      </x:c>
      <x:c r="G267" s="22" t="n">
        <x:f>100*E267/F267</x:f>
        <x:v>105.9898657643336</x:v>
      </x:c>
      <x:c r="H267" s="24" t="n">
        <x:f>G267/100-1</x:f>
        <x:v>0.05989865764333602</x:v>
      </x:c>
      <x:c r="I267" s="26" t="n">
        <x:v>3</x:v>
      </x:c>
      <x:c r="J267" s="26" t="n">
        <x:v>3</x:v>
      </x:c>
      <x:c r="K267" s="7" t="b">
        <x:v>0</x:v>
      </x:c>
      <x:c r="L267" s="2" t="str">
        <x:v>May 2026</x:v>
      </x:c>
      <x:c r="M267" s="2" t="str">
        <x:v>https://www.genaiadoptiontracker.com/</x:v>
      </x:c>
    </x:row>
    <x:row r="268" ht="24" customHeight="1">
      <x:c r="A268" s="2" t="str">
        <x:v>RPS</x:v>
      </x:c>
      <x:c r="B268" s="2" t="str">
        <x:v>Quintiles</x:v>
      </x:c>
      <x:c r="C268" s="2" t="str">
        <x:v>Q3</x:v>
      </x:c>
      <x:c r="D268" s="2" t="str">
        <x:v>2025Q3</x:v>
      </x:c>
      <x:c r="E268" s="20" t="n">
        <x:v>33906.6</x:v>
      </x:c>
      <x:c r="F268" s="20" t="n">
        <x:f>$E$218</x:f>
        <x:v>34118.5666666667</x:v>
      </x:c>
      <x:c r="G268" s="22" t="n">
        <x:f>100*E268/F268</x:f>
        <x:v>99.37873513639191</x:v>
      </x:c>
      <x:c r="H268" s="24" t="n">
        <x:f>G268/100-1</x:f>
        <x:v>-0.006212648636080953</x:v>
      </x:c>
      <x:c r="I268" s="26" t="n">
        <x:v>4</x:v>
      </x:c>
      <x:c r="J268" s="26" t="n">
        <x:v>3</x:v>
      </x:c>
      <x:c r="K268" s="7" t="b">
        <x:v>0</x:v>
      </x:c>
      <x:c r="L268" s="2" t="str">
        <x:v>May 2026</x:v>
      </x:c>
      <x:c r="M268" s="2" t="str">
        <x:v>https://www.genaiadoptiontracker.com/</x:v>
      </x:c>
    </x:row>
    <x:row r="269" ht="24" customHeight="1">
      <x:c r="A269" s="2" t="str">
        <x:v>RPS</x:v>
      </x:c>
      <x:c r="B269" s="2" t="str">
        <x:v>Quintiles</x:v>
      </x:c>
      <x:c r="C269" s="2" t="str">
        <x:v>Q4</x:v>
      </x:c>
      <x:c r="D269" s="2" t="str">
        <x:v>2025Q3</x:v>
      </x:c>
      <x:c r="E269" s="20" t="n">
        <x:v>9103.6666666667</x:v>
      </x:c>
      <x:c r="F269" s="20" t="n">
        <x:f>$E$219</x:f>
        <x:v>9093.1333333333</x:v>
      </x:c>
      <x:c r="G269" s="22" t="n">
        <x:f>100*E269/F269</x:f>
        <x:v>100.11583832489057</x:v>
      </x:c>
      <x:c r="H269" s="24" t="n">
        <x:f>G269/100-1</x:f>
        <x:v>0.0011583832489057144</x:v>
      </x:c>
      <x:c r="I269" s="26" t="n">
        <x:v>3</x:v>
      </x:c>
      <x:c r="J269" s="26" t="n">
        <x:v>3</x:v>
      </x:c>
      <x:c r="K269" s="7" t="b">
        <x:v>0</x:v>
      </x:c>
      <x:c r="L269" s="2" t="str">
        <x:v>May 2026</x:v>
      </x:c>
      <x:c r="M269" s="2" t="str">
        <x:v>https://www.genaiadoptiontracker.com/</x:v>
      </x:c>
    </x:row>
    <x:row r="270" ht="24" customHeight="1">
      <x:c r="A270" s="2" t="str">
        <x:v>RPS</x:v>
      </x:c>
      <x:c r="B270" s="2" t="str">
        <x:v>Quintiles</x:v>
      </x:c>
      <x:c r="C270" s="2" t="str">
        <x:v>Q5</x:v>
      </x:c>
      <x:c r="D270" s="2" t="str">
        <x:v>2025Q3</x:v>
      </x:c>
      <x:c r="E270" s="20" t="n">
        <x:v>22992.0333333333</x:v>
      </x:c>
      <x:c r="F270" s="20" t="n">
        <x:f>$E$220</x:f>
        <x:v>23079.8333333333</x:v>
      </x:c>
      <x:c r="G270" s="22" t="n">
        <x:f>100*E270/F270</x:f>
        <x:v>99.61958130835724</x:v>
      </x:c>
      <x:c r="H270" s="24" t="n">
        <x:f>G270/100-1</x:f>
        <x:v>-0.0038041869164275877</x:v>
      </x:c>
      <x:c r="I270" s="26" t="n">
        <x:v>4</x:v>
      </x:c>
      <x:c r="J270" s="26" t="n">
        <x:v>3</x:v>
      </x:c>
      <x:c r="K270" s="7" t="b">
        <x:v>0</x:v>
      </x:c>
      <x:c r="L270" s="2" t="str">
        <x:v>May 2026</x:v>
      </x:c>
      <x:c r="M270" s="2" t="str">
        <x:v>https://www.genaiadoptiontracker.com/</x:v>
      </x:c>
    </x:row>
    <x:row r="271" ht="24" customHeight="1">
      <x:c r="A271" s="2" t="str">
        <x:v>RPS</x:v>
      </x:c>
      <x:c r="B271" s="2" t="str">
        <x:v>Quintiles</x:v>
      </x:c>
      <x:c r="C271" s="2" t="str">
        <x:v>Q1</x:v>
      </x:c>
      <x:c r="D271" s="2" t="str">
        <x:v>2025Q4</x:v>
      </x:c>
      <x:c r="E271" s="20" t="n">
        <x:v>27425.3333333333</x:v>
      </x:c>
      <x:c r="F271" s="20" t="n">
        <x:f>$E$216</x:f>
        <x:v>26934</x:v>
      </x:c>
      <x:c r="G271" s="22" t="n">
        <x:f>100*E271/F271</x:f>
        <x:v>101.82421227197334</x:v>
      </x:c>
      <x:c r="H271" s="24" t="n">
        <x:f>G271/100-1</x:f>
        <x:v>0.018242122719733356</x:v>
      </x:c>
      <x:c r="I271" s="26" t="n">
        <x:v>4</x:v>
      </x:c>
      <x:c r="J271" s="26" t="n">
        <x:v>3</x:v>
      </x:c>
      <x:c r="K271" s="7" t="b">
        <x:v>0</x:v>
      </x:c>
      <x:c r="L271" s="2" t="str">
        <x:v>May 2026</x:v>
      </x:c>
      <x:c r="M271" s="2" t="str">
        <x:v>https://www.genaiadoptiontracker.com/</x:v>
      </x:c>
    </x:row>
    <x:row r="272" ht="24" customHeight="1">
      <x:c r="A272" s="2" t="str">
        <x:v>RPS</x:v>
      </x:c>
      <x:c r="B272" s="2" t="str">
        <x:v>Quintiles</x:v>
      </x:c>
      <x:c r="C272" s="2" t="str">
        <x:v>Q2</x:v>
      </x:c>
      <x:c r="D272" s="2" t="str">
        <x:v>2025Q4</x:v>
      </x:c>
      <x:c r="E272" s="20" t="n">
        <x:v>41649.8333333333</x:v>
      </x:c>
      <x:c r="F272" s="20" t="n">
        <x:f>$E$217</x:f>
        <x:v>39187.3</x:v>
      </x:c>
      <x:c r="G272" s="22" t="n">
        <x:f>100*E272/F272</x:f>
        <x:v>106.28400867968269</x:v>
      </x:c>
      <x:c r="H272" s="24" t="n">
        <x:f>G272/100-1</x:f>
        <x:v>0.06284008679682684</x:v>
      </x:c>
      <x:c r="I272" s="26" t="n">
        <x:v>3</x:v>
      </x:c>
      <x:c r="J272" s="26" t="n">
        <x:v>3</x:v>
      </x:c>
      <x:c r="K272" s="7" t="b">
        <x:v>0</x:v>
      </x:c>
      <x:c r="L272" s="2" t="str">
        <x:v>May 2026</x:v>
      </x:c>
      <x:c r="M272" s="2" t="str">
        <x:v>https://www.genaiadoptiontracker.com/</x:v>
      </x:c>
    </x:row>
    <x:row r="273" ht="24" customHeight="1">
      <x:c r="A273" s="2" t="str">
        <x:v>RPS</x:v>
      </x:c>
      <x:c r="B273" s="2" t="str">
        <x:v>Quintiles</x:v>
      </x:c>
      <x:c r="C273" s="2" t="str">
        <x:v>Q3</x:v>
      </x:c>
      <x:c r="D273" s="2" t="str">
        <x:v>2025Q4</x:v>
      </x:c>
      <x:c r="E273" s="20" t="n">
        <x:v>33864.8666666667</x:v>
      </x:c>
      <x:c r="F273" s="20" t="n">
        <x:f>$E$218</x:f>
        <x:v>34118.5666666667</x:v>
      </x:c>
      <x:c r="G273" s="22" t="n">
        <x:f>100*E273/F273</x:f>
        <x:v>99.25641659428834</x:v>
      </x:c>
      <x:c r="H273" s="24" t="n">
        <x:f>G273/100-1</x:f>
        <x:v>-0.007435834057116564</x:v>
      </x:c>
      <x:c r="I273" s="26" t="n">
        <x:v>4</x:v>
      </x:c>
      <x:c r="J273" s="26" t="n">
        <x:v>3</x:v>
      </x:c>
      <x:c r="K273" s="7" t="b">
        <x:v>0</x:v>
      </x:c>
      <x:c r="L273" s="2" t="str">
        <x:v>May 2026</x:v>
      </x:c>
      <x:c r="M273" s="2" t="str">
        <x:v>https://www.genaiadoptiontracker.com/</x:v>
      </x:c>
    </x:row>
    <x:row r="274" ht="24" customHeight="1">
      <x:c r="A274" s="2" t="str">
        <x:v>RPS</x:v>
      </x:c>
      <x:c r="B274" s="2" t="str">
        <x:v>Quintiles</x:v>
      </x:c>
      <x:c r="C274" s="2" t="str">
        <x:v>Q4</x:v>
      </x:c>
      <x:c r="D274" s="2" t="str">
        <x:v>2025Q4</x:v>
      </x:c>
      <x:c r="E274" s="20" t="n">
        <x:v>9101</x:v>
      </x:c>
      <x:c r="F274" s="20" t="n">
        <x:f>$E$219</x:f>
        <x:v>9093.1333333333</x:v>
      </x:c>
      <x:c r="G274" s="22" t="n">
        <x:f>100*E274/F274</x:f>
        <x:v>100.08651216669024</x:v>
      </x:c>
      <x:c r="H274" s="24" t="n">
        <x:f>G274/100-1</x:f>
        <x:v>0.0008651216669024464</x:v>
      </x:c>
      <x:c r="I274" s="26" t="n">
        <x:v>3</x:v>
      </x:c>
      <x:c r="J274" s="26" t="n">
        <x:v>3</x:v>
      </x:c>
      <x:c r="K274" s="7" t="b">
        <x:v>0</x:v>
      </x:c>
      <x:c r="L274" s="2" t="str">
        <x:v>May 2026</x:v>
      </x:c>
      <x:c r="M274" s="2" t="str">
        <x:v>https://www.genaiadoptiontracker.com/</x:v>
      </x:c>
    </x:row>
    <x:row r="275" ht="24" customHeight="1">
      <x:c r="A275" s="2" t="str">
        <x:v>RPS</x:v>
      </x:c>
      <x:c r="B275" s="2" t="str">
        <x:v>Quintiles</x:v>
      </x:c>
      <x:c r="C275" s="2" t="str">
        <x:v>Q5</x:v>
      </x:c>
      <x:c r="D275" s="2" t="str">
        <x:v>2025Q4</x:v>
      </x:c>
      <x:c r="E275" s="20" t="n">
        <x:v>22984.4666666667</x:v>
      </x:c>
      <x:c r="F275" s="20" t="n">
        <x:f>$E$220</x:f>
        <x:v>23079.8333333333</x:v>
      </x:c>
      <x:c r="G275" s="22" t="n">
        <x:f>100*E275/F275</x:f>
        <x:v>99.58679655399041</x:v>
      </x:c>
      <x:c r="H275" s="24" t="n">
        <x:f>G275/100-1</x:f>
        <x:v>-0.0041320344600959125</x:v>
      </x:c>
      <x:c r="I275" s="26" t="n">
        <x:v>4</x:v>
      </x:c>
      <x:c r="J275" s="26" t="n">
        <x:v>3</x:v>
      </x:c>
      <x:c r="K275" s="7" t="b">
        <x:v>0</x:v>
      </x:c>
      <x:c r="L275" s="2" t="str">
        <x:v>May 2026</x:v>
      </x:c>
      <x:c r="M275" s="2" t="str">
        <x:v>https://www.genaiadoptiontracker.com/</x:v>
      </x:c>
    </x:row>
    <x:row r="276" ht="24" customHeight="1">
      <x:c r="A276" s="2" t="str">
        <x:v>RPS</x:v>
      </x:c>
      <x:c r="B276" s="2" t="str">
        <x:v>Quintiles</x:v>
      </x:c>
      <x:c r="C276" s="2" t="str">
        <x:v>Q1</x:v>
      </x:c>
      <x:c r="D276" s="2" t="str">
        <x:v>2026Q1</x:v>
      </x:c>
      <x:c r="E276" s="20" t="n">
        <x:v>27425.9666666667</x:v>
      </x:c>
      <x:c r="F276" s="20" t="n">
        <x:f>$E$216</x:f>
        <x:v>26934</x:v>
      </x:c>
      <x:c r="G276" s="22" t="n">
        <x:f>100*E276/F276</x:f>
        <x:v>101.82656369891846</x:v>
      </x:c>
      <x:c r="H276" s="24" t="n">
        <x:f>G276/100-1</x:f>
        <x:v>0.018265636989184708</x:v>
      </x:c>
      <x:c r="I276" s="26" t="n">
        <x:v>4</x:v>
      </x:c>
      <x:c r="J276" s="26" t="n">
        <x:v>3</x:v>
      </x:c>
      <x:c r="K276" s="7" t="b">
        <x:v>0</x:v>
      </x:c>
      <x:c r="L276" s="2" t="str">
        <x:v>May 2026</x:v>
      </x:c>
      <x:c r="M276" s="2" t="str">
        <x:v>https://www.genaiadoptiontracker.com/</x:v>
      </x:c>
    </x:row>
    <x:row r="277" ht="24" customHeight="1">
      <x:c r="A277" s="2" t="str">
        <x:v>RPS</x:v>
      </x:c>
      <x:c r="B277" s="2" t="str">
        <x:v>Quintiles</x:v>
      </x:c>
      <x:c r="C277" s="2" t="str">
        <x:v>Q2</x:v>
      </x:c>
      <x:c r="D277" s="2" t="str">
        <x:v>2026Q1</x:v>
      </x:c>
      <x:c r="E277" s="20" t="n">
        <x:v>41814.8666666667</x:v>
      </x:c>
      <x:c r="F277" s="20" t="n">
        <x:f>$E$217</x:f>
        <x:v>39187.3</x:v>
      </x:c>
      <x:c r="G277" s="22" t="n">
        <x:f>100*E277/F277</x:f>
        <x:v>106.70514852175755</x:v>
      </x:c>
      <x:c r="H277" s="24" t="n">
        <x:f>G277/100-1</x:f>
        <x:v>0.06705148521757542</x:v>
      </x:c>
      <x:c r="I277" s="26" t="n">
        <x:v>3</x:v>
      </x:c>
      <x:c r="J277" s="26" t="n">
        <x:v>3</x:v>
      </x:c>
      <x:c r="K277" s="7" t="b">
        <x:v>0</x:v>
      </x:c>
      <x:c r="L277" s="2" t="str">
        <x:v>May 2026</x:v>
      </x:c>
      <x:c r="M277" s="2" t="str">
        <x:v>https://www.genaiadoptiontracker.com/</x:v>
      </x:c>
    </x:row>
    <x:row r="278" ht="24" customHeight="1">
      <x:c r="A278" s="2" t="str">
        <x:v>RPS</x:v>
      </x:c>
      <x:c r="B278" s="2" t="str">
        <x:v>Quintiles</x:v>
      </x:c>
      <x:c r="C278" s="2" t="str">
        <x:v>Q3</x:v>
      </x:c>
      <x:c r="D278" s="2" t="str">
        <x:v>2026Q1</x:v>
      </x:c>
      <x:c r="E278" s="20" t="n">
        <x:v>33939.5333333333</x:v>
      </x:c>
      <x:c r="F278" s="20" t="n">
        <x:f>$E$218</x:f>
        <x:v>34118.5666666667</x:v>
      </x:c>
      <x:c r="G278" s="22" t="n">
        <x:f>100*E278/F278</x:f>
        <x:v>99.47526127025635</x:v>
      </x:c>
      <x:c r="H278" s="24" t="n">
        <x:f>G278/100-1</x:f>
        <x:v>-0.005247387297436457</x:v>
      </x:c>
      <x:c r="I278" s="26" t="n">
        <x:v>4</x:v>
      </x:c>
      <x:c r="J278" s="26" t="n">
        <x:v>3</x:v>
      </x:c>
      <x:c r="K278" s="7" t="b">
        <x:v>0</x:v>
      </x:c>
      <x:c r="L278" s="2" t="str">
        <x:v>May 2026</x:v>
      </x:c>
      <x:c r="M278" s="2" t="str">
        <x:v>https://www.genaiadoptiontracker.com/</x:v>
      </x:c>
    </x:row>
    <x:row r="279" ht="24" customHeight="1">
      <x:c r="A279" s="2" t="str">
        <x:v>RPS</x:v>
      </x:c>
      <x:c r="B279" s="2" t="str">
        <x:v>Quintiles</x:v>
      </x:c>
      <x:c r="C279" s="2" t="str">
        <x:v>Q4</x:v>
      </x:c>
      <x:c r="D279" s="2" t="str">
        <x:v>2026Q1</x:v>
      </x:c>
      <x:c r="E279" s="20" t="n">
        <x:v>9095.7666666667</x:v>
      </x:c>
      <x:c r="F279" s="20" t="n">
        <x:f>$E$219</x:f>
        <x:v>9093.1333333333</x:v>
      </x:c>
      <x:c r="G279" s="22" t="n">
        <x:f>100*E279/F279</x:f>
        <x:v>100.02895958122318</x:v>
      </x:c>
      <x:c r="H279" s="24" t="n">
        <x:f>G279/100-1</x:f>
        <x:v>0.0002895958122317577</x:v>
      </x:c>
      <x:c r="I279" s="26" t="n">
        <x:v>3</x:v>
      </x:c>
      <x:c r="J279" s="26" t="n">
        <x:v>3</x:v>
      </x:c>
      <x:c r="K279" s="7" t="b">
        <x:v>0</x:v>
      </x:c>
      <x:c r="L279" s="2" t="str">
        <x:v>May 2026</x:v>
      </x:c>
      <x:c r="M279" s="2" t="str">
        <x:v>https://www.genaiadoptiontracker.com/</x:v>
      </x:c>
    </x:row>
    <x:row r="280" ht="24" customHeight="1">
      <x:c r="A280" s="2" t="str">
        <x:v>RPS</x:v>
      </x:c>
      <x:c r="B280" s="2" t="str">
        <x:v>Quintiles</x:v>
      </x:c>
      <x:c r="C280" s="2" t="str">
        <x:v>Q5</x:v>
      </x:c>
      <x:c r="D280" s="2" t="str">
        <x:v>2026Q1</x:v>
      </x:c>
      <x:c r="E280" s="20" t="n">
        <x:v>22918.6333333333</x:v>
      </x:c>
      <x:c r="F280" s="20" t="n">
        <x:f>$E$220</x:f>
        <x:v>23079.8333333333</x:v>
      </x:c>
      <x:c r="G280" s="22" t="n">
        <x:f>100*E280/F280</x:f>
        <x:v>99.30155474837339</x:v>
      </x:c>
      <x:c r="H280" s="24" t="n">
        <x:f>G280/100-1</x:f>
        <x:v>-0.006984452516266115</x:v>
      </x:c>
      <x:c r="I280" s="26" t="n">
        <x:v>4</x:v>
      </x:c>
      <x:c r="J280" s="26" t="n">
        <x:v>3</x:v>
      </x:c>
      <x:c r="K280" s="7" t="b">
        <x:v>0</x:v>
      </x:c>
      <x:c r="L280" s="2" t="str">
        <x:v>May 2026</x:v>
      </x:c>
      <x:c r="M280" s="2" t="str">
        <x:v>https://www.genaiadoptiontracker.com/</x:v>
      </x:c>
    </x:row>
    <x:row r="281" ht="24" customHeight="1">
      <x:c r="A281" s="2" t="str">
        <x:v>RPS</x:v>
      </x:c>
      <x:c r="B281" s="2" t="str">
        <x:v>Quintiles</x:v>
      </x:c>
      <x:c r="C281" s="2" t="str">
        <x:v>Q1</x:v>
      </x:c>
      <x:c r="D281" s="2" t="str">
        <x:v>2026Q2</x:v>
      </x:c>
      <x:c r="E281" s="20" t="n">
        <x:v>27493.1</x:v>
      </x:c>
      <x:c r="F281" s="20" t="n">
        <x:f>$E$216</x:f>
        <x:v>26934</x:v>
      </x:c>
      <x:c r="G281" s="22" t="n">
        <x:f>100*E281/F281</x:f>
        <x:v>102.07581495507537</x:v>
      </x:c>
      <x:c r="H281" s="24" t="n">
        <x:f>G281/100-1</x:f>
        <x:v>0.020758149550753835</x:v>
      </x:c>
      <x:c r="I281" s="26" t="n">
        <x:v>4</x:v>
      </x:c>
      <x:c r="J281" s="26" t="n">
        <x:v>3</x:v>
      </x:c>
      <x:c r="K281" s="7" t="b">
        <x:v>0</x:v>
      </x:c>
      <x:c r="L281" s="2" t="str">
        <x:v>May 2026</x:v>
      </x:c>
      <x:c r="M281" s="2" t="str">
        <x:v>https://www.genaiadoptiontracker.com/</x:v>
      </x:c>
    </x:row>
    <x:row r="282" ht="24" customHeight="1">
      <x:c r="A282" s="2" t="str">
        <x:v>RPS</x:v>
      </x:c>
      <x:c r="B282" s="2" t="str">
        <x:v>Quintiles</x:v>
      </x:c>
      <x:c r="C282" s="2" t="str">
        <x:v>Q2</x:v>
      </x:c>
      <x:c r="D282" s="2" t="str">
        <x:v>2026Q2</x:v>
      </x:c>
      <x:c r="E282" s="20" t="n">
        <x:v>41996.7</x:v>
      </x:c>
      <x:c r="F282" s="20" t="n">
        <x:f>$E$217</x:f>
        <x:v>39187.3</x:v>
      </x:c>
      <x:c r="G282" s="22" t="n">
        <x:f>100*E282/F282</x:f>
        <x:v>107.1691593960288</x:v>
      </x:c>
      <x:c r="H282" s="24" t="n">
        <x:f>G282/100-1</x:f>
        <x:v>0.07169159396028801</x:v>
      </x:c>
      <x:c r="I282" s="26" t="n">
        <x:v>3</x:v>
      </x:c>
      <x:c r="J282" s="26" t="n">
        <x:v>3</x:v>
      </x:c>
      <x:c r="K282" s="7" t="b">
        <x:v>0</x:v>
      </x:c>
      <x:c r="L282" s="2" t="str">
        <x:v>May 2026</x:v>
      </x:c>
      <x:c r="M282" s="2" t="str">
        <x:v>https://www.genaiadoptiontracker.com/</x:v>
      </x:c>
    </x:row>
    <x:row r="283" ht="24" customHeight="1">
      <x:c r="A283" s="2" t="str">
        <x:v>RPS</x:v>
      </x:c>
      <x:c r="B283" s="2" t="str">
        <x:v>Quintiles</x:v>
      </x:c>
      <x:c r="C283" s="2" t="str">
        <x:v>Q3</x:v>
      </x:c>
      <x:c r="D283" s="2" t="str">
        <x:v>2026Q2</x:v>
      </x:c>
      <x:c r="E283" s="20" t="n">
        <x:v>33998.5666666667</x:v>
      </x:c>
      <x:c r="F283" s="20" t="n">
        <x:f>$E$218</x:f>
        <x:v>34118.5666666667</x:v>
      </x:c>
      <x:c r="G283" s="22" t="n">
        <x:f>100*E283/F283</x:f>
        <x:v>99.64828534219394</x:v>
      </x:c>
      <x:c r="H283" s="24" t="n">
        <x:f>G283/100-1</x:f>
        <x:v>-0.0035171465780605704</x:v>
      </x:c>
      <x:c r="I283" s="26" t="n">
        <x:v>4</x:v>
      </x:c>
      <x:c r="J283" s="26" t="n">
        <x:v>3</x:v>
      </x:c>
      <x:c r="K283" s="7" t="b">
        <x:v>0</x:v>
      </x:c>
      <x:c r="L283" s="2" t="str">
        <x:v>May 2026</x:v>
      </x:c>
      <x:c r="M283" s="2" t="str">
        <x:v>https://www.genaiadoptiontracker.com/</x:v>
      </x:c>
    </x:row>
    <x:row r="284" ht="24" customHeight="1">
      <x:c r="A284" s="2" t="str">
        <x:v>RPS</x:v>
      </x:c>
      <x:c r="B284" s="2" t="str">
        <x:v>Quintiles</x:v>
      </x:c>
      <x:c r="C284" s="2" t="str">
        <x:v>Q4</x:v>
      </x:c>
      <x:c r="D284" s="2" t="str">
        <x:v>2026Q2</x:v>
      </x:c>
      <x:c r="E284" s="20" t="n">
        <x:v>9101.6</x:v>
      </x:c>
      <x:c r="F284" s="20" t="n">
        <x:f>$E$219</x:f>
        <x:v>9093.1333333333</x:v>
      </x:c>
      <x:c r="G284" s="22" t="n">
        <x:f>100*E284/F284</x:f>
        <x:v>100.09311055228524</x:v>
      </x:c>
      <x:c r="H284" s="24" t="n">
        <x:f>G284/100-1</x:f>
        <x:v>0.0009311055228524712</x:v>
      </x:c>
      <x:c r="I284" s="26" t="n">
        <x:v>3</x:v>
      </x:c>
      <x:c r="J284" s="26" t="n">
        <x:v>3</x:v>
      </x:c>
      <x:c r="K284" s="7" t="b">
        <x:v>0</x:v>
      </x:c>
      <x:c r="L284" s="2" t="str">
        <x:v>May 2026</x:v>
      </x:c>
      <x:c r="M284" s="2" t="str">
        <x:v>https://www.genaiadoptiontracker.com/</x:v>
      </x:c>
    </x:row>
    <x:row r="285" ht="24" customHeight="1">
      <x:c r="A285" s="2" t="str">
        <x:v>RPS</x:v>
      </x:c>
      <x:c r="B285" s="2" t="str">
        <x:v>Quintiles</x:v>
      </x:c>
      <x:c r="C285" s="2" t="str">
        <x:v>Q5</x:v>
      </x:c>
      <x:c r="D285" s="2" t="str">
        <x:v>2026Q2</x:v>
      </x:c>
      <x:c r="E285" s="20" t="n">
        <x:v>22886.9666666667</x:v>
      </x:c>
      <x:c r="F285" s="20" t="n">
        <x:f>$E$220</x:f>
        <x:v>23079.8333333333</x:v>
      </x:c>
      <x:c r="G285" s="22" t="n">
        <x:f>100*E285/F285</x:f>
        <x:v>99.16434982921626</x:v>
      </x:c>
      <x:c r="H285" s="24" t="n">
        <x:f>G285/100-1</x:f>
        <x:v>-0.008356501707837416</x:v>
      </x:c>
      <x:c r="I285" s="26" t="n">
        <x:v>4</x:v>
      </x:c>
      <x:c r="J285" s="26" t="n">
        <x:v>3</x:v>
      </x:c>
      <x:c r="K285" s="7" t="b">
        <x:v>0</x:v>
      </x:c>
      <x:c r="L285" s="2" t="str">
        <x:v>May 2026</x:v>
      </x:c>
      <x:c r="M285" s="2" t="str">
        <x:v>https://www.genaiadoptiontracker.com/</x:v>
      </x:c>
    </x:row>
    <x:row r="286" ht="24" customHeight="1">
      <x:c r="A286" s="2" t="str">
        <x:v>RPS</x:v>
      </x:c>
      <x:c r="B286" s="2" t="str">
        <x:v>Halves</x:v>
      </x:c>
      <x:c r="C286" s="2" t="str">
        <x:v>Lower half</x:v>
      </x:c>
      <x:c r="D286" s="2" t="str">
        <x:v>2023Q1</x:v>
      </x:c>
      <x:c r="E286" s="20" t="n">
        <x:v>83557.8</x:v>
      </x:c>
      <x:c r="F286" s="20" t="n">
        <x:f>$E$286</x:f>
        <x:v>83557.8</x:v>
      </x:c>
      <x:c r="G286" s="22" t="n">
        <x:f>100*E286/F286</x:f>
        <x:v>100</x:v>
      </x:c>
      <x:c r="H286" s="24" t="n">
        <x:f>G286/100-1</x:f>
        <x:v>0</x:v>
      </x:c>
      <x:c r="I286" s="26" t="n">
        <x:v>9</x:v>
      </x:c>
      <x:c r="J286" s="26" t="n">
        <x:v>3</x:v>
      </x:c>
      <x:c r="K286" s="7" t="b">
        <x:v>0</x:v>
      </x:c>
      <x:c r="L286" s="2" t="str">
        <x:v>May 2026</x:v>
      </x:c>
      <x:c r="M286" s="2" t="str">
        <x:v>https://www.genaiadoptiontracker.com/</x:v>
      </x:c>
    </x:row>
    <x:row r="287" ht="24" customHeight="1">
      <x:c r="A287" s="2" t="str">
        <x:v>RPS</x:v>
      </x:c>
      <x:c r="B287" s="2" t="str">
        <x:v>Halves</x:v>
      </x:c>
      <x:c r="C287" s="2" t="str">
        <x:v>Higher half</x:v>
      </x:c>
      <x:c r="D287" s="2" t="str">
        <x:v>2023Q1</x:v>
      </x:c>
      <x:c r="E287" s="20" t="n">
        <x:v>48855.0333333333</x:v>
      </x:c>
      <x:c r="F287" s="20" t="n">
        <x:f>$E$287</x:f>
        <x:v>48855.0333333333</x:v>
      </x:c>
      <x:c r="G287" s="22" t="n">
        <x:f>100*E287/F287</x:f>
        <x:v>99.99999999999999</x:v>
      </x:c>
      <x:c r="H287" s="24" t="n">
        <x:f>G287/100-1</x:f>
        <x:v>-1.1102230246251565e-16</x:v>
      </x:c>
      <x:c r="I287" s="26" t="n">
        <x:v>9</x:v>
      </x:c>
      <x:c r="J287" s="26" t="n">
        <x:v>3</x:v>
      </x:c>
      <x:c r="K287" s="7" t="b">
        <x:v>0</x:v>
      </x:c>
      <x:c r="L287" s="2" t="str">
        <x:v>May 2026</x:v>
      </x:c>
      <x:c r="M287" s="2" t="str">
        <x:v>https://www.genaiadoptiontracker.com/</x:v>
      </x:c>
    </x:row>
    <x:row r="288" ht="24" customHeight="1">
      <x:c r="A288" s="2" t="str">
        <x:v>RPS</x:v>
      </x:c>
      <x:c r="B288" s="2" t="str">
        <x:v>Halves</x:v>
      </x:c>
      <x:c r="C288" s="2" t="str">
        <x:v>Lower half</x:v>
      </x:c>
      <x:c r="D288" s="2" t="str">
        <x:v>2023Q2</x:v>
      </x:c>
      <x:c r="E288" s="20" t="n">
        <x:v>83905.0666666667</x:v>
      </x:c>
      <x:c r="F288" s="20" t="n">
        <x:f>$E$286</x:f>
        <x:v>83557.8</x:v>
      </x:c>
      <x:c r="G288" s="22" t="n">
        <x:f>100*E288/F288</x:f>
        <x:v>100.41560053838982</x:v>
      </x:c>
      <x:c r="H288" s="24" t="n">
        <x:f>G288/100-1</x:f>
        <x:v>0.004156005383898265</x:v>
      </x:c>
      <x:c r="I288" s="26" t="n">
        <x:v>9</x:v>
      </x:c>
      <x:c r="J288" s="26" t="n">
        <x:v>3</x:v>
      </x:c>
      <x:c r="K288" s="7" t="b">
        <x:v>0</x:v>
      </x:c>
      <x:c r="L288" s="2" t="str">
        <x:v>May 2026</x:v>
      </x:c>
      <x:c r="M288" s="2" t="str">
        <x:v>https://www.genaiadoptiontracker.com/</x:v>
      </x:c>
    </x:row>
    <x:row r="289" ht="24" customHeight="1">
      <x:c r="A289" s="2" t="str">
        <x:v>RPS</x:v>
      </x:c>
      <x:c r="B289" s="2" t="str">
        <x:v>Halves</x:v>
      </x:c>
      <x:c r="C289" s="2" t="str">
        <x:v>Higher half</x:v>
      </x:c>
      <x:c r="D289" s="2" t="str">
        <x:v>2023Q2</x:v>
      </x:c>
      <x:c r="E289" s="20" t="n">
        <x:v>48967.3333333333</x:v>
      </x:c>
      <x:c r="F289" s="20" t="n">
        <x:f>$E$287</x:f>
        <x:v>48855.0333333333</x:v>
      </x:c>
      <x:c r="G289" s="22" t="n">
        <x:f>100*E289/F289</x:f>
        <x:v>100.22986372608487</x:v>
      </x:c>
      <x:c r="H289" s="24" t="n">
        <x:f>G289/100-1</x:f>
        <x:v>0.0022986372608486683</x:v>
      </x:c>
      <x:c r="I289" s="26" t="n">
        <x:v>9</x:v>
      </x:c>
      <x:c r="J289" s="26" t="n">
        <x:v>3</x:v>
      </x:c>
      <x:c r="K289" s="7" t="b">
        <x:v>0</x:v>
      </x:c>
      <x:c r="L289" s="2" t="str">
        <x:v>May 2026</x:v>
      </x:c>
      <x:c r="M289" s="2" t="str">
        <x:v>https://www.genaiadoptiontracker.com/</x:v>
      </x:c>
    </x:row>
    <x:row r="290" ht="24" customHeight="1">
      <x:c r="A290" s="2" t="str">
        <x:v>RPS</x:v>
      </x:c>
      <x:c r="B290" s="2" t="str">
        <x:v>Halves</x:v>
      </x:c>
      <x:c r="C290" s="2" t="str">
        <x:v>Lower half</x:v>
      </x:c>
      <x:c r="D290" s="2" t="str">
        <x:v>2023Q3</x:v>
      </x:c>
      <x:c r="E290" s="20" t="n">
        <x:v>84293.9</x:v>
      </x:c>
      <x:c r="F290" s="20" t="n">
        <x:f>$E$286</x:f>
        <x:v>83557.8</x:v>
      </x:c>
      <x:c r="G290" s="22" t="n">
        <x:f>100*E290/F290</x:f>
        <x:v>100.88094708094278</x:v>
      </x:c>
      <x:c r="H290" s="24" t="n">
        <x:f>G290/100-1</x:f>
        <x:v>0.008809470809427733</x:v>
      </x:c>
      <x:c r="I290" s="26" t="n">
        <x:v>9</x:v>
      </x:c>
      <x:c r="J290" s="26" t="n">
        <x:v>3</x:v>
      </x:c>
      <x:c r="K290" s="7" t="b">
        <x:v>0</x:v>
      </x:c>
      <x:c r="L290" s="2" t="str">
        <x:v>May 2026</x:v>
      </x:c>
      <x:c r="M290" s="2" t="str">
        <x:v>https://www.genaiadoptiontracker.com/</x:v>
      </x:c>
    </x:row>
    <x:row r="291" ht="24" customHeight="1">
      <x:c r="A291" s="2" t="str">
        <x:v>RPS</x:v>
      </x:c>
      <x:c r="B291" s="2" t="str">
        <x:v>Halves</x:v>
      </x:c>
      <x:c r="C291" s="2" t="str">
        <x:v>Higher half</x:v>
      </x:c>
      <x:c r="D291" s="2" t="str">
        <x:v>2023Q3</x:v>
      </x:c>
      <x:c r="E291" s="20" t="n">
        <x:v>49003</x:v>
      </x:c>
      <x:c r="F291" s="20" t="n">
        <x:f>$E$287</x:f>
        <x:v>48855.0333333333</x:v>
      </x:c>
      <x:c r="G291" s="22" t="n">
        <x:f>100*E291/F291</x:f>
        <x:v>100.30286882757225</x:v>
      </x:c>
      <x:c r="H291" s="24" t="n">
        <x:f>G291/100-1</x:f>
        <x:v>0.0030286882757224465</x:v>
      </x:c>
      <x:c r="I291" s="26" t="n">
        <x:v>9</x:v>
      </x:c>
      <x:c r="J291" s="26" t="n">
        <x:v>3</x:v>
      </x:c>
      <x:c r="K291" s="7" t="b">
        <x:v>0</x:v>
      </x:c>
      <x:c r="L291" s="2" t="str">
        <x:v>May 2026</x:v>
      </x:c>
      <x:c r="M291" s="2" t="str">
        <x:v>https://www.genaiadoptiontracker.com/</x:v>
      </x:c>
    </x:row>
    <x:row r="292" ht="24" customHeight="1">
      <x:c r="A292" s="2" t="str">
        <x:v>RPS</x:v>
      </x:c>
      <x:c r="B292" s="2" t="str">
        <x:v>Halves</x:v>
      </x:c>
      <x:c r="C292" s="2" t="str">
        <x:v>Lower half</x:v>
      </x:c>
      <x:c r="D292" s="2" t="str">
        <x:v>2023Q4</x:v>
      </x:c>
      <x:c r="E292" s="20" t="n">
        <x:v>84615.4</x:v>
      </x:c>
      <x:c r="F292" s="20" t="n">
        <x:f>$E$286</x:f>
        <x:v>83557.8</x:v>
      </x:c>
      <x:c r="G292" s="22" t="n">
        <x:f>100*E292/F292</x:f>
        <x:v>101.26571068170774</x:v>
      </x:c>
      <x:c r="H292" s="24" t="n">
        <x:f>G292/100-1</x:f>
        <x:v>0.012657106817077546</x:v>
      </x:c>
      <x:c r="I292" s="26" t="n">
        <x:v>9</x:v>
      </x:c>
      <x:c r="J292" s="26" t="n">
        <x:v>3</x:v>
      </x:c>
      <x:c r="K292" s="7" t="b">
        <x:v>0</x:v>
      </x:c>
      <x:c r="L292" s="2" t="str">
        <x:v>May 2026</x:v>
      </x:c>
      <x:c r="M292" s="2" t="str">
        <x:v>https://www.genaiadoptiontracker.com/</x:v>
      </x:c>
    </x:row>
    <x:row r="293" ht="24" customHeight="1">
      <x:c r="A293" s="2" t="str">
        <x:v>RPS</x:v>
      </x:c>
      <x:c r="B293" s="2" t="str">
        <x:v>Halves</x:v>
      </x:c>
      <x:c r="C293" s="2" t="str">
        <x:v>Higher half</x:v>
      </x:c>
      <x:c r="D293" s="2" t="str">
        <x:v>2023Q4</x:v>
      </x:c>
      <x:c r="E293" s="20" t="n">
        <x:v>49011.9666666667</x:v>
      </x:c>
      <x:c r="F293" s="20" t="n">
        <x:f>$E$287</x:f>
        <x:v>48855.0333333333</x:v>
      </x:c>
      <x:c r="G293" s="22" t="n">
        <x:f>100*E293/F293</x:f>
        <x:v>100.3212224465444</x:v>
      </x:c>
      <x:c r="H293" s="24" t="n">
        <x:f>G293/100-1</x:f>
        <x:v>0.0032122244654440024</x:v>
      </x:c>
      <x:c r="I293" s="26" t="n">
        <x:v>9</x:v>
      </x:c>
      <x:c r="J293" s="26" t="n">
        <x:v>3</x:v>
      </x:c>
      <x:c r="K293" s="7" t="b">
        <x:v>0</x:v>
      </x:c>
      <x:c r="L293" s="2" t="str">
        <x:v>May 2026</x:v>
      </x:c>
      <x:c r="M293" s="2" t="str">
        <x:v>https://www.genaiadoptiontracker.com/</x:v>
      </x:c>
    </x:row>
    <x:row r="294" ht="24" customHeight="1">
      <x:c r="A294" s="2" t="str">
        <x:v>RPS</x:v>
      </x:c>
      <x:c r="B294" s="2" t="str">
        <x:v>Halves</x:v>
      </x:c>
      <x:c r="C294" s="2" t="str">
        <x:v>Lower half</x:v>
      </x:c>
      <x:c r="D294" s="2" t="str">
        <x:v>2024Q1</x:v>
      </x:c>
      <x:c r="E294" s="20" t="n">
        <x:v>84945.9333333333</x:v>
      </x:c>
      <x:c r="F294" s="20" t="n">
        <x:f>$E$286</x:f>
        <x:v>83557.8</x:v>
      </x:c>
      <x:c r="G294" s="22" t="n">
        <x:f>100*E294/F294</x:f>
        <x:v>101.66128516228682</x:v>
      </x:c>
      <x:c r="H294" s="24" t="n">
        <x:f>G294/100-1</x:f>
        <x:v>0.016612851622868074</x:v>
      </x:c>
      <x:c r="I294" s="26" t="n">
        <x:v>9</x:v>
      </x:c>
      <x:c r="J294" s="26" t="n">
        <x:v>3</x:v>
      </x:c>
      <x:c r="K294" s="7" t="b">
        <x:v>0</x:v>
      </x:c>
      <x:c r="L294" s="2" t="str">
        <x:v>May 2026</x:v>
      </x:c>
      <x:c r="M294" s="2" t="str">
        <x:v>https://www.genaiadoptiontracker.com/</x:v>
      </x:c>
    </x:row>
    <x:row r="295" ht="24" customHeight="1">
      <x:c r="A295" s="2" t="str">
        <x:v>RPS</x:v>
      </x:c>
      <x:c r="B295" s="2" t="str">
        <x:v>Halves</x:v>
      </x:c>
      <x:c r="C295" s="2" t="str">
        <x:v>Higher half</x:v>
      </x:c>
      <x:c r="D295" s="2" t="str">
        <x:v>2024Q1</x:v>
      </x:c>
      <x:c r="E295" s="20" t="n">
        <x:v>49041.0666666667</x:v>
      </x:c>
      <x:c r="F295" s="20" t="n">
        <x:f>$E$287</x:f>
        <x:v>48855.0333333333</x:v>
      </x:c>
      <x:c r="G295" s="22" t="n">
        <x:f>100*E295/F295</x:f>
        <x:v>100.38078642187001</x:v>
      </x:c>
      <x:c r="H295" s="24" t="n">
        <x:f>G295/100-1</x:f>
        <x:v>0.003807864218700052</x:v>
      </x:c>
      <x:c r="I295" s="26" t="n">
        <x:v>9</x:v>
      </x:c>
      <x:c r="J295" s="26" t="n">
        <x:v>3</x:v>
      </x:c>
      <x:c r="K295" s="7" t="b">
        <x:v>0</x:v>
      </x:c>
      <x:c r="L295" s="2" t="str">
        <x:v>May 2026</x:v>
      </x:c>
      <x:c r="M295" s="2" t="str">
        <x:v>https://www.genaiadoptiontracker.com/</x:v>
      </x:c>
    </x:row>
    <x:row r="296" ht="24" customHeight="1">
      <x:c r="A296" s="2" t="str">
        <x:v>RPS</x:v>
      </x:c>
      <x:c r="B296" s="2" t="str">
        <x:v>Halves</x:v>
      </x:c>
      <x:c r="C296" s="2" t="str">
        <x:v>Lower half</x:v>
      </x:c>
      <x:c r="D296" s="2" t="str">
        <x:v>2024Q2</x:v>
      </x:c>
      <x:c r="E296" s="20" t="n">
        <x:v>85247.9333333333</x:v>
      </x:c>
      <x:c r="F296" s="20" t="n">
        <x:f>$E$286</x:f>
        <x:v>83557.8</x:v>
      </x:c>
      <x:c r="G296" s="22" t="n">
        <x:f>100*E296/F296</x:f>
        <x:v>102.02271162396964</x:v>
      </x:c>
      <x:c r="H296" s="24" t="n">
        <x:f>G296/100-1</x:f>
        <x:v>0.020227116239696308</x:v>
      </x:c>
      <x:c r="I296" s="26" t="n">
        <x:v>9</x:v>
      </x:c>
      <x:c r="J296" s="26" t="n">
        <x:v>3</x:v>
      </x:c>
      <x:c r="K296" s="7" t="b">
        <x:v>0</x:v>
      </x:c>
      <x:c r="L296" s="2" t="str">
        <x:v>May 2026</x:v>
      </x:c>
      <x:c r="M296" s="2" t="str">
        <x:v>https://www.genaiadoptiontracker.com/</x:v>
      </x:c>
    </x:row>
    <x:row r="297" ht="24" customHeight="1">
      <x:c r="A297" s="2" t="str">
        <x:v>RPS</x:v>
      </x:c>
      <x:c r="B297" s="2" t="str">
        <x:v>Halves</x:v>
      </x:c>
      <x:c r="C297" s="2" t="str">
        <x:v>Higher half</x:v>
      </x:c>
      <x:c r="D297" s="2" t="str">
        <x:v>2024Q2</x:v>
      </x:c>
      <x:c r="E297" s="20" t="n">
        <x:v>49001.2666666667</x:v>
      </x:c>
      <x:c r="F297" s="20" t="n">
        <x:f>$E$287</x:f>
        <x:v>48855.0333333333</x:v>
      </x:c>
      <x:c r="G297" s="22" t="n">
        <x:f>100*E297/F297</x:f>
        <x:v>100.29932091609817</x:v>
      </x:c>
      <x:c r="H297" s="24" t="n">
        <x:f>G297/100-1</x:f>
        <x:v>0.002993209160981669</x:v>
      </x:c>
      <x:c r="I297" s="26" t="n">
        <x:v>9</x:v>
      </x:c>
      <x:c r="J297" s="26" t="n">
        <x:v>3</x:v>
      </x:c>
      <x:c r="K297" s="7" t="b">
        <x:v>0</x:v>
      </x:c>
      <x:c r="L297" s="2" t="str">
        <x:v>May 2026</x:v>
      </x:c>
      <x:c r="M297" s="2" t="str">
        <x:v>https://www.genaiadoptiontracker.com/</x:v>
      </x:c>
    </x:row>
    <x:row r="298" ht="24" customHeight="1">
      <x:c r="A298" s="2" t="str">
        <x:v>RPS</x:v>
      </x:c>
      <x:c r="B298" s="2" t="str">
        <x:v>Halves</x:v>
      </x:c>
      <x:c r="C298" s="2" t="str">
        <x:v>Lower half</x:v>
      </x:c>
      <x:c r="D298" s="2" t="str">
        <x:v>2024Q3</x:v>
      </x:c>
      <x:c r="E298" s="20" t="n">
        <x:v>85384.9666666667</x:v>
      </x:c>
      <x:c r="F298" s="20" t="n">
        <x:f>$E$286</x:f>
        <x:v>83557.8</x:v>
      </x:c>
      <x:c r="G298" s="22" t="n">
        <x:f>100*E298/F298</x:f>
        <x:v>102.18670987827193</x:v>
      </x:c>
      <x:c r="H298" s="24" t="n">
        <x:f>G298/100-1</x:f>
        <x:v>0.021867098782719196</x:v>
      </x:c>
      <x:c r="I298" s="26" t="n">
        <x:v>9</x:v>
      </x:c>
      <x:c r="J298" s="26" t="n">
        <x:v>3</x:v>
      </x:c>
      <x:c r="K298" s="7" t="b">
        <x:v>0</x:v>
      </x:c>
      <x:c r="L298" s="2" t="str">
        <x:v>May 2026</x:v>
      </x:c>
      <x:c r="M298" s="2" t="str">
        <x:v>https://www.genaiadoptiontracker.com/</x:v>
      </x:c>
    </x:row>
    <x:row r="299" ht="24" customHeight="1">
      <x:c r="A299" s="2" t="str">
        <x:v>RPS</x:v>
      </x:c>
      <x:c r="B299" s="2" t="str">
        <x:v>Halves</x:v>
      </x:c>
      <x:c r="C299" s="2" t="str">
        <x:v>Higher half</x:v>
      </x:c>
      <x:c r="D299" s="2" t="str">
        <x:v>2024Q3</x:v>
      </x:c>
      <x:c r="E299" s="20" t="n">
        <x:v>48952.3</x:v>
      </x:c>
      <x:c r="F299" s="20" t="n">
        <x:f>$E$287</x:f>
        <x:v>48855.0333333333</x:v>
      </x:c>
      <x:c r="G299" s="22" t="n">
        <x:f>100*E299/F299</x:f>
        <x:v>100.19909241695336</x:v>
      </x:c>
      <x:c r="H299" s="24" t="n">
        <x:f>G299/100-1</x:f>
        <x:v>0.0019909241695337254</x:v>
      </x:c>
      <x:c r="I299" s="26" t="n">
        <x:v>9</x:v>
      </x:c>
      <x:c r="J299" s="26" t="n">
        <x:v>3</x:v>
      </x:c>
      <x:c r="K299" s="7" t="b">
        <x:v>0</x:v>
      </x:c>
      <x:c r="L299" s="2" t="str">
        <x:v>May 2026</x:v>
      </x:c>
      <x:c r="M299" s="2" t="str">
        <x:v>https://www.genaiadoptiontracker.com/</x:v>
      </x:c>
    </x:row>
    <x:row r="300" ht="24" customHeight="1">
      <x:c r="A300" s="2" t="str">
        <x:v>RPS</x:v>
      </x:c>
      <x:c r="B300" s="2" t="str">
        <x:v>Halves</x:v>
      </x:c>
      <x:c r="C300" s="2" t="str">
        <x:v>Lower half</x:v>
      </x:c>
      <x:c r="D300" s="2" t="str">
        <x:v>2024Q4</x:v>
      </x:c>
      <x:c r="E300" s="20" t="n">
        <x:v>85667.5</x:v>
      </x:c>
      <x:c r="F300" s="20" t="n">
        <x:f>$E$286</x:f>
        <x:v>83557.8</x:v>
      </x:c>
      <x:c r="G300" s="22" t="n">
        <x:f>100*E300/F300</x:f>
        <x:v>102.52483909341797</x:v>
      </x:c>
      <x:c r="H300" s="24" t="n">
        <x:f>G300/100-1</x:f>
        <x:v>0.025248390934179632</x:v>
      </x:c>
      <x:c r="I300" s="26" t="n">
        <x:v>9</x:v>
      </x:c>
      <x:c r="J300" s="26" t="n">
        <x:v>3</x:v>
      </x:c>
      <x:c r="K300" s="7" t="b">
        <x:v>0</x:v>
      </x:c>
      <x:c r="L300" s="2" t="str">
        <x:v>May 2026</x:v>
      </x:c>
      <x:c r="M300" s="2" t="str">
        <x:v>https://www.genaiadoptiontracker.com/</x:v>
      </x:c>
    </x:row>
    <x:row r="301" ht="24" customHeight="1">
      <x:c r="A301" s="2" t="str">
        <x:v>RPS</x:v>
      </x:c>
      <x:c r="B301" s="2" t="str">
        <x:v>Halves</x:v>
      </x:c>
      <x:c r="C301" s="2" t="str">
        <x:v>Higher half</x:v>
      </x:c>
      <x:c r="D301" s="2" t="str">
        <x:v>2024Q4</x:v>
      </x:c>
      <x:c r="E301" s="20" t="n">
        <x:v>48898.6666666667</x:v>
      </x:c>
      <x:c r="F301" s="20" t="n">
        <x:f>$E$287</x:f>
        <x:v>48855.0333333333</x:v>
      </x:c>
      <x:c r="G301" s="22" t="n">
        <x:f>100*E301/F301</x:f>
        <x:v>100.0893118484552</x:v>
      </x:c>
      <x:c r="H301" s="24" t="n">
        <x:f>G301/100-1</x:f>
        <x:v>0.0008931184845519802</x:v>
      </x:c>
      <x:c r="I301" s="26" t="n">
        <x:v>9</x:v>
      </x:c>
      <x:c r="J301" s="26" t="n">
        <x:v>3</x:v>
      </x:c>
      <x:c r="K301" s="7" t="b">
        <x:v>0</x:v>
      </x:c>
      <x:c r="L301" s="2" t="str">
        <x:v>May 2026</x:v>
      </x:c>
      <x:c r="M301" s="2" t="str">
        <x:v>https://www.genaiadoptiontracker.com/</x:v>
      </x:c>
    </x:row>
    <x:row r="302" ht="24" customHeight="1">
      <x:c r="A302" s="2" t="str">
        <x:v>RPS</x:v>
      </x:c>
      <x:c r="B302" s="2" t="str">
        <x:v>Halves</x:v>
      </x:c>
      <x:c r="C302" s="2" t="str">
        <x:v>Lower half</x:v>
      </x:c>
      <x:c r="D302" s="2" t="str">
        <x:v>2025Q1</x:v>
      </x:c>
      <x:c r="E302" s="20" t="n">
        <x:v>85855.6666666667</x:v>
      </x:c>
      <x:c r="F302" s="20" t="n">
        <x:f>$E$286</x:f>
        <x:v>83557.8</x:v>
      </x:c>
      <x:c r="G302" s="22" t="n">
        <x:f>100*E302/F302</x:f>
        <x:v>102.75003251242457</x:v>
      </x:c>
      <x:c r="H302" s="24" t="n">
        <x:f>G302/100-1</x:f>
        <x:v>0.027500325124245606</x:v>
      </x:c>
      <x:c r="I302" s="26" t="n">
        <x:v>9</x:v>
      </x:c>
      <x:c r="J302" s="26" t="n">
        <x:v>3</x:v>
      </x:c>
      <x:c r="K302" s="7" t="b">
        <x:v>0</x:v>
      </x:c>
      <x:c r="L302" s="2" t="str">
        <x:v>May 2026</x:v>
      </x:c>
      <x:c r="M302" s="2" t="str">
        <x:v>https://www.genaiadoptiontracker.com/</x:v>
      </x:c>
    </x:row>
    <x:row r="303" ht="24" customHeight="1">
      <x:c r="A303" s="2" t="str">
        <x:v>RPS</x:v>
      </x:c>
      <x:c r="B303" s="2" t="str">
        <x:v>Halves</x:v>
      </x:c>
      <x:c r="C303" s="2" t="str">
        <x:v>Higher half</x:v>
      </x:c>
      <x:c r="D303" s="2" t="str">
        <x:v>2025Q1</x:v>
      </x:c>
      <x:c r="E303" s="20" t="n">
        <x:v>48862.5666666667</x:v>
      </x:c>
      <x:c r="F303" s="20" t="n">
        <x:f>$E$287</x:f>
        <x:v>48855.0333333333</x:v>
      </x:c>
      <x:c r="G303" s="22" t="n">
        <x:f>100*E303/F303</x:f>
        <x:v>100.01541976909932</x:v>
      </x:c>
      <x:c r="H303" s="24" t="n">
        <x:f>G303/100-1</x:f>
        <x:v>0.00015419769099334069</x:v>
      </x:c>
      <x:c r="I303" s="26" t="n">
        <x:v>9</x:v>
      </x:c>
      <x:c r="J303" s="26" t="n">
        <x:v>3</x:v>
      </x:c>
      <x:c r="K303" s="7" t="b">
        <x:v>0</x:v>
      </x:c>
      <x:c r="L303" s="2" t="str">
        <x:v>May 2026</x:v>
      </x:c>
      <x:c r="M303" s="2" t="str">
        <x:v>https://www.genaiadoptiontracker.com/</x:v>
      </x:c>
    </x:row>
    <x:row r="304" ht="24" customHeight="1">
      <x:c r="A304" s="2" t="str">
        <x:v>RPS</x:v>
      </x:c>
      <x:c r="B304" s="2" t="str">
        <x:v>Halves</x:v>
      </x:c>
      <x:c r="C304" s="2" t="str">
        <x:v>Lower half</x:v>
      </x:c>
      <x:c r="D304" s="2" t="str">
        <x:v>2025Q2</x:v>
      </x:c>
      <x:c r="E304" s="20" t="n">
        <x:v>86026.8333333333</x:v>
      </x:c>
      <x:c r="F304" s="20" t="n">
        <x:f>$E$286</x:f>
        <x:v>83557.8</x:v>
      </x:c>
      <x:c r="G304" s="22" t="n">
        <x:f>100*E304/F304</x:f>
        <x:v>102.95488073325686</x:v>
      </x:c>
      <x:c r="H304" s="24" t="n">
        <x:f>G304/100-1</x:f>
        <x:v>0.029548807332568483</x:v>
      </x:c>
      <x:c r="I304" s="26" t="n">
        <x:v>9</x:v>
      </x:c>
      <x:c r="J304" s="26" t="n">
        <x:v>3</x:v>
      </x:c>
      <x:c r="K304" s="7" t="b">
        <x:v>0</x:v>
      </x:c>
      <x:c r="L304" s="2" t="str">
        <x:v>May 2026</x:v>
      </x:c>
      <x:c r="M304" s="2" t="str">
        <x:v>https://www.genaiadoptiontracker.com/</x:v>
      </x:c>
    </x:row>
    <x:row r="305" ht="24" customHeight="1">
      <x:c r="A305" s="2" t="str">
        <x:v>RPS</x:v>
      </x:c>
      <x:c r="B305" s="2" t="str">
        <x:v>Halves</x:v>
      </x:c>
      <x:c r="C305" s="2" t="str">
        <x:v>Higher half</x:v>
      </x:c>
      <x:c r="D305" s="2" t="str">
        <x:v>2025Q2</x:v>
      </x:c>
      <x:c r="E305" s="20" t="n">
        <x:v>48846.2333333333</x:v>
      </x:c>
      <x:c r="F305" s="20" t="n">
        <x:f>$E$287</x:f>
        <x:v>48855.0333333333</x:v>
      </x:c>
      <x:c r="G305" s="22" t="n">
        <x:f>100*E305/F305</x:f>
        <x:v>99.98198752636202</x:v>
      </x:c>
      <x:c r="H305" s="24" t="n">
        <x:f>G305/100-1</x:f>
        <x:v>-0.00018012473637984971</x:v>
      </x:c>
      <x:c r="I305" s="26" t="n">
        <x:v>9</x:v>
      </x:c>
      <x:c r="J305" s="26" t="n">
        <x:v>3</x:v>
      </x:c>
      <x:c r="K305" s="7" t="b">
        <x:v>0</x:v>
      </x:c>
      <x:c r="L305" s="2" t="str">
        <x:v>May 2026</x:v>
      </x:c>
      <x:c r="M305" s="2" t="str">
        <x:v>https://www.genaiadoptiontracker.com/</x:v>
      </x:c>
    </x:row>
    <x:row r="306" ht="24" customHeight="1">
      <x:c r="A306" s="2" t="str">
        <x:v>RPS</x:v>
      </x:c>
      <x:c r="B306" s="2" t="str">
        <x:v>Halves</x:v>
      </x:c>
      <x:c r="C306" s="2" t="str">
        <x:v>Lower half</x:v>
      </x:c>
      <x:c r="D306" s="2" t="str">
        <x:v>2025Q3</x:v>
      </x:c>
      <x:c r="E306" s="20" t="n">
        <x:v>86161.4333333333</x:v>
      </x:c>
      <x:c r="F306" s="20" t="n">
        <x:f>$E$286</x:f>
        <x:v>83557.8</x:v>
      </x:c>
      <x:c r="G306" s="22" t="n">
        <x:f>100*E306/F306</x:f>
        <x:v>103.11596683174199</x:v>
      </x:c>
      <x:c r="H306" s="24" t="n">
        <x:f>G306/100-1</x:f>
        <x:v>0.031159668317419786</x:v>
      </x:c>
      <x:c r="I306" s="26" t="n">
        <x:v>9</x:v>
      </x:c>
      <x:c r="J306" s="26" t="n">
        <x:v>3</x:v>
      </x:c>
      <x:c r="K306" s="7" t="b">
        <x:v>0</x:v>
      </x:c>
      <x:c r="L306" s="2" t="str">
        <x:v>May 2026</x:v>
      </x:c>
      <x:c r="M306" s="2" t="str">
        <x:v>https://www.genaiadoptiontracker.com/</x:v>
      </x:c>
    </x:row>
    <x:row r="307" ht="24" customHeight="1">
      <x:c r="A307" s="2" t="str">
        <x:v>RPS</x:v>
      </x:c>
      <x:c r="B307" s="2" t="str">
        <x:v>Halves</x:v>
      </x:c>
      <x:c r="C307" s="2" t="str">
        <x:v>Higher half</x:v>
      </x:c>
      <x:c r="D307" s="2" t="str">
        <x:v>2025Q3</x:v>
      </x:c>
      <x:c r="E307" s="20" t="n">
        <x:v>48764.5333333333</x:v>
      </x:c>
      <x:c r="F307" s="20" t="n">
        <x:f>$E$287</x:f>
        <x:v>48855.0333333333</x:v>
      </x:c>
      <x:c r="G307" s="22" t="n">
        <x:f>100*E307/F307</x:f>
        <x:v>99.81475808360925</x:v>
      </x:c>
      <x:c r="H307" s="24" t="n">
        <x:f>G307/100-1</x:f>
        <x:v>-0.0018524191639075482</x:v>
      </x:c>
      <x:c r="I307" s="26" t="n">
        <x:v>9</x:v>
      </x:c>
      <x:c r="J307" s="26" t="n">
        <x:v>3</x:v>
      </x:c>
      <x:c r="K307" s="7" t="b">
        <x:v>0</x:v>
      </x:c>
      <x:c r="L307" s="2" t="str">
        <x:v>May 2026</x:v>
      </x:c>
      <x:c r="M307" s="2" t="str">
        <x:v>https://www.genaiadoptiontracker.com/</x:v>
      </x:c>
    </x:row>
    <x:row r="308" ht="24" customHeight="1">
      <x:c r="A308" s="2" t="str">
        <x:v>RPS</x:v>
      </x:c>
      <x:c r="B308" s="2" t="str">
        <x:v>Halves</x:v>
      </x:c>
      <x:c r="C308" s="2" t="str">
        <x:v>Lower half</x:v>
      </x:c>
      <x:c r="D308" s="2" t="str">
        <x:v>2025Q4</x:v>
      </x:c>
      <x:c r="E308" s="20" t="n">
        <x:v>86304.7666666667</x:v>
      </x:c>
      <x:c r="F308" s="20" t="n">
        <x:f>$E$286</x:f>
        <x:v>83557.8</x:v>
      </x:c>
      <x:c r="G308" s="22" t="n">
        <x:f>100*E308/F308</x:f>
        <x:v>103.28750477713236</x:v>
      </x:c>
      <x:c r="H308" s="24" t="n">
        <x:f>G308/100-1</x:f>
        <x:v>0.03287504777132355</x:v>
      </x:c>
      <x:c r="I308" s="26" t="n">
        <x:v>9</x:v>
      </x:c>
      <x:c r="J308" s="26" t="n">
        <x:v>3</x:v>
      </x:c>
      <x:c r="K308" s="7" t="b">
        <x:v>0</x:v>
      </x:c>
      <x:c r="L308" s="2" t="str">
        <x:v>May 2026</x:v>
      </x:c>
      <x:c r="M308" s="2" t="str">
        <x:v>https://www.genaiadoptiontracker.com/</x:v>
      </x:c>
    </x:row>
    <x:row r="309" ht="24" customHeight="1">
      <x:c r="A309" s="2" t="str">
        <x:v>RPS</x:v>
      </x:c>
      <x:c r="B309" s="2" t="str">
        <x:v>Halves</x:v>
      </x:c>
      <x:c r="C309" s="2" t="str">
        <x:v>Higher half</x:v>
      </x:c>
      <x:c r="D309" s="2" t="str">
        <x:v>2025Q4</x:v>
      </x:c>
      <x:c r="E309" s="20" t="n">
        <x:v>48720.7333333333</x:v>
      </x:c>
      <x:c r="F309" s="20" t="n">
        <x:f>$E$287</x:f>
        <x:v>48855.0333333333</x:v>
      </x:c>
      <x:c r="G309" s="22" t="n">
        <x:f>100*E309/F309</x:f>
        <x:v>99.72510508982016</x:v>
      </x:c>
      <x:c r="H309" s="24" t="n">
        <x:f>G309/100-1</x:f>
        <x:v>-0.002748949101798348</x:v>
      </x:c>
      <x:c r="I309" s="26" t="n">
        <x:v>9</x:v>
      </x:c>
      <x:c r="J309" s="26" t="n">
        <x:v>3</x:v>
      </x:c>
      <x:c r="K309" s="7" t="b">
        <x:v>0</x:v>
      </x:c>
      <x:c r="L309" s="2" t="str">
        <x:v>May 2026</x:v>
      </x:c>
      <x:c r="M309" s="2" t="str">
        <x:v>https://www.genaiadoptiontracker.com/</x:v>
      </x:c>
    </x:row>
    <x:row r="310" ht="24" customHeight="1">
      <x:c r="A310" s="2" t="str">
        <x:v>RPS</x:v>
      </x:c>
      <x:c r="B310" s="2" t="str">
        <x:v>Halves</x:v>
      </x:c>
      <x:c r="C310" s="2" t="str">
        <x:v>Lower half</x:v>
      </x:c>
      <x:c r="D310" s="2" t="str">
        <x:v>2026Q1</x:v>
      </x:c>
      <x:c r="E310" s="20" t="n">
        <x:v>86552.4666666667</x:v>
      </x:c>
      <x:c r="F310" s="20" t="n">
        <x:f>$E$286</x:f>
        <x:v>83557.8</x:v>
      </x:c>
      <x:c r="G310" s="22" t="n">
        <x:f>100*E310/F310</x:f>
        <x:v>103.58394628229405</x:v>
      </x:c>
      <x:c r="H310" s="24" t="n">
        <x:f>G310/100-1</x:f>
        <x:v>0.03583946282294059</x:v>
      </x:c>
      <x:c r="I310" s="26" t="n">
        <x:v>9</x:v>
      </x:c>
      <x:c r="J310" s="26" t="n">
        <x:v>3</x:v>
      </x:c>
      <x:c r="K310" s="7" t="b">
        <x:v>0</x:v>
      </x:c>
      <x:c r="L310" s="2" t="str">
        <x:v>May 2026</x:v>
      </x:c>
      <x:c r="M310" s="2" t="str">
        <x:v>https://www.genaiadoptiontracker.com/</x:v>
      </x:c>
    </x:row>
    <x:row r="311" ht="24" customHeight="1">
      <x:c r="A311" s="2" t="str">
        <x:v>RPS</x:v>
      </x:c>
      <x:c r="B311" s="2" t="str">
        <x:v>Halves</x:v>
      </x:c>
      <x:c r="C311" s="2" t="str">
        <x:v>Higher half</x:v>
      </x:c>
      <x:c r="D311" s="2" t="str">
        <x:v>2026Q1</x:v>
      </x:c>
      <x:c r="E311" s="20" t="n">
        <x:v>48642.3</x:v>
      </x:c>
      <x:c r="F311" s="20" t="n">
        <x:f>$E$287</x:f>
        <x:v>48855.0333333333</x:v>
      </x:c>
      <x:c r="G311" s="22" t="n">
        <x:f>100*E311/F311</x:f>
        <x:v>99.56456209561493</x:v>
      </x:c>
      <x:c r="H311" s="24" t="n">
        <x:f>G311/100-1</x:f>
        <x:v>-0.00435437904385072</x:v>
      </x:c>
      <x:c r="I311" s="26" t="n">
        <x:v>9</x:v>
      </x:c>
      <x:c r="J311" s="26" t="n">
        <x:v>3</x:v>
      </x:c>
      <x:c r="K311" s="7" t="b">
        <x:v>0</x:v>
      </x:c>
      <x:c r="L311" s="2" t="str">
        <x:v>May 2026</x:v>
      </x:c>
      <x:c r="M311" s="2" t="str">
        <x:v>https://www.genaiadoptiontracker.com/</x:v>
      </x:c>
    </x:row>
    <x:row r="312" ht="24" customHeight="1">
      <x:c r="A312" s="2" t="str">
        <x:v>RPS</x:v>
      </x:c>
      <x:c r="B312" s="2" t="str">
        <x:v>Halves</x:v>
      </x:c>
      <x:c r="C312" s="2" t="str">
        <x:v>Lower half</x:v>
      </x:c>
      <x:c r="D312" s="2" t="str">
        <x:v>2026Q2</x:v>
      </x:c>
      <x:c r="E312" s="20" t="n">
        <x:v>86846.8</x:v>
      </x:c>
      <x:c r="F312" s="20" t="n">
        <x:f>$E$286</x:f>
        <x:v>83557.8</x:v>
      </x:c>
      <x:c r="G312" s="22" t="n">
        <x:f>100*E312/F312</x:f>
        <x:v>103.93619745852571</x:v>
      </x:c>
      <x:c r="H312" s="24" t="n">
        <x:f>G312/100-1</x:f>
        <x:v>0.03936197458525714</x:v>
      </x:c>
      <x:c r="I312" s="26" t="n">
        <x:v>9</x:v>
      </x:c>
      <x:c r="J312" s="26" t="n">
        <x:v>3</x:v>
      </x:c>
      <x:c r="K312" s="7" t="b">
        <x:v>0</x:v>
      </x:c>
      <x:c r="L312" s="2" t="str">
        <x:v>May 2026</x:v>
      </x:c>
      <x:c r="M312" s="2" t="str">
        <x:v>https://www.genaiadoptiontracker.com/</x:v>
      </x:c>
    </x:row>
    <x:row r="313" ht="24" customHeight="1">
      <x:c r="A313" s="2" t="str">
        <x:v>RPS</x:v>
      </x:c>
      <x:c r="B313" s="2" t="str">
        <x:v>Halves</x:v>
      </x:c>
      <x:c r="C313" s="2" t="str">
        <x:v>Higher half</x:v>
      </x:c>
      <x:c r="D313" s="2" t="str">
        <x:v>2026Q2</x:v>
      </x:c>
      <x:c r="E313" s="20" t="n">
        <x:v>48630.1333333333</x:v>
      </x:c>
      <x:c r="F313" s="20" t="n">
        <x:f>$E$287</x:f>
        <x:v>48855.0333333333</x:v>
      </x:c>
      <x:c r="G313" s="22" t="n">
        <x:f>100*E313/F313</x:f>
        <x:v>99.539658486229</x:v>
      </x:c>
      <x:c r="H313" s="24" t="n">
        <x:f>G313/100-1</x:f>
        <x:v>-0.00460341513771001</x:v>
      </x:c>
      <x:c r="I313" s="26" t="n">
        <x:v>9</x:v>
      </x:c>
      <x:c r="J313" s="26" t="n">
        <x:v>3</x:v>
      </x:c>
      <x:c r="K313" s="7" t="b">
        <x:v>0</x:v>
      </x:c>
      <x:c r="L313" s="2" t="str">
        <x:v>May 2026</x:v>
      </x:c>
      <x:c r="M313" s="2" t="str">
        <x:v>https://www.genaiadoptiontracker.com/</x:v>
      </x:c>
    </x:row>
    <x:row r="314" ht="24" customHeight="1">
      <x:c r="A314" s="2" t="str">
        <x:v>Ramp</x:v>
      </x:c>
      <x:c r="B314" s="2" t="str">
        <x:v>Quartiles</x:v>
      </x:c>
      <x:c r="C314" s="2" t="str">
        <x:v>Q1</x:v>
      </x:c>
      <x:c r="D314" s="2" t="str">
        <x:v>2023Q1</x:v>
      </x:c>
      <x:c r="E314" s="20" t="n">
        <x:v>51302.6333333333</x:v>
      </x:c>
      <x:c r="F314" s="20" t="n">
        <x:f>$E$314</x:f>
        <x:v>51302.6333333333</x:v>
      </x:c>
      <x:c r="G314" s="22" t="n">
        <x:f>100*E314/F314</x:f>
        <x:v>100</x:v>
      </x:c>
      <x:c r="H314" s="24" t="n">
        <x:f>G314/100-1</x:f>
        <x:v>0</x:v>
      </x:c>
      <x:c r="I314" s="26" t="n">
        <x:v>5</x:v>
      </x:c>
      <x:c r="J314" s="26" t="n">
        <x:v>3</x:v>
      </x:c>
      <x:c r="K314" s="7" t="b">
        <x:v>0</x:v>
      </x:c>
      <x:c r="L314" s="2" t="str">
        <x:v>April 2026</x:v>
      </x:c>
      <x:c r="M314" s="2" t="str">
        <x:v>https://datawrapper.dwcdn.net/wQR5S/23/dataset.csv</x:v>
      </x:c>
    </x:row>
    <x:row r="315" ht="24" customHeight="1">
      <x:c r="A315" s="2" t="str">
        <x:v>Ramp</x:v>
      </x:c>
      <x:c r="B315" s="2" t="str">
        <x:v>Quartiles</x:v>
      </x:c>
      <x:c r="C315" s="2" t="str">
        <x:v>Q2</x:v>
      </x:c>
      <x:c r="D315" s="2" t="str">
        <x:v>2023Q1</x:v>
      </x:c>
      <x:c r="E315" s="20" t="n">
        <x:v>25190.5666666667</x:v>
      </x:c>
      <x:c r="F315" s="20" t="n">
        <x:f>$E$315</x:f>
        <x:v>25190.5666666667</x:v>
      </x:c>
      <x:c r="G315" s="22" t="n">
        <x:f>100*E315/F315</x:f>
        <x:v>100</x:v>
      </x:c>
      <x:c r="H315" s="24" t="n">
        <x:f>G315/100-1</x:f>
        <x:v>0</x:v>
      </x:c>
      <x:c r="I315" s="26" t="n">
        <x:v>4</x:v>
      </x:c>
      <x:c r="J315" s="26" t="n">
        <x:v>3</x:v>
      </x:c>
      <x:c r="K315" s="7" t="b">
        <x:v>0</x:v>
      </x:c>
      <x:c r="L315" s="2" t="str">
        <x:v>April 2026</x:v>
      </x:c>
      <x:c r="M315" s="2" t="str">
        <x:v>https://datawrapper.dwcdn.net/wQR5S/23/dataset.csv</x:v>
      </x:c>
    </x:row>
    <x:row r="316" ht="24" customHeight="1">
      <x:c r="A316" s="2" t="str">
        <x:v>Ramp</x:v>
      </x:c>
      <x:c r="B316" s="2" t="str">
        <x:v>Quartiles</x:v>
      </x:c>
      <x:c r="C316" s="2" t="str">
        <x:v>Q3</x:v>
      </x:c>
      <x:c r="D316" s="2" t="str">
        <x:v>2023Q1</x:v>
      </x:c>
      <x:c r="E316" s="20" t="n">
        <x:v>32270.7333333333</x:v>
      </x:c>
      <x:c r="F316" s="20" t="n">
        <x:f>$E$316</x:f>
        <x:v>32270.7333333333</x:v>
      </x:c>
      <x:c r="G316" s="22" t="n">
        <x:f>100*E316/F316</x:f>
        <x:v>100</x:v>
      </x:c>
      <x:c r="H316" s="24" t="n">
        <x:f>G316/100-1</x:f>
        <x:v>0</x:v>
      </x:c>
      <x:c r="I316" s="26" t="n">
        <x:v>4</x:v>
      </x:c>
      <x:c r="J316" s="26" t="n">
        <x:v>3</x:v>
      </x:c>
      <x:c r="K316" s="7" t="b">
        <x:v>0</x:v>
      </x:c>
      <x:c r="L316" s="2" t="str">
        <x:v>April 2026</x:v>
      </x:c>
      <x:c r="M316" s="2" t="str">
        <x:v>https://datawrapper.dwcdn.net/wQR5S/23/dataset.csv</x:v>
      </x:c>
    </x:row>
    <x:row r="317" ht="24" customHeight="1">
      <x:c r="A317" s="2" t="str">
        <x:v>Ramp</x:v>
      </x:c>
      <x:c r="B317" s="2" t="str">
        <x:v>Quartiles</x:v>
      </x:c>
      <x:c r="C317" s="2" t="str">
        <x:v>Q4</x:v>
      </x:c>
      <x:c r="D317" s="2" t="str">
        <x:v>2023Q1</x:v>
      </x:c>
      <x:c r="E317" s="20" t="n">
        <x:v>23648.9</x:v>
      </x:c>
      <x:c r="F317" s="20" t="n">
        <x:f>$E$317</x:f>
        <x:v>23648.9</x:v>
      </x:c>
      <x:c r="G317" s="22" t="n">
        <x:f>100*E317/F317</x:f>
        <x:v>100</x:v>
      </x:c>
      <x:c r="H317" s="24" t="n">
        <x:f>G317/100-1</x:f>
        <x:v>0</x:v>
      </x:c>
      <x:c r="I317" s="26" t="n">
        <x:v>5</x:v>
      </x:c>
      <x:c r="J317" s="26" t="n">
        <x:v>3</x:v>
      </x:c>
      <x:c r="K317" s="7" t="b">
        <x:v>0</x:v>
      </x:c>
      <x:c r="L317" s="2" t="str">
        <x:v>April 2026</x:v>
      </x:c>
      <x:c r="M317" s="2" t="str">
        <x:v>https://datawrapper.dwcdn.net/wQR5S/23/dataset.csv</x:v>
      </x:c>
    </x:row>
    <x:row r="318" ht="24" customHeight="1">
      <x:c r="A318" s="2" t="str">
        <x:v>Ramp</x:v>
      </x:c>
      <x:c r="B318" s="2" t="str">
        <x:v>Quartiles</x:v>
      </x:c>
      <x:c r="C318" s="2" t="str">
        <x:v>Q1</x:v>
      </x:c>
      <x:c r="D318" s="2" t="str">
        <x:v>2023Q2</x:v>
      </x:c>
      <x:c r="E318" s="20" t="n">
        <x:v>51712.9333333333</x:v>
      </x:c>
      <x:c r="F318" s="20" t="n">
        <x:f>$E$314</x:f>
        <x:v>51302.6333333333</x:v>
      </x:c>
      <x:c r="G318" s="22" t="n">
        <x:f>100*E318/F318</x:f>
        <x:v>100.7997640147127</x:v>
      </x:c>
      <x:c r="H318" s="24" t="n">
        <x:f>G318/100-1</x:f>
        <x:v>0.007997640147126894</x:v>
      </x:c>
      <x:c r="I318" s="26" t="n">
        <x:v>5</x:v>
      </x:c>
      <x:c r="J318" s="26" t="n">
        <x:v>3</x:v>
      </x:c>
      <x:c r="K318" s="7" t="b">
        <x:v>0</x:v>
      </x:c>
      <x:c r="L318" s="2" t="str">
        <x:v>April 2026</x:v>
      </x:c>
      <x:c r="M318" s="2" t="str">
        <x:v>https://datawrapper.dwcdn.net/wQR5S/23/dataset.csv</x:v>
      </x:c>
    </x:row>
    <x:row r="319" ht="24" customHeight="1">
      <x:c r="A319" s="2" t="str">
        <x:v>Ramp</x:v>
      </x:c>
      <x:c r="B319" s="2" t="str">
        <x:v>Quartiles</x:v>
      </x:c>
      <x:c r="C319" s="2" t="str">
        <x:v>Q2</x:v>
      </x:c>
      <x:c r="D319" s="2" t="str">
        <x:v>2023Q2</x:v>
      </x:c>
      <x:c r="E319" s="20" t="n">
        <x:v>25185.6666666667</x:v>
      </x:c>
      <x:c r="F319" s="20" t="n">
        <x:f>$E$315</x:f>
        <x:v>25190.5666666667</x:v>
      </x:c>
      <x:c r="G319" s="22" t="n">
        <x:f>100*E319/F319</x:f>
        <x:v>99.98054827402323</x:v>
      </x:c>
      <x:c r="H319" s="24" t="n">
        <x:f>G319/100-1</x:f>
        <x:v>-0.00019451725976760148</x:v>
      </x:c>
      <x:c r="I319" s="26" t="n">
        <x:v>4</x:v>
      </x:c>
      <x:c r="J319" s="26" t="n">
        <x:v>3</x:v>
      </x:c>
      <x:c r="K319" s="7" t="b">
        <x:v>0</x:v>
      </x:c>
      <x:c r="L319" s="2" t="str">
        <x:v>April 2026</x:v>
      </x:c>
      <x:c r="M319" s="2" t="str">
        <x:v>https://datawrapper.dwcdn.net/wQR5S/23/dataset.csv</x:v>
      </x:c>
    </x:row>
    <x:row r="320" ht="24" customHeight="1">
      <x:c r="A320" s="2" t="str">
        <x:v>Ramp</x:v>
      </x:c>
      <x:c r="B320" s="2" t="str">
        <x:v>Quartiles</x:v>
      </x:c>
      <x:c r="C320" s="2" t="str">
        <x:v>Q3</x:v>
      </x:c>
      <x:c r="D320" s="2" t="str">
        <x:v>2023Q2</x:v>
      </x:c>
      <x:c r="E320" s="20" t="n">
        <x:v>32263.3666666667</x:v>
      </x:c>
      <x:c r="F320" s="20" t="n">
        <x:f>$E$316</x:f>
        <x:v>32270.7333333333</x:v>
      </x:c>
      <x:c r="G320" s="22" t="n">
        <x:f>100*E320/F320</x:f>
        <x:v>99.97717229853284</x:v>
      </x:c>
      <x:c r="H320" s="24" t="n">
        <x:f>G320/100-1</x:f>
        <x:v>-0.00022827701467165173</x:v>
      </x:c>
      <x:c r="I320" s="26" t="n">
        <x:v>4</x:v>
      </x:c>
      <x:c r="J320" s="26" t="n">
        <x:v>3</x:v>
      </x:c>
      <x:c r="K320" s="7" t="b">
        <x:v>0</x:v>
      </x:c>
      <x:c r="L320" s="2" t="str">
        <x:v>April 2026</x:v>
      </x:c>
      <x:c r="M320" s="2" t="str">
        <x:v>https://datawrapper.dwcdn.net/wQR5S/23/dataset.csv</x:v>
      </x:c>
    </x:row>
    <x:row r="321" ht="24" customHeight="1">
      <x:c r="A321" s="2" t="str">
        <x:v>Ramp</x:v>
      </x:c>
      <x:c r="B321" s="2" t="str">
        <x:v>Quartiles</x:v>
      </x:c>
      <x:c r="C321" s="2" t="str">
        <x:v>Q4</x:v>
      </x:c>
      <x:c r="D321" s="2" t="str">
        <x:v>2023Q2</x:v>
      </x:c>
      <x:c r="E321" s="20" t="n">
        <x:v>23710.4333333333</x:v>
      </x:c>
      <x:c r="F321" s="20" t="n">
        <x:f>$E$317</x:f>
        <x:v>23648.9</x:v>
      </x:c>
      <x:c r="G321" s="22" t="n">
        <x:f>100*E321/F321</x:f>
        <x:v>100.2601953297333</x:v>
      </x:c>
      <x:c r="H321" s="24" t="n">
        <x:f>G321/100-1</x:f>
        <x:v>0.0026019532973331483</x:v>
      </x:c>
      <x:c r="I321" s="26" t="n">
        <x:v>5</x:v>
      </x:c>
      <x:c r="J321" s="26" t="n">
        <x:v>3</x:v>
      </x:c>
      <x:c r="K321" s="7" t="b">
        <x:v>0</x:v>
      </x:c>
      <x:c r="L321" s="2" t="str">
        <x:v>April 2026</x:v>
      </x:c>
      <x:c r="M321" s="2" t="str">
        <x:v>https://datawrapper.dwcdn.net/wQR5S/23/dataset.csv</x:v>
      </x:c>
    </x:row>
    <x:row r="322" ht="24" customHeight="1">
      <x:c r="A322" s="2" t="str">
        <x:v>Ramp</x:v>
      </x:c>
      <x:c r="B322" s="2" t="str">
        <x:v>Quartiles</x:v>
      </x:c>
      <x:c r="C322" s="2" t="str">
        <x:v>Q1</x:v>
      </x:c>
      <x:c r="D322" s="2" t="str">
        <x:v>2023Q3</x:v>
      </x:c>
      <x:c r="E322" s="20" t="n">
        <x:v>52212.9333333333</x:v>
      </x:c>
      <x:c r="F322" s="20" t="n">
        <x:f>$E$314</x:f>
        <x:v>51302.6333333333</x:v>
      </x:c>
      <x:c r="G322" s="22" t="n">
        <x:f>100*E322/F322</x:f>
        <x:v>101.77437285545446</x:v>
      </x:c>
      <x:c r="H322" s="24" t="n">
        <x:f>G322/100-1</x:f>
        <x:v>0.017743728554544536</x:v>
      </x:c>
      <x:c r="I322" s="26" t="n">
        <x:v>5</x:v>
      </x:c>
      <x:c r="J322" s="26" t="n">
        <x:v>3</x:v>
      </x:c>
      <x:c r="K322" s="7" t="b">
        <x:v>0</x:v>
      </x:c>
      <x:c r="L322" s="2" t="str">
        <x:v>April 2026</x:v>
      </x:c>
      <x:c r="M322" s="2" t="str">
        <x:v>https://datawrapper.dwcdn.net/wQR5S/23/dataset.csv</x:v>
      </x:c>
    </x:row>
    <x:row r="323" ht="24" customHeight="1">
      <x:c r="A323" s="2" t="str">
        <x:v>Ramp</x:v>
      </x:c>
      <x:c r="B323" s="2" t="str">
        <x:v>Quartiles</x:v>
      </x:c>
      <x:c r="C323" s="2" t="str">
        <x:v>Q2</x:v>
      </x:c>
      <x:c r="D323" s="2" t="str">
        <x:v>2023Q3</x:v>
      </x:c>
      <x:c r="E323" s="20" t="n">
        <x:v>25179.7</x:v>
      </x:c>
      <x:c r="F323" s="20" t="n">
        <x:f>$E$315</x:f>
        <x:v>25190.5666666667</x:v>
      </x:c>
      <x:c r="G323" s="22" t="n">
        <x:f>100*E323/F323</x:f>
        <x:v>99.95686215871802</x:v>
      </x:c>
      <x:c r="H323" s="24" t="n">
        <x:f>G323/100-1</x:f>
        <x:v>-0.0004313784128197051</x:v>
      </x:c>
      <x:c r="I323" s="26" t="n">
        <x:v>4</x:v>
      </x:c>
      <x:c r="J323" s="26" t="n">
        <x:v>3</x:v>
      </x:c>
      <x:c r="K323" s="7" t="b">
        <x:v>0</x:v>
      </x:c>
      <x:c r="L323" s="2" t="str">
        <x:v>April 2026</x:v>
      </x:c>
      <x:c r="M323" s="2" t="str">
        <x:v>https://datawrapper.dwcdn.net/wQR5S/23/dataset.csv</x:v>
      </x:c>
    </x:row>
    <x:row r="324" ht="24" customHeight="1">
      <x:c r="A324" s="2" t="str">
        <x:v>Ramp</x:v>
      </x:c>
      <x:c r="B324" s="2" t="str">
        <x:v>Quartiles</x:v>
      </x:c>
      <x:c r="C324" s="2" t="str">
        <x:v>Q3</x:v>
      </x:c>
      <x:c r="D324" s="2" t="str">
        <x:v>2023Q3</x:v>
      </x:c>
      <x:c r="E324" s="20" t="n">
        <x:v>32216.9</x:v>
      </x:c>
      <x:c r="F324" s="20" t="n">
        <x:f>$E$316</x:f>
        <x:v>32270.7333333333</x:v>
      </x:c>
      <x:c r="G324" s="22" t="n">
        <x:f>100*E324/F324</x:f>
        <x:v>99.83318218158465</x:v>
      </x:c>
      <x:c r="H324" s="24" t="n">
        <x:f>G324/100-1</x:f>
        <x:v>-0.001668178184153546</x:v>
      </x:c>
      <x:c r="I324" s="26" t="n">
        <x:v>4</x:v>
      </x:c>
      <x:c r="J324" s="26" t="n">
        <x:v>3</x:v>
      </x:c>
      <x:c r="K324" s="7" t="b">
        <x:v>0</x:v>
      </x:c>
      <x:c r="L324" s="2" t="str">
        <x:v>April 2026</x:v>
      </x:c>
      <x:c r="M324" s="2" t="str">
        <x:v>https://datawrapper.dwcdn.net/wQR5S/23/dataset.csv</x:v>
      </x:c>
    </x:row>
    <x:row r="325" ht="24" customHeight="1">
      <x:c r="A325" s="2" t="str">
        <x:v>Ramp</x:v>
      </x:c>
      <x:c r="B325" s="2" t="str">
        <x:v>Quartiles</x:v>
      </x:c>
      <x:c r="C325" s="2" t="str">
        <x:v>Q4</x:v>
      </x:c>
      <x:c r="D325" s="2" t="str">
        <x:v>2023Q3</x:v>
      </x:c>
      <x:c r="E325" s="20" t="n">
        <x:v>23687.3666666667</x:v>
      </x:c>
      <x:c r="F325" s="20" t="n">
        <x:f>$E$317</x:f>
        <x:v>23648.9</x:v>
      </x:c>
      <x:c r="G325" s="22" t="n">
        <x:f>100*E325/F325</x:f>
        <x:v>100.16265731880426</x:v>
      </x:c>
      <x:c r="H325" s="24" t="n">
        <x:f>G325/100-1</x:f>
        <x:v>0.0016265731880427126</x:v>
      </x:c>
      <x:c r="I325" s="26" t="n">
        <x:v>5</x:v>
      </x:c>
      <x:c r="J325" s="26" t="n">
        <x:v>3</x:v>
      </x:c>
      <x:c r="K325" s="7" t="b">
        <x:v>0</x:v>
      </x:c>
      <x:c r="L325" s="2" t="str">
        <x:v>April 2026</x:v>
      </x:c>
      <x:c r="M325" s="2" t="str">
        <x:v>https://datawrapper.dwcdn.net/wQR5S/23/dataset.csv</x:v>
      </x:c>
    </x:row>
    <x:row r="326" ht="24" customHeight="1">
      <x:c r="A326" s="2" t="str">
        <x:v>Ramp</x:v>
      </x:c>
      <x:c r="B326" s="2" t="str">
        <x:v>Quartiles</x:v>
      </x:c>
      <x:c r="C326" s="2" t="str">
        <x:v>Q1</x:v>
      </x:c>
      <x:c r="D326" s="2" t="str">
        <x:v>2023Q4</x:v>
      </x:c>
      <x:c r="E326" s="20" t="n">
        <x:v>52620.9666666667</x:v>
      </x:c>
      <x:c r="F326" s="20" t="n">
        <x:f>$E$314</x:f>
        <x:v>51302.6333333333</x:v>
      </x:c>
      <x:c r="G326" s="22" t="n">
        <x:f>100*E326/F326</x:f>
        <x:v>102.5697186434226</x:v>
      </x:c>
      <x:c r="H326" s="24" t="n">
        <x:f>G326/100-1</x:f>
        <x:v>0.025697186434226138</x:v>
      </x:c>
      <x:c r="I326" s="26" t="n">
        <x:v>5</x:v>
      </x:c>
      <x:c r="J326" s="26" t="n">
        <x:v>3</x:v>
      </x:c>
      <x:c r="K326" s="7" t="b">
        <x:v>0</x:v>
      </x:c>
      <x:c r="L326" s="2" t="str">
        <x:v>April 2026</x:v>
      </x:c>
      <x:c r="M326" s="2" t="str">
        <x:v>https://datawrapper.dwcdn.net/wQR5S/23/dataset.csv</x:v>
      </x:c>
    </x:row>
    <x:row r="327" ht="24" customHeight="1">
      <x:c r="A327" s="2" t="str">
        <x:v>Ramp</x:v>
      </x:c>
      <x:c r="B327" s="2" t="str">
        <x:v>Quartiles</x:v>
      </x:c>
      <x:c r="C327" s="2" t="str">
        <x:v>Q2</x:v>
      </x:c>
      <x:c r="D327" s="2" t="str">
        <x:v>2023Q4</x:v>
      </x:c>
      <x:c r="E327" s="20" t="n">
        <x:v>25191.6333333333</x:v>
      </x:c>
      <x:c r="F327" s="20" t="n">
        <x:f>$E$315</x:f>
        <x:v>25190.5666666667</x:v>
      </x:c>
      <x:c r="G327" s="22" t="n">
        <x:f>100*E327/F327</x:f>
        <x:v>100.00423438932802</x:v>
      </x:c>
      <x:c r="H327" s="24" t="n">
        <x:f>G327/100-1</x:f>
        <x:v>0.000042343893280172296</x:v>
      </x:c>
      <x:c r="I327" s="26" t="n">
        <x:v>4</x:v>
      </x:c>
      <x:c r="J327" s="26" t="n">
        <x:v>3</x:v>
      </x:c>
      <x:c r="K327" s="7" t="b">
        <x:v>0</x:v>
      </x:c>
      <x:c r="L327" s="2" t="str">
        <x:v>April 2026</x:v>
      </x:c>
      <x:c r="M327" s="2" t="str">
        <x:v>https://datawrapper.dwcdn.net/wQR5S/23/dataset.csv</x:v>
      </x:c>
    </x:row>
    <x:row r="328" ht="24" customHeight="1">
      <x:c r="A328" s="2" t="str">
        <x:v>Ramp</x:v>
      </x:c>
      <x:c r="B328" s="2" t="str">
        <x:v>Quartiles</x:v>
      </x:c>
      <x:c r="C328" s="2" t="str">
        <x:v>Q3</x:v>
      </x:c>
      <x:c r="D328" s="2" t="str">
        <x:v>2023Q4</x:v>
      </x:c>
      <x:c r="E328" s="20" t="n">
        <x:v>32164.4666666667</x:v>
      </x:c>
      <x:c r="F328" s="20" t="n">
        <x:f>$E$316</x:f>
        <x:v>32270.7333333333</x:v>
      </x:c>
      <x:c r="G328" s="22" t="n">
        <x:f>100*E328/F328</x:f>
        <x:v>99.67070265937578</x:v>
      </x:c>
      <x:c r="H328" s="24" t="n">
        <x:f>G328/100-1</x:f>
        <x:v>-0.003292973406242239</x:v>
      </x:c>
      <x:c r="I328" s="26" t="n">
        <x:v>4</x:v>
      </x:c>
      <x:c r="J328" s="26" t="n">
        <x:v>3</x:v>
      </x:c>
      <x:c r="K328" s="7" t="b">
        <x:v>0</x:v>
      </x:c>
      <x:c r="L328" s="2" t="str">
        <x:v>April 2026</x:v>
      </x:c>
      <x:c r="M328" s="2" t="str">
        <x:v>https://datawrapper.dwcdn.net/wQR5S/23/dataset.csv</x:v>
      </x:c>
    </x:row>
    <x:row r="329" ht="24" customHeight="1">
      <x:c r="A329" s="2" t="str">
        <x:v>Ramp</x:v>
      </x:c>
      <x:c r="B329" s="2" t="str">
        <x:v>Quartiles</x:v>
      </x:c>
      <x:c r="C329" s="2" t="str">
        <x:v>Q4</x:v>
      </x:c>
      <x:c r="D329" s="2" t="str">
        <x:v>2023Q4</x:v>
      </x:c>
      <x:c r="E329" s="20" t="n">
        <x:v>23650.3</x:v>
      </x:c>
      <x:c r="F329" s="20" t="n">
        <x:f>$E$317</x:f>
        <x:v>23648.9</x:v>
      </x:c>
      <x:c r="G329" s="22" t="n">
        <x:f>100*E329/F329</x:f>
        <x:v>100.00591993707953</x:v>
      </x:c>
      <x:c r="H329" s="24" t="n">
        <x:f>G329/100-1</x:f>
        <x:v>0.00005919937079523763</x:v>
      </x:c>
      <x:c r="I329" s="26" t="n">
        <x:v>5</x:v>
      </x:c>
      <x:c r="J329" s="26" t="n">
        <x:v>3</x:v>
      </x:c>
      <x:c r="K329" s="7" t="b">
        <x:v>0</x:v>
      </x:c>
      <x:c r="L329" s="2" t="str">
        <x:v>April 2026</x:v>
      </x:c>
      <x:c r="M329" s="2" t="str">
        <x:v>https://datawrapper.dwcdn.net/wQR5S/23/dataset.csv</x:v>
      </x:c>
    </x:row>
    <x:row r="330" ht="24" customHeight="1">
      <x:c r="A330" s="2" t="str">
        <x:v>Ramp</x:v>
      </x:c>
      <x:c r="B330" s="2" t="str">
        <x:v>Quartiles</x:v>
      </x:c>
      <x:c r="C330" s="2" t="str">
        <x:v>Q1</x:v>
      </x:c>
      <x:c r="D330" s="2" t="str">
        <x:v>2024Q1</x:v>
      </x:c>
      <x:c r="E330" s="20" t="n">
        <x:v>53004.0333333333</x:v>
      </x:c>
      <x:c r="F330" s="20" t="n">
        <x:f>$E$314</x:f>
        <x:v>51302.6333333333</x:v>
      </x:c>
      <x:c r="G330" s="22" t="n">
        <x:f>100*E330/F330</x:f>
        <x:v>103.31639896327607</x:v>
      </x:c>
      <x:c r="H330" s="24" t="n">
        <x:f>G330/100-1</x:f>
        <x:v>0.03316398963276068</x:v>
      </x:c>
      <x:c r="I330" s="26" t="n">
        <x:v>5</x:v>
      </x:c>
      <x:c r="J330" s="26" t="n">
        <x:v>3</x:v>
      </x:c>
      <x:c r="K330" s="7" t="b">
        <x:v>0</x:v>
      </x:c>
      <x:c r="L330" s="2" t="str">
        <x:v>April 2026</x:v>
      </x:c>
      <x:c r="M330" s="2" t="str">
        <x:v>https://datawrapper.dwcdn.net/wQR5S/23/dataset.csv</x:v>
      </x:c>
    </x:row>
    <x:row r="331" ht="24" customHeight="1">
      <x:c r="A331" s="2" t="str">
        <x:v>Ramp</x:v>
      </x:c>
      <x:c r="B331" s="2" t="str">
        <x:v>Quartiles</x:v>
      </x:c>
      <x:c r="C331" s="2" t="str">
        <x:v>Q2</x:v>
      </x:c>
      <x:c r="D331" s="2" t="str">
        <x:v>2024Q1</x:v>
      </x:c>
      <x:c r="E331" s="20" t="n">
        <x:v>25174.0333333333</x:v>
      </x:c>
      <x:c r="F331" s="20" t="n">
        <x:f>$E$315</x:f>
        <x:v>25190.5666666667</x:v>
      </x:c>
      <x:c r="G331" s="22" t="n">
        <x:f>100*E331/F331</x:f>
        <x:v>99.9343669654114</x:v>
      </x:c>
      <x:c r="H331" s="24" t="n">
        <x:f>G331/100-1</x:f>
        <x:v>-0.0006563303458859693</x:v>
      </x:c>
      <x:c r="I331" s="26" t="n">
        <x:v>4</x:v>
      </x:c>
      <x:c r="J331" s="26" t="n">
        <x:v>3</x:v>
      </x:c>
      <x:c r="K331" s="7" t="b">
        <x:v>0</x:v>
      </x:c>
      <x:c r="L331" s="2" t="str">
        <x:v>April 2026</x:v>
      </x:c>
      <x:c r="M331" s="2" t="str">
        <x:v>https://datawrapper.dwcdn.net/wQR5S/23/dataset.csv</x:v>
      </x:c>
    </x:row>
    <x:row r="332" ht="24" customHeight="1">
      <x:c r="A332" s="2" t="str">
        <x:v>Ramp</x:v>
      </x:c>
      <x:c r="B332" s="2" t="str">
        <x:v>Quartiles</x:v>
      </x:c>
      <x:c r="C332" s="2" t="str">
        <x:v>Q3</x:v>
      </x:c>
      <x:c r="D332" s="2" t="str">
        <x:v>2024Q1</x:v>
      </x:c>
      <x:c r="E332" s="20" t="n">
        <x:v>32153</x:v>
      </x:c>
      <x:c r="F332" s="20" t="n">
        <x:f>$E$316</x:f>
        <x:v>32270.7333333333</x:v>
      </x:c>
      <x:c r="G332" s="22" t="n">
        <x:f>100*E332/F332</x:f>
        <x:v>99.63516994758935</x:v>
      </x:c>
      <x:c r="H332" s="24" t="n">
        <x:f>G332/100-1</x:f>
        <x:v>-0.0036483005241065847</x:v>
      </x:c>
      <x:c r="I332" s="26" t="n">
        <x:v>4</x:v>
      </x:c>
      <x:c r="J332" s="26" t="n">
        <x:v>3</x:v>
      </x:c>
      <x:c r="K332" s="7" t="b">
        <x:v>0</x:v>
      </x:c>
      <x:c r="L332" s="2" t="str">
        <x:v>April 2026</x:v>
      </x:c>
      <x:c r="M332" s="2" t="str">
        <x:v>https://datawrapper.dwcdn.net/wQR5S/23/dataset.csv</x:v>
      </x:c>
    </x:row>
    <x:row r="333" ht="24" customHeight="1">
      <x:c r="A333" s="2" t="str">
        <x:v>Ramp</x:v>
      </x:c>
      <x:c r="B333" s="2" t="str">
        <x:v>Quartiles</x:v>
      </x:c>
      <x:c r="C333" s="2" t="str">
        <x:v>Q4</x:v>
      </x:c>
      <x:c r="D333" s="2" t="str">
        <x:v>2024Q1</x:v>
      </x:c>
      <x:c r="E333" s="20" t="n">
        <x:v>23655.9333333333</x:v>
      </x:c>
      <x:c r="F333" s="20" t="n">
        <x:f>$E$317</x:f>
        <x:v>23648.9</x:v>
      </x:c>
      <x:c r="G333" s="22" t="n">
        <x:f>100*E333/F333</x:f>
        <x:v>100.02974063628034</x:v>
      </x:c>
      <x:c r="H333" s="24" t="n">
        <x:f>G333/100-1</x:f>
        <x:v>0.0002974063628033985</x:v>
      </x:c>
      <x:c r="I333" s="26" t="n">
        <x:v>5</x:v>
      </x:c>
      <x:c r="J333" s="26" t="n">
        <x:v>3</x:v>
      </x:c>
      <x:c r="K333" s="7" t="b">
        <x:v>0</x:v>
      </x:c>
      <x:c r="L333" s="2" t="str">
        <x:v>April 2026</x:v>
      </x:c>
      <x:c r="M333" s="2" t="str">
        <x:v>https://datawrapper.dwcdn.net/wQR5S/23/dataset.csv</x:v>
      </x:c>
    </x:row>
    <x:row r="334" ht="24" customHeight="1">
      <x:c r="A334" s="2" t="str">
        <x:v>Ramp</x:v>
      </x:c>
      <x:c r="B334" s="2" t="str">
        <x:v>Quartiles</x:v>
      </x:c>
      <x:c r="C334" s="2" t="str">
        <x:v>Q1</x:v>
      </x:c>
      <x:c r="D334" s="2" t="str">
        <x:v>2024Q2</x:v>
      </x:c>
      <x:c r="E334" s="20" t="n">
        <x:v>53304.9</x:v>
      </x:c>
      <x:c r="F334" s="20" t="n">
        <x:f>$E$314</x:f>
        <x:v>51302.6333333333</x:v>
      </x:c>
      <x:c r="G334" s="22" t="n">
        <x:f>100*E334/F334</x:f>
        <x:v>103.90285358971184</x:v>
      </x:c>
      <x:c r="H334" s="24" t="n">
        <x:f>G334/100-1</x:f>
        <x:v>0.0390285358971183</x:v>
      </x:c>
      <x:c r="I334" s="26" t="n">
        <x:v>5</x:v>
      </x:c>
      <x:c r="J334" s="26" t="n">
        <x:v>3</x:v>
      </x:c>
      <x:c r="K334" s="7" t="b">
        <x:v>0</x:v>
      </x:c>
      <x:c r="L334" s="2" t="str">
        <x:v>April 2026</x:v>
      </x:c>
      <x:c r="M334" s="2" t="str">
        <x:v>https://datawrapper.dwcdn.net/wQR5S/23/dataset.csv</x:v>
      </x:c>
    </x:row>
    <x:row r="335" ht="24" customHeight="1">
      <x:c r="A335" s="2" t="str">
        <x:v>Ramp</x:v>
      </x:c>
      <x:c r="B335" s="2" t="str">
        <x:v>Quartiles</x:v>
      </x:c>
      <x:c r="C335" s="2" t="str">
        <x:v>Q2</x:v>
      </x:c>
      <x:c r="D335" s="2" t="str">
        <x:v>2024Q2</x:v>
      </x:c>
      <x:c r="E335" s="20" t="n">
        <x:v>25198.4</x:v>
      </x:c>
      <x:c r="F335" s="20" t="n">
        <x:f>$E$315</x:f>
        <x:v>25190.5666666667</x:v>
      </x:c>
      <x:c r="G335" s="22" t="n">
        <x:f>100*E335/F335</x:f>
        <x:v>100.03109629662943</x:v>
      </x:c>
      <x:c r="H335" s="24" t="n">
        <x:f>G335/100-1</x:f>
        <x:v>0.00031096296629429254</x:v>
      </x:c>
      <x:c r="I335" s="26" t="n">
        <x:v>4</x:v>
      </x:c>
      <x:c r="J335" s="26" t="n">
        <x:v>3</x:v>
      </x:c>
      <x:c r="K335" s="7" t="b">
        <x:v>0</x:v>
      </x:c>
      <x:c r="L335" s="2" t="str">
        <x:v>April 2026</x:v>
      </x:c>
      <x:c r="M335" s="2" t="str">
        <x:v>https://datawrapper.dwcdn.net/wQR5S/23/dataset.csv</x:v>
      </x:c>
    </x:row>
    <x:row r="336" ht="24" customHeight="1">
      <x:c r="A336" s="2" t="str">
        <x:v>Ramp</x:v>
      </x:c>
      <x:c r="B336" s="2" t="str">
        <x:v>Quartiles</x:v>
      </x:c>
      <x:c r="C336" s="2" t="str">
        <x:v>Q3</x:v>
      </x:c>
      <x:c r="D336" s="2" t="str">
        <x:v>2024Q2</x:v>
      </x:c>
      <x:c r="E336" s="20" t="n">
        <x:v>32100.2</x:v>
      </x:c>
      <x:c r="F336" s="20" t="n">
        <x:f>$E$316</x:f>
        <x:v>32270.7333333333</x:v>
      </x:c>
      <x:c r="G336" s="22" t="n">
        <x:f>100*E336/F336</x:f>
        <x:v>99.47155420494535</x:v>
      </x:c>
      <x:c r="H336" s="24" t="n">
        <x:f>G336/100-1</x:f>
        <x:v>-0.0052844579505465505</x:v>
      </x:c>
      <x:c r="I336" s="26" t="n">
        <x:v>4</x:v>
      </x:c>
      <x:c r="J336" s="26" t="n">
        <x:v>3</x:v>
      </x:c>
      <x:c r="K336" s="7" t="b">
        <x:v>0</x:v>
      </x:c>
      <x:c r="L336" s="2" t="str">
        <x:v>April 2026</x:v>
      </x:c>
      <x:c r="M336" s="2" t="str">
        <x:v>https://datawrapper.dwcdn.net/wQR5S/23/dataset.csv</x:v>
      </x:c>
    </x:row>
    <x:row r="337" ht="24" customHeight="1">
      <x:c r="A337" s="2" t="str">
        <x:v>Ramp</x:v>
      </x:c>
      <x:c r="B337" s="2" t="str">
        <x:v>Quartiles</x:v>
      </x:c>
      <x:c r="C337" s="2" t="str">
        <x:v>Q4</x:v>
      </x:c>
      <x:c r="D337" s="2" t="str">
        <x:v>2024Q2</x:v>
      </x:c>
      <x:c r="E337" s="20" t="n">
        <x:v>23645.7</x:v>
      </x:c>
      <x:c r="F337" s="20" t="n">
        <x:f>$E$317</x:f>
        <x:v>23648.9</x:v>
      </x:c>
      <x:c r="G337" s="22" t="n">
        <x:f>100*E337/F337</x:f>
        <x:v>99.98646871524679</x:v>
      </x:c>
      <x:c r="H337" s="24" t="n">
        <x:f>G337/100-1</x:f>
        <x:v>-0.0001353128475320986</x:v>
      </x:c>
      <x:c r="I337" s="26" t="n">
        <x:v>5</x:v>
      </x:c>
      <x:c r="J337" s="26" t="n">
        <x:v>3</x:v>
      </x:c>
      <x:c r="K337" s="7" t="b">
        <x:v>0</x:v>
      </x:c>
      <x:c r="L337" s="2" t="str">
        <x:v>April 2026</x:v>
      </x:c>
      <x:c r="M337" s="2" t="str">
        <x:v>https://datawrapper.dwcdn.net/wQR5S/23/dataset.csv</x:v>
      </x:c>
    </x:row>
    <x:row r="338" ht="24" customHeight="1">
      <x:c r="A338" s="2" t="str">
        <x:v>Ramp</x:v>
      </x:c>
      <x:c r="B338" s="2" t="str">
        <x:v>Quartiles</x:v>
      </x:c>
      <x:c r="C338" s="2" t="str">
        <x:v>Q1</x:v>
      </x:c>
      <x:c r="D338" s="2" t="str">
        <x:v>2024Q3</x:v>
      </x:c>
      <x:c r="E338" s="20" t="n">
        <x:v>53550.1666666667</x:v>
      </x:c>
      <x:c r="F338" s="20" t="n">
        <x:f>$E$314</x:f>
        <x:v>51302.6333333333</x:v>
      </x:c>
      <x:c r="G338" s="22" t="n">
        <x:f>100*E338/F338</x:f>
        <x:v>104.3809317130571</x:v>
      </x:c>
      <x:c r="H338" s="24" t="n">
        <x:f>G338/100-1</x:f>
        <x:v>0.0438093171305709</x:v>
      </x:c>
      <x:c r="I338" s="26" t="n">
        <x:v>5</x:v>
      </x:c>
      <x:c r="J338" s="26" t="n">
        <x:v>3</x:v>
      </x:c>
      <x:c r="K338" s="7" t="b">
        <x:v>0</x:v>
      </x:c>
      <x:c r="L338" s="2" t="str">
        <x:v>April 2026</x:v>
      </x:c>
      <x:c r="M338" s="2" t="str">
        <x:v>https://datawrapper.dwcdn.net/wQR5S/23/dataset.csv</x:v>
      </x:c>
    </x:row>
    <x:row r="339" ht="24" customHeight="1">
      <x:c r="A339" s="2" t="str">
        <x:v>Ramp</x:v>
      </x:c>
      <x:c r="B339" s="2" t="str">
        <x:v>Quartiles</x:v>
      </x:c>
      <x:c r="C339" s="2" t="str">
        <x:v>Q2</x:v>
      </x:c>
      <x:c r="D339" s="2" t="str">
        <x:v>2024Q3</x:v>
      </x:c>
      <x:c r="E339" s="20" t="n">
        <x:v>25147.3666666667</x:v>
      </x:c>
      <x:c r="F339" s="20" t="n">
        <x:f>$E$315</x:f>
        <x:v>25190.5666666667</x:v>
      </x:c>
      <x:c r="G339" s="22" t="n">
        <x:f>100*E339/F339</x:f>
        <x:v>99.82850723220466</x:v>
      </x:c>
      <x:c r="H339" s="24" t="n">
        <x:f>G339/100-1</x:f>
        <x:v>-0.0017149276779534484</x:v>
      </x:c>
      <x:c r="I339" s="26" t="n">
        <x:v>4</x:v>
      </x:c>
      <x:c r="J339" s="26" t="n">
        <x:v>3</x:v>
      </x:c>
      <x:c r="K339" s="7" t="b">
        <x:v>0</x:v>
      </x:c>
      <x:c r="L339" s="2" t="str">
        <x:v>April 2026</x:v>
      </x:c>
      <x:c r="M339" s="2" t="str">
        <x:v>https://datawrapper.dwcdn.net/wQR5S/23/dataset.csv</x:v>
      </x:c>
    </x:row>
    <x:row r="340" ht="24" customHeight="1">
      <x:c r="A340" s="2" t="str">
        <x:v>Ramp</x:v>
      </x:c>
      <x:c r="B340" s="2" t="str">
        <x:v>Quartiles</x:v>
      </x:c>
      <x:c r="C340" s="2" t="str">
        <x:v>Q3</x:v>
      </x:c>
      <x:c r="D340" s="2" t="str">
        <x:v>2024Q3</x:v>
      </x:c>
      <x:c r="E340" s="20" t="n">
        <x:v>32014.7</x:v>
      </x:c>
      <x:c r="F340" s="20" t="n">
        <x:f>$E$316</x:f>
        <x:v>32270.7333333333</x:v>
      </x:c>
      <x:c r="G340" s="22" t="n">
        <x:f>100*E340/F340</x:f>
        <x:v>99.20660825805022</x:v>
      </x:c>
      <x:c r="H340" s="24" t="n">
        <x:f>G340/100-1</x:f>
        <x:v>-0.007933917419497782</x:v>
      </x:c>
      <x:c r="I340" s="26" t="n">
        <x:v>4</x:v>
      </x:c>
      <x:c r="J340" s="26" t="n">
        <x:v>3</x:v>
      </x:c>
      <x:c r="K340" s="7" t="b">
        <x:v>0</x:v>
      </x:c>
      <x:c r="L340" s="2" t="str">
        <x:v>April 2026</x:v>
      </x:c>
      <x:c r="M340" s="2" t="str">
        <x:v>https://datawrapper.dwcdn.net/wQR5S/23/dataset.csv</x:v>
      </x:c>
    </x:row>
    <x:row r="341" ht="24" customHeight="1">
      <x:c r="A341" s="2" t="str">
        <x:v>Ramp</x:v>
      </x:c>
      <x:c r="B341" s="2" t="str">
        <x:v>Quartiles</x:v>
      </x:c>
      <x:c r="C341" s="2" t="str">
        <x:v>Q4</x:v>
      </x:c>
      <x:c r="D341" s="2" t="str">
        <x:v>2024Q3</x:v>
      </x:c>
      <x:c r="E341" s="20" t="n">
        <x:v>23625.0333333333</x:v>
      </x:c>
      <x:c r="F341" s="20" t="n">
        <x:f>$E$317</x:f>
        <x:v>23648.9</x:v>
      </x:c>
      <x:c r="G341" s="22" t="n">
        <x:f>100*E341/F341</x:f>
        <x:v>99.89907916788223</x:v>
      </x:c>
      <x:c r="H341" s="24" t="n">
        <x:f>G341/100-1</x:f>
        <x:v>-0.0010092083211776792</x:v>
      </x:c>
      <x:c r="I341" s="26" t="n">
        <x:v>5</x:v>
      </x:c>
      <x:c r="J341" s="26" t="n">
        <x:v>3</x:v>
      </x:c>
      <x:c r="K341" s="7" t="b">
        <x:v>0</x:v>
      </x:c>
      <x:c r="L341" s="2" t="str">
        <x:v>April 2026</x:v>
      </x:c>
      <x:c r="M341" s="2" t="str">
        <x:v>https://datawrapper.dwcdn.net/wQR5S/23/dataset.csv</x:v>
      </x:c>
    </x:row>
    <x:row r="342" ht="24" customHeight="1">
      <x:c r="A342" s="2" t="str">
        <x:v>Ramp</x:v>
      </x:c>
      <x:c r="B342" s="2" t="str">
        <x:v>Quartiles</x:v>
      </x:c>
      <x:c r="C342" s="2" t="str">
        <x:v>Q1</x:v>
      </x:c>
      <x:c r="D342" s="2" t="str">
        <x:v>2024Q4</x:v>
      </x:c>
      <x:c r="E342" s="20" t="n">
        <x:v>53892.7666666667</x:v>
      </x:c>
      <x:c r="F342" s="20" t="n">
        <x:f>$E$314</x:f>
        <x:v>51302.6333333333</x:v>
      </x:c>
      <x:c r="G342" s="22" t="n">
        <x:f>100*E342/F342</x:f>
        <x:v>105.04873369073334</x:v>
      </x:c>
      <x:c r="H342" s="24" t="n">
        <x:f>G342/100-1</x:f>
        <x:v>0.050487336907333535</x:v>
      </x:c>
      <x:c r="I342" s="26" t="n">
        <x:v>5</x:v>
      </x:c>
      <x:c r="J342" s="26" t="n">
        <x:v>3</x:v>
      </x:c>
      <x:c r="K342" s="7" t="b">
        <x:v>0</x:v>
      </x:c>
      <x:c r="L342" s="2" t="str">
        <x:v>April 2026</x:v>
      </x:c>
      <x:c r="M342" s="2" t="str">
        <x:v>https://datawrapper.dwcdn.net/wQR5S/23/dataset.csv</x:v>
      </x:c>
    </x:row>
    <x:row r="343" ht="24" customHeight="1">
      <x:c r="A343" s="2" t="str">
        <x:v>Ramp</x:v>
      </x:c>
      <x:c r="B343" s="2" t="str">
        <x:v>Quartiles</x:v>
      </x:c>
      <x:c r="C343" s="2" t="str">
        <x:v>Q2</x:v>
      </x:c>
      <x:c r="D343" s="2" t="str">
        <x:v>2024Q4</x:v>
      </x:c>
      <x:c r="E343" s="20" t="n">
        <x:v>25135.6666666667</x:v>
      </x:c>
      <x:c r="F343" s="20" t="n">
        <x:f>$E$315</x:f>
        <x:v>25190.5666666667</x:v>
      </x:c>
      <x:c r="G343" s="22" t="n">
        <x:f>100*E343/F343</x:f>
        <x:v>99.78206127426009</x:v>
      </x:c>
      <x:c r="H343" s="24" t="n">
        <x:f>G343/100-1</x:f>
        <x:v>-0.002179387257399079</x:v>
      </x:c>
      <x:c r="I343" s="26" t="n">
        <x:v>4</x:v>
      </x:c>
      <x:c r="J343" s="26" t="n">
        <x:v>3</x:v>
      </x:c>
      <x:c r="K343" s="7" t="b">
        <x:v>0</x:v>
      </x:c>
      <x:c r="L343" s="2" t="str">
        <x:v>April 2026</x:v>
      </x:c>
      <x:c r="M343" s="2" t="str">
        <x:v>https://datawrapper.dwcdn.net/wQR5S/23/dataset.csv</x:v>
      </x:c>
    </x:row>
    <x:row r="344" ht="24" customHeight="1">
      <x:c r="A344" s="2" t="str">
        <x:v>Ramp</x:v>
      </x:c>
      <x:c r="B344" s="2" t="str">
        <x:v>Quartiles</x:v>
      </x:c>
      <x:c r="C344" s="2" t="str">
        <x:v>Q3</x:v>
      </x:c>
      <x:c r="D344" s="2" t="str">
        <x:v>2024Q4</x:v>
      </x:c>
      <x:c r="E344" s="20" t="n">
        <x:v>31924.9</x:v>
      </x:c>
      <x:c r="F344" s="20" t="n">
        <x:f>$E$316</x:f>
        <x:v>32270.7333333333</x:v>
      </x:c>
      <x:c r="G344" s="22" t="n">
        <x:f>100*E344/F344</x:f>
        <x:v>98.92833754423523</x:v>
      </x:c>
      <x:c r="H344" s="24" t="n">
        <x:f>G344/100-1</x:f>
        <x:v>-0.010716624557647658</x:v>
      </x:c>
      <x:c r="I344" s="26" t="n">
        <x:v>4</x:v>
      </x:c>
      <x:c r="J344" s="26" t="n">
        <x:v>3</x:v>
      </x:c>
      <x:c r="K344" s="7" t="b">
        <x:v>0</x:v>
      </x:c>
      <x:c r="L344" s="2" t="str">
        <x:v>April 2026</x:v>
      </x:c>
      <x:c r="M344" s="2" t="str">
        <x:v>https://datawrapper.dwcdn.net/wQR5S/23/dataset.csv</x:v>
      </x:c>
    </x:row>
    <x:row r="345" ht="24" customHeight="1">
      <x:c r="A345" s="2" t="str">
        <x:v>Ramp</x:v>
      </x:c>
      <x:c r="B345" s="2" t="str">
        <x:v>Quartiles</x:v>
      </x:c>
      <x:c r="C345" s="2" t="str">
        <x:v>Q4</x:v>
      </x:c>
      <x:c r="D345" s="2" t="str">
        <x:v>2024Q4</x:v>
      </x:c>
      <x:c r="E345" s="20" t="n">
        <x:v>23612.8333333333</x:v>
      </x:c>
      <x:c r="F345" s="20" t="n">
        <x:f>$E$317</x:f>
        <x:v>23648.9</x:v>
      </x:c>
      <x:c r="G345" s="22" t="n">
        <x:f>100*E345/F345</x:f>
        <x:v>99.84749114476062</x:v>
      </x:c>
      <x:c r="H345" s="24" t="n">
        <x:f>G345/100-1</x:f>
        <x:v>-0.0015250885523937496</x:v>
      </x:c>
      <x:c r="I345" s="26" t="n">
        <x:v>5</x:v>
      </x:c>
      <x:c r="J345" s="26" t="n">
        <x:v>3</x:v>
      </x:c>
      <x:c r="K345" s="7" t="b">
        <x:v>0</x:v>
      </x:c>
      <x:c r="L345" s="2" t="str">
        <x:v>April 2026</x:v>
      </x:c>
      <x:c r="M345" s="2" t="str">
        <x:v>https://datawrapper.dwcdn.net/wQR5S/23/dataset.csv</x:v>
      </x:c>
    </x:row>
    <x:row r="346" ht="24" customHeight="1">
      <x:c r="A346" s="2" t="str">
        <x:v>Ramp</x:v>
      </x:c>
      <x:c r="B346" s="2" t="str">
        <x:v>Quartiles</x:v>
      </x:c>
      <x:c r="C346" s="2" t="str">
        <x:v>Q1</x:v>
      </x:c>
      <x:c r="D346" s="2" t="str">
        <x:v>2025Q1</x:v>
      </x:c>
      <x:c r="E346" s="20" t="n">
        <x:v>54079.7333333333</x:v>
      </x:c>
      <x:c r="F346" s="20" t="n">
        <x:f>$E$314</x:f>
        <x:v>51302.6333333333</x:v>
      </x:c>
      <x:c r="G346" s="22" t="n">
        <x:f>100*E346/F346</x:f>
        <x:v>105.41317242324793</x:v>
      </x:c>
      <x:c r="H346" s="24" t="n">
        <x:f>G346/100-1</x:f>
        <x:v>0.05413172423247925</x:v>
      </x:c>
      <x:c r="I346" s="26" t="n">
        <x:v>5</x:v>
      </x:c>
      <x:c r="J346" s="26" t="n">
        <x:v>3</x:v>
      </x:c>
      <x:c r="K346" s="7" t="b">
        <x:v>0</x:v>
      </x:c>
      <x:c r="L346" s="2" t="str">
        <x:v>April 2026</x:v>
      </x:c>
      <x:c r="M346" s="2" t="str">
        <x:v>https://datawrapper.dwcdn.net/wQR5S/23/dataset.csv</x:v>
      </x:c>
    </x:row>
    <x:row r="347" ht="24" customHeight="1">
      <x:c r="A347" s="2" t="str">
        <x:v>Ramp</x:v>
      </x:c>
      <x:c r="B347" s="2" t="str">
        <x:v>Quartiles</x:v>
      </x:c>
      <x:c r="C347" s="2" t="str">
        <x:v>Q2</x:v>
      </x:c>
      <x:c r="D347" s="2" t="str">
        <x:v>2025Q1</x:v>
      </x:c>
      <x:c r="E347" s="20" t="n">
        <x:v>25165.9333333333</x:v>
      </x:c>
      <x:c r="F347" s="20" t="n">
        <x:f>$E$315</x:f>
        <x:v>25190.5666666667</x:v>
      </x:c>
      <x:c r="G347" s="22" t="n">
        <x:f>100*E347/F347</x:f>
        <x:v>99.90221207144978</x:v>
      </x:c>
      <x:c r="H347" s="24" t="n">
        <x:f>G347/100-1</x:f>
        <x:v>-0.0009778792855021923</x:v>
      </x:c>
      <x:c r="I347" s="26" t="n">
        <x:v>4</x:v>
      </x:c>
      <x:c r="J347" s="26" t="n">
        <x:v>3</x:v>
      </x:c>
      <x:c r="K347" s="7" t="b">
        <x:v>0</x:v>
      </x:c>
      <x:c r="L347" s="2" t="str">
        <x:v>April 2026</x:v>
      </x:c>
      <x:c r="M347" s="2" t="str">
        <x:v>https://datawrapper.dwcdn.net/wQR5S/23/dataset.csv</x:v>
      </x:c>
    </x:row>
    <x:row r="348" ht="24" customHeight="1">
      <x:c r="A348" s="2" t="str">
        <x:v>Ramp</x:v>
      </x:c>
      <x:c r="B348" s="2" t="str">
        <x:v>Quartiles</x:v>
      </x:c>
      <x:c r="C348" s="2" t="str">
        <x:v>Q3</x:v>
      </x:c>
      <x:c r="D348" s="2" t="str">
        <x:v>2025Q1</x:v>
      </x:c>
      <x:c r="E348" s="20" t="n">
        <x:v>31860.1666666667</x:v>
      </x:c>
      <x:c r="F348" s="20" t="n">
        <x:f>$E$316</x:f>
        <x:v>32270.7333333333</x:v>
      </x:c>
      <x:c r="G348" s="22" t="n">
        <x:f>100*E348/F348</x:f>
        <x:v>98.72774299106952</x:v>
      </x:c>
      <x:c r="H348" s="24" t="n">
        <x:f>G348/100-1</x:f>
        <x:v>-0.012722570089304774</x:v>
      </x:c>
      <x:c r="I348" s="26" t="n">
        <x:v>4</x:v>
      </x:c>
      <x:c r="J348" s="26" t="n">
        <x:v>3</x:v>
      </x:c>
      <x:c r="K348" s="7" t="b">
        <x:v>0</x:v>
      </x:c>
      <x:c r="L348" s="2" t="str">
        <x:v>April 2026</x:v>
      </x:c>
      <x:c r="M348" s="2" t="str">
        <x:v>https://datawrapper.dwcdn.net/wQR5S/23/dataset.csv</x:v>
      </x:c>
    </x:row>
    <x:row r="349" ht="24" customHeight="1">
      <x:c r="A349" s="2" t="str">
        <x:v>Ramp</x:v>
      </x:c>
      <x:c r="B349" s="2" t="str">
        <x:v>Quartiles</x:v>
      </x:c>
      <x:c r="C349" s="2" t="str">
        <x:v>Q4</x:v>
      </x:c>
      <x:c r="D349" s="2" t="str">
        <x:v>2025Q1</x:v>
      </x:c>
      <x:c r="E349" s="20" t="n">
        <x:v>23612.4</x:v>
      </x:c>
      <x:c r="F349" s="20" t="n">
        <x:f>$E$317</x:f>
        <x:v>23648.9</x:v>
      </x:c>
      <x:c r="G349" s="22" t="n">
        <x:f>100*E349/F349</x:f>
        <x:v>99.84565878328378</x:v>
      </x:c>
      <x:c r="H349" s="24" t="n">
        <x:f>G349/100-1</x:f>
        <x:v>-0.0015434121671621392</x:v>
      </x:c>
      <x:c r="I349" s="26" t="n">
        <x:v>5</x:v>
      </x:c>
      <x:c r="J349" s="26" t="n">
        <x:v>3</x:v>
      </x:c>
      <x:c r="K349" s="7" t="b">
        <x:v>0</x:v>
      </x:c>
      <x:c r="L349" s="2" t="str">
        <x:v>April 2026</x:v>
      </x:c>
      <x:c r="M349" s="2" t="str">
        <x:v>https://datawrapper.dwcdn.net/wQR5S/23/dataset.csv</x:v>
      </x:c>
    </x:row>
    <x:row r="350" ht="24" customHeight="1">
      <x:c r="A350" s="2" t="str">
        <x:v>Ramp</x:v>
      </x:c>
      <x:c r="B350" s="2" t="str">
        <x:v>Quartiles</x:v>
      </x:c>
      <x:c r="C350" s="2" t="str">
        <x:v>Q1</x:v>
      </x:c>
      <x:c r="D350" s="2" t="str">
        <x:v>2025Q2</x:v>
      </x:c>
      <x:c r="E350" s="20" t="n">
        <x:v>54309.9666666667</x:v>
      </x:c>
      <x:c r="F350" s="20" t="n">
        <x:f>$E$314</x:f>
        <x:v>51302.6333333333</x:v>
      </x:c>
      <x:c r="G350" s="22" t="n">
        <x:f>100*E350/F350</x:f>
        <x:v>105.8619473074483</x:v>
      </x:c>
      <x:c r="H350" s="24" t="n">
        <x:f>G350/100-1</x:f>
        <x:v>0.05861947307448312</x:v>
      </x:c>
      <x:c r="I350" s="26" t="n">
        <x:v>5</x:v>
      </x:c>
      <x:c r="J350" s="26" t="n">
        <x:v>3</x:v>
      </x:c>
      <x:c r="K350" s="7" t="b">
        <x:v>0</x:v>
      </x:c>
      <x:c r="L350" s="2" t="str">
        <x:v>April 2026</x:v>
      </x:c>
      <x:c r="M350" s="2" t="str">
        <x:v>https://datawrapper.dwcdn.net/wQR5S/23/dataset.csv</x:v>
      </x:c>
    </x:row>
    <x:row r="351" ht="24" customHeight="1">
      <x:c r="A351" s="2" t="str">
        <x:v>Ramp</x:v>
      </x:c>
      <x:c r="B351" s="2" t="str">
        <x:v>Quartiles</x:v>
      </x:c>
      <x:c r="C351" s="2" t="str">
        <x:v>Q2</x:v>
      </x:c>
      <x:c r="D351" s="2" t="str">
        <x:v>2025Q2</x:v>
      </x:c>
      <x:c r="E351" s="20" t="n">
        <x:v>25139.3666666667</x:v>
      </x:c>
      <x:c r="F351" s="20" t="n">
        <x:f>$E$315</x:f>
        <x:v>25190.5666666667</x:v>
      </x:c>
      <x:c r="G351" s="22" t="n">
        <x:f>100*E351/F351</x:f>
        <x:v>99.79674931224257</x:v>
      </x:c>
      <x:c r="H351" s="24" t="n">
        <x:f>G351/100-1</x:f>
        <x:v>-0.0020325068775742805</x:v>
      </x:c>
      <x:c r="I351" s="26" t="n">
        <x:v>4</x:v>
      </x:c>
      <x:c r="J351" s="26" t="n">
        <x:v>3</x:v>
      </x:c>
      <x:c r="K351" s="7" t="b">
        <x:v>0</x:v>
      </x:c>
      <x:c r="L351" s="2" t="str">
        <x:v>April 2026</x:v>
      </x:c>
      <x:c r="M351" s="2" t="str">
        <x:v>https://datawrapper.dwcdn.net/wQR5S/23/dataset.csv</x:v>
      </x:c>
    </x:row>
    <x:row r="352" ht="24" customHeight="1">
      <x:c r="A352" s="2" t="str">
        <x:v>Ramp</x:v>
      </x:c>
      <x:c r="B352" s="2" t="str">
        <x:v>Quartiles</x:v>
      </x:c>
      <x:c r="C352" s="2" t="str">
        <x:v>Q3</x:v>
      </x:c>
      <x:c r="D352" s="2" t="str">
        <x:v>2025Q2</x:v>
      </x:c>
      <x:c r="E352" s="20" t="n">
        <x:v>31812.2333333333</x:v>
      </x:c>
      <x:c r="F352" s="20" t="n">
        <x:f>$E$316</x:f>
        <x:v>32270.7333333333</x:v>
      </x:c>
      <x:c r="G352" s="22" t="n">
        <x:f>100*E352/F352</x:f>
        <x:v>98.57920799238113</x:v>
      </x:c>
      <x:c r="H352" s="24" t="n">
        <x:f>G352/100-1</x:f>
        <x:v>-0.014207920076188763</x:v>
      </x:c>
      <x:c r="I352" s="26" t="n">
        <x:v>4</x:v>
      </x:c>
      <x:c r="J352" s="26" t="n">
        <x:v>3</x:v>
      </x:c>
      <x:c r="K352" s="7" t="b">
        <x:v>0</x:v>
      </x:c>
      <x:c r="L352" s="2" t="str">
        <x:v>April 2026</x:v>
      </x:c>
      <x:c r="M352" s="2" t="str">
        <x:v>https://datawrapper.dwcdn.net/wQR5S/23/dataset.csv</x:v>
      </x:c>
    </x:row>
    <x:row r="353" ht="24" customHeight="1">
      <x:c r="A353" s="2" t="str">
        <x:v>Ramp</x:v>
      </x:c>
      <x:c r="B353" s="2" t="str">
        <x:v>Quartiles</x:v>
      </x:c>
      <x:c r="C353" s="2" t="str">
        <x:v>Q4</x:v>
      </x:c>
      <x:c r="D353" s="2" t="str">
        <x:v>2025Q2</x:v>
      </x:c>
      <x:c r="E353" s="20" t="n">
        <x:v>23611.5</x:v>
      </x:c>
      <x:c r="F353" s="20" t="n">
        <x:f>$E$317</x:f>
        <x:v>23648.9</x:v>
      </x:c>
      <x:c r="G353" s="22" t="n">
        <x:f>100*E353/F353</x:f>
        <x:v>99.84185310944694</x:v>
      </x:c>
      <x:c r="H353" s="24" t="n">
        <x:f>G353/100-1</x:f>
        <x:v>-0.0015814689055305697</x:v>
      </x:c>
      <x:c r="I353" s="26" t="n">
        <x:v>5</x:v>
      </x:c>
      <x:c r="J353" s="26" t="n">
        <x:v>3</x:v>
      </x:c>
      <x:c r="K353" s="7" t="b">
        <x:v>0</x:v>
      </x:c>
      <x:c r="L353" s="2" t="str">
        <x:v>April 2026</x:v>
      </x:c>
      <x:c r="M353" s="2" t="str">
        <x:v>https://datawrapper.dwcdn.net/wQR5S/23/dataset.csv</x:v>
      </x:c>
    </x:row>
    <x:row r="354" ht="24" customHeight="1">
      <x:c r="A354" s="2" t="str">
        <x:v>Ramp</x:v>
      </x:c>
      <x:c r="B354" s="2" t="str">
        <x:v>Quartiles</x:v>
      </x:c>
      <x:c r="C354" s="2" t="str">
        <x:v>Q1</x:v>
      </x:c>
      <x:c r="D354" s="2" t="str">
        <x:v>2025Q3</x:v>
      </x:c>
      <x:c r="E354" s="20" t="n">
        <x:v>54520.7666666667</x:v>
      </x:c>
      <x:c r="F354" s="20" t="n">
        <x:f>$E$314</x:f>
        <x:v>51302.6333333333</x:v>
      </x:c>
      <x:c r="G354" s="22" t="n">
        <x:f>100*E354/F354</x:f>
        <x:v>106.27284239470501</x:v>
      </x:c>
      <x:c r="H354" s="24" t="n">
        <x:f>G354/100-1</x:f>
        <x:v>0.06272842394705003</x:v>
      </x:c>
      <x:c r="I354" s="26" t="n">
        <x:v>5</x:v>
      </x:c>
      <x:c r="J354" s="26" t="n">
        <x:v>3</x:v>
      </x:c>
      <x:c r="K354" s="7" t="b">
        <x:v>0</x:v>
      </x:c>
      <x:c r="L354" s="2" t="str">
        <x:v>April 2026</x:v>
      </x:c>
      <x:c r="M354" s="2" t="str">
        <x:v>https://datawrapper.dwcdn.net/wQR5S/23/dataset.csv</x:v>
      </x:c>
    </x:row>
    <x:row r="355" ht="24" customHeight="1">
      <x:c r="A355" s="2" t="str">
        <x:v>Ramp</x:v>
      </x:c>
      <x:c r="B355" s="2" t="str">
        <x:v>Quartiles</x:v>
      </x:c>
      <x:c r="C355" s="2" t="str">
        <x:v>Q2</x:v>
      </x:c>
      <x:c r="D355" s="2" t="str">
        <x:v>2025Q3</x:v>
      </x:c>
      <x:c r="E355" s="20" t="n">
        <x:v>25107.6333333333</x:v>
      </x:c>
      <x:c r="F355" s="20" t="n">
        <x:f>$E$315</x:f>
        <x:v>25190.5666666667</x:v>
      </x:c>
      <x:c r="G355" s="22" t="n">
        <x:f>100*E355/F355</x:f>
        <x:v>99.67077622972594</x:v>
      </x:c>
      <x:c r="H355" s="24" t="n">
        <x:f>G355/100-1</x:f>
        <x:v>-0.0032922377027405636</x:v>
      </x:c>
      <x:c r="I355" s="26" t="n">
        <x:v>4</x:v>
      </x:c>
      <x:c r="J355" s="26" t="n">
        <x:v>3</x:v>
      </x:c>
      <x:c r="K355" s="7" t="b">
        <x:v>0</x:v>
      </x:c>
      <x:c r="L355" s="2" t="str">
        <x:v>April 2026</x:v>
      </x:c>
      <x:c r="M355" s="2" t="str">
        <x:v>https://datawrapper.dwcdn.net/wQR5S/23/dataset.csv</x:v>
      </x:c>
    </x:row>
    <x:row r="356" ht="24" customHeight="1">
      <x:c r="A356" s="2" t="str">
        <x:v>Ramp</x:v>
      </x:c>
      <x:c r="B356" s="2" t="str">
        <x:v>Quartiles</x:v>
      </x:c>
      <x:c r="C356" s="2" t="str">
        <x:v>Q3</x:v>
      </x:c>
      <x:c r="D356" s="2" t="str">
        <x:v>2025Q3</x:v>
      </x:c>
      <x:c r="E356" s="20" t="n">
        <x:v>31703.7333333333</x:v>
      </x:c>
      <x:c r="F356" s="20" t="n">
        <x:f>$E$316</x:f>
        <x:v>32270.7333333333</x:v>
      </x:c>
      <x:c r="G356" s="22" t="n">
        <x:f>100*E356/F356</x:f>
        <x:v>98.24299003637971</x:v>
      </x:c>
      <x:c r="H356" s="24" t="n">
        <x:f>G356/100-1</x:f>
        <x:v>-0.01757009963620293</x:v>
      </x:c>
      <x:c r="I356" s="26" t="n">
        <x:v>4</x:v>
      </x:c>
      <x:c r="J356" s="26" t="n">
        <x:v>3</x:v>
      </x:c>
      <x:c r="K356" s="7" t="b">
        <x:v>0</x:v>
      </x:c>
      <x:c r="L356" s="2" t="str">
        <x:v>April 2026</x:v>
      </x:c>
      <x:c r="M356" s="2" t="str">
        <x:v>https://datawrapper.dwcdn.net/wQR5S/23/dataset.csv</x:v>
      </x:c>
    </x:row>
    <x:row r="357" ht="24" customHeight="1">
      <x:c r="A357" s="2" t="str">
        <x:v>Ramp</x:v>
      </x:c>
      <x:c r="B357" s="2" t="str">
        <x:v>Quartiles</x:v>
      </x:c>
      <x:c r="C357" s="2" t="str">
        <x:v>Q4</x:v>
      </x:c>
      <x:c r="D357" s="2" t="str">
        <x:v>2025Q3</x:v>
      </x:c>
      <x:c r="E357" s="20" t="n">
        <x:v>23593.8333333333</x:v>
      </x:c>
      <x:c r="F357" s="20" t="n">
        <x:f>$E$317</x:f>
        <x:v>23648.9</x:v>
      </x:c>
      <x:c r="G357" s="22" t="n">
        <x:f>100*E357/F357</x:f>
        <x:v>99.7671491415385</x:v>
      </x:c>
      <x:c r="H357" s="24" t="n">
        <x:f>G357/100-1</x:f>
        <x:v>-0.0023285085846150855</x:v>
      </x:c>
      <x:c r="I357" s="26" t="n">
        <x:v>5</x:v>
      </x:c>
      <x:c r="J357" s="26" t="n">
        <x:v>3</x:v>
      </x:c>
      <x:c r="K357" s="7" t="b">
        <x:v>0</x:v>
      </x:c>
      <x:c r="L357" s="2" t="str">
        <x:v>April 2026</x:v>
      </x:c>
      <x:c r="M357" s="2" t="str">
        <x:v>https://datawrapper.dwcdn.net/wQR5S/23/dataset.csv</x:v>
      </x:c>
    </x:row>
    <x:row r="358" ht="24" customHeight="1">
      <x:c r="A358" s="2" t="str">
        <x:v>Ramp</x:v>
      </x:c>
      <x:c r="B358" s="2" t="str">
        <x:v>Quartiles</x:v>
      </x:c>
      <x:c r="C358" s="2" t="str">
        <x:v>Q1</x:v>
      </x:c>
      <x:c r="D358" s="2" t="str">
        <x:v>2025Q4</x:v>
      </x:c>
      <x:c r="E358" s="20" t="n">
        <x:v>54765.3333333333</x:v>
      </x:c>
      <x:c r="F358" s="20" t="n">
        <x:f>$E$314</x:f>
        <x:v>51302.6333333333</x:v>
      </x:c>
      <x:c r="G358" s="22" t="n">
        <x:f>100*E358/F358</x:f>
        <x:v>106.74955606567305</x:v>
      </x:c>
      <x:c r="H358" s="24" t="n">
        <x:f>G358/100-1</x:f>
        <x:v>0.06749556065673046</x:v>
      </x:c>
      <x:c r="I358" s="26" t="n">
        <x:v>5</x:v>
      </x:c>
      <x:c r="J358" s="26" t="n">
        <x:v>3</x:v>
      </x:c>
      <x:c r="K358" s="7" t="b">
        <x:v>0</x:v>
      </x:c>
      <x:c r="L358" s="2" t="str">
        <x:v>April 2026</x:v>
      </x:c>
      <x:c r="M358" s="2" t="str">
        <x:v>https://datawrapper.dwcdn.net/wQR5S/23/dataset.csv</x:v>
      </x:c>
    </x:row>
    <x:row r="359" ht="24" customHeight="1">
      <x:c r="A359" s="2" t="str">
        <x:v>Ramp</x:v>
      </x:c>
      <x:c r="B359" s="2" t="str">
        <x:v>Quartiles</x:v>
      </x:c>
      <x:c r="C359" s="2" t="str">
        <x:v>Q2</x:v>
      </x:c>
      <x:c r="D359" s="2" t="str">
        <x:v>2025Q4</x:v>
      </x:c>
      <x:c r="E359" s="20" t="n">
        <x:v>25023.6666666667</x:v>
      </x:c>
      <x:c r="F359" s="20" t="n">
        <x:f>$E$315</x:f>
        <x:v>25190.5666666667</x:v>
      </x:c>
      <x:c r="G359" s="22" t="n">
        <x:f>100*E359/F359</x:f>
        <x:v>99.33745039479066</x:v>
      </x:c>
      <x:c r="H359" s="24" t="n">
        <x:f>G359/100-1</x:f>
        <x:v>-0.006625496052093394</x:v>
      </x:c>
      <x:c r="I359" s="26" t="n">
        <x:v>4</x:v>
      </x:c>
      <x:c r="J359" s="26" t="n">
        <x:v>3</x:v>
      </x:c>
      <x:c r="K359" s="7" t="b">
        <x:v>0</x:v>
      </x:c>
      <x:c r="L359" s="2" t="str">
        <x:v>April 2026</x:v>
      </x:c>
      <x:c r="M359" s="2" t="str">
        <x:v>https://datawrapper.dwcdn.net/wQR5S/23/dataset.csv</x:v>
      </x:c>
    </x:row>
    <x:row r="360" ht="24" customHeight="1">
      <x:c r="A360" s="2" t="str">
        <x:v>Ramp</x:v>
      </x:c>
      <x:c r="B360" s="2" t="str">
        <x:v>Quartiles</x:v>
      </x:c>
      <x:c r="C360" s="2" t="str">
        <x:v>Q3</x:v>
      </x:c>
      <x:c r="D360" s="2" t="str">
        <x:v>2025Q4</x:v>
      </x:c>
      <x:c r="E360" s="20" t="n">
        <x:v>31648.6333333333</x:v>
      </x:c>
      <x:c r="F360" s="20" t="n">
        <x:f>$E$316</x:f>
        <x:v>32270.7333333333</x:v>
      </x:c>
      <x:c r="G360" s="22" t="n">
        <x:f>100*E360/F360</x:f>
        <x:v>98.07224709282507</x:v>
      </x:c>
      <x:c r="H360" s="24" t="n">
        <x:f>G360/100-1</x:f>
        <x:v>-0.01927752907174929</x:v>
      </x:c>
      <x:c r="I360" s="26" t="n">
        <x:v>4</x:v>
      </x:c>
      <x:c r="J360" s="26" t="n">
        <x:v>3</x:v>
      </x:c>
      <x:c r="K360" s="7" t="b">
        <x:v>0</x:v>
      </x:c>
      <x:c r="L360" s="2" t="str">
        <x:v>April 2026</x:v>
      </x:c>
      <x:c r="M360" s="2" t="str">
        <x:v>https://datawrapper.dwcdn.net/wQR5S/23/dataset.csv</x:v>
      </x:c>
    </x:row>
    <x:row r="361" ht="24" customHeight="1">
      <x:c r="A361" s="2" t="str">
        <x:v>Ramp</x:v>
      </x:c>
      <x:c r="B361" s="2" t="str">
        <x:v>Quartiles</x:v>
      </x:c>
      <x:c r="C361" s="2" t="str">
        <x:v>Q4</x:v>
      </x:c>
      <x:c r="D361" s="2" t="str">
        <x:v>2025Q4</x:v>
      </x:c>
      <x:c r="E361" s="20" t="n">
        <x:v>23587.8666666667</x:v>
      </x:c>
      <x:c r="F361" s="20" t="n">
        <x:f>$E$317</x:f>
        <x:v>23648.9</x:v>
      </x:c>
      <x:c r="G361" s="22" t="n">
        <x:f>100*E361/F361</x:f>
        <x:v>99.74191893350938</x:v>
      </x:c>
      <x:c r="H361" s="24" t="n">
        <x:f>G361/100-1</x:f>
        <x:v>-0.00258081066490623</x:v>
      </x:c>
      <x:c r="I361" s="26" t="n">
        <x:v>5</x:v>
      </x:c>
      <x:c r="J361" s="26" t="n">
        <x:v>3</x:v>
      </x:c>
      <x:c r="K361" s="7" t="b">
        <x:v>0</x:v>
      </x:c>
      <x:c r="L361" s="2" t="str">
        <x:v>April 2026</x:v>
      </x:c>
      <x:c r="M361" s="2" t="str">
        <x:v>https://datawrapper.dwcdn.net/wQR5S/23/dataset.csv</x:v>
      </x:c>
    </x:row>
    <x:row r="362" ht="24" customHeight="1">
      <x:c r="A362" s="2" t="str">
        <x:v>Ramp</x:v>
      </x:c>
      <x:c r="B362" s="2" t="str">
        <x:v>Quartiles</x:v>
      </x:c>
      <x:c r="C362" s="2" t="str">
        <x:v>Q1</x:v>
      </x:c>
      <x:c r="D362" s="2" t="str">
        <x:v>2026Q1</x:v>
      </x:c>
      <x:c r="E362" s="20" t="n">
        <x:v>54998.3333333333</x:v>
      </x:c>
      <x:c r="F362" s="20" t="n">
        <x:f>$E$314</x:f>
        <x:v>51302.6333333333</x:v>
      </x:c>
      <x:c r="G362" s="22" t="n">
        <x:f>100*E362/F362</x:f>
        <x:v>107.2037237854587</x:v>
      </x:c>
      <x:c r="H362" s="24" t="n">
        <x:f>G362/100-1</x:f>
        <x:v>0.07203723785458704</x:v>
      </x:c>
      <x:c r="I362" s="26" t="n">
        <x:v>5</x:v>
      </x:c>
      <x:c r="J362" s="26" t="n">
        <x:v>3</x:v>
      </x:c>
      <x:c r="K362" s="7" t="b">
        <x:v>0</x:v>
      </x:c>
      <x:c r="L362" s="2" t="str">
        <x:v>April 2026</x:v>
      </x:c>
      <x:c r="M362" s="2" t="str">
        <x:v>https://datawrapper.dwcdn.net/wQR5S/23/dataset.csv</x:v>
      </x:c>
    </x:row>
    <x:row r="363" ht="24" customHeight="1">
      <x:c r="A363" s="2" t="str">
        <x:v>Ramp</x:v>
      </x:c>
      <x:c r="B363" s="2" t="str">
        <x:v>Quartiles</x:v>
      </x:c>
      <x:c r="C363" s="2" t="str">
        <x:v>Q2</x:v>
      </x:c>
      <x:c r="D363" s="2" t="str">
        <x:v>2026Q1</x:v>
      </x:c>
      <x:c r="E363" s="20" t="n">
        <x:v>24991.0333333333</x:v>
      </x:c>
      <x:c r="F363" s="20" t="n">
        <x:f>$E$315</x:f>
        <x:v>25190.5666666667</x:v>
      </x:c>
      <x:c r="G363" s="22" t="n">
        <x:f>100*E363/F363</x:f>
        <x:v>99.20790454627831</x:v>
      </x:c>
      <x:c r="H363" s="24" t="n">
        <x:f>G363/100-1</x:f>
        <x:v>-0.007920954537216862</x:v>
      </x:c>
      <x:c r="I363" s="26" t="n">
        <x:v>4</x:v>
      </x:c>
      <x:c r="J363" s="26" t="n">
        <x:v>3</x:v>
      </x:c>
      <x:c r="K363" s="7" t="b">
        <x:v>0</x:v>
      </x:c>
      <x:c r="L363" s="2" t="str">
        <x:v>April 2026</x:v>
      </x:c>
      <x:c r="M363" s="2" t="str">
        <x:v>https://datawrapper.dwcdn.net/wQR5S/23/dataset.csv</x:v>
      </x:c>
    </x:row>
    <x:row r="364" ht="24" customHeight="1">
      <x:c r="A364" s="2" t="str">
        <x:v>Ramp</x:v>
      </x:c>
      <x:c r="B364" s="2" t="str">
        <x:v>Quartiles</x:v>
      </x:c>
      <x:c r="C364" s="2" t="str">
        <x:v>Q3</x:v>
      </x:c>
      <x:c r="D364" s="2" t="str">
        <x:v>2026Q1</x:v>
      </x:c>
      <x:c r="E364" s="20" t="n">
        <x:v>31681.1666666667</x:v>
      </x:c>
      <x:c r="F364" s="20" t="n">
        <x:f>$E$316</x:f>
        <x:v>32270.7333333333</x:v>
      </x:c>
      <x:c r="G364" s="22" t="n">
        <x:f>100*E364/F364</x:f>
        <x:v>98.1730608332423</x:v>
      </x:c>
      <x:c r="H364" s="24" t="n">
        <x:f>G364/100-1</x:f>
        <x:v>-0.018269391667577017</x:v>
      </x:c>
      <x:c r="I364" s="26" t="n">
        <x:v>4</x:v>
      </x:c>
      <x:c r="J364" s="26" t="n">
        <x:v>3</x:v>
      </x:c>
      <x:c r="K364" s="7" t="b">
        <x:v>0</x:v>
      </x:c>
      <x:c r="L364" s="2" t="str">
        <x:v>April 2026</x:v>
      </x:c>
      <x:c r="M364" s="2" t="str">
        <x:v>https://datawrapper.dwcdn.net/wQR5S/23/dataset.csv</x:v>
      </x:c>
    </x:row>
    <x:row r="365" ht="24" customHeight="1">
      <x:c r="A365" s="2" t="str">
        <x:v>Ramp</x:v>
      </x:c>
      <x:c r="B365" s="2" t="str">
        <x:v>Quartiles</x:v>
      </x:c>
      <x:c r="C365" s="2" t="str">
        <x:v>Q4</x:v>
      </x:c>
      <x:c r="D365" s="2" t="str">
        <x:v>2026Q1</x:v>
      </x:c>
      <x:c r="E365" s="20" t="n">
        <x:v>23524.2333333333</x:v>
      </x:c>
      <x:c r="F365" s="20" t="n">
        <x:f>$E$317</x:f>
        <x:v>23648.9</x:v>
      </x:c>
      <x:c r="G365" s="22" t="n">
        <x:f>100*E365/F365</x:f>
        <x:v>99.47284369815637</x:v>
      </x:c>
      <x:c r="H365" s="24" t="n">
        <x:f>G365/100-1</x:f>
        <x:v>-0.005271563018436343</x:v>
      </x:c>
      <x:c r="I365" s="26" t="n">
        <x:v>5</x:v>
      </x:c>
      <x:c r="J365" s="26" t="n">
        <x:v>3</x:v>
      </x:c>
      <x:c r="K365" s="7" t="b">
        <x:v>0</x:v>
      </x:c>
      <x:c r="L365" s="2" t="str">
        <x:v>April 2026</x:v>
      </x:c>
      <x:c r="M365" s="2" t="str">
        <x:v>https://datawrapper.dwcdn.net/wQR5S/23/dataset.csv</x:v>
      </x:c>
    </x:row>
    <x:row r="366" ht="24" customHeight="1">
      <x:c r="A366" s="2" t="str">
        <x:v>Ramp</x:v>
      </x:c>
      <x:c r="B366" s="2" t="str">
        <x:v>Quartiles</x:v>
      </x:c>
      <x:c r="C366" s="2" t="str">
        <x:v>Q1</x:v>
      </x:c>
      <x:c r="D366" s="2" t="str">
        <x:v>2026Q2</x:v>
      </x:c>
      <x:c r="E366" s="20" t="n">
        <x:v>55176</x:v>
      </x:c>
      <x:c r="F366" s="20" t="n">
        <x:f>$E$314</x:f>
        <x:v>51302.6333333333</x:v>
      </x:c>
      <x:c r="G366" s="22" t="n">
        <x:f>100*E366/F366</x:f>
        <x:v>107.55003479353567</x:v>
      </x:c>
      <x:c r="H366" s="24" t="n">
        <x:f>G366/100-1</x:f>
        <x:v>0.07550034793535665</x:v>
      </x:c>
      <x:c r="I366" s="26" t="n">
        <x:v>5</x:v>
      </x:c>
      <x:c r="J366" s="26" t="n">
        <x:v>3</x:v>
      </x:c>
      <x:c r="K366" s="7" t="b">
        <x:v>0</x:v>
      </x:c>
      <x:c r="L366" s="2" t="str">
        <x:v>April 2026</x:v>
      </x:c>
      <x:c r="M366" s="2" t="str">
        <x:v>https://datawrapper.dwcdn.net/wQR5S/23/dataset.csv</x:v>
      </x:c>
    </x:row>
    <x:row r="367" ht="24" customHeight="1">
      <x:c r="A367" s="2" t="str">
        <x:v>Ramp</x:v>
      </x:c>
      <x:c r="B367" s="2" t="str">
        <x:v>Quartiles</x:v>
      </x:c>
      <x:c r="C367" s="2" t="str">
        <x:v>Q2</x:v>
      </x:c>
      <x:c r="D367" s="2" t="str">
        <x:v>2026Q2</x:v>
      </x:c>
      <x:c r="E367" s="20" t="n">
        <x:v>25069.2333333333</x:v>
      </x:c>
      <x:c r="F367" s="20" t="n">
        <x:f>$E$315</x:f>
        <x:v>25190.5666666667</x:v>
      </x:c>
      <x:c r="G367" s="22" t="n">
        <x:f>100*E367/F367</x:f>
        <x:v>99.51833821390787</x:v>
      </x:c>
      <x:c r="H367" s="24" t="n">
        <x:f>G367/100-1</x:f>
        <x:v>-0.004816617860921357</x:v>
      </x:c>
      <x:c r="I367" s="26" t="n">
        <x:v>4</x:v>
      </x:c>
      <x:c r="J367" s="26" t="n">
        <x:v>3</x:v>
      </x:c>
      <x:c r="K367" s="7" t="b">
        <x:v>0</x:v>
      </x:c>
      <x:c r="L367" s="2" t="str">
        <x:v>April 2026</x:v>
      </x:c>
      <x:c r="M367" s="2" t="str">
        <x:v>https://datawrapper.dwcdn.net/wQR5S/23/dataset.csv</x:v>
      </x:c>
    </x:row>
    <x:row r="368" ht="24" customHeight="1">
      <x:c r="A368" s="2" t="str">
        <x:v>Ramp</x:v>
      </x:c>
      <x:c r="B368" s="2" t="str">
        <x:v>Quartiles</x:v>
      </x:c>
      <x:c r="C368" s="2" t="str">
        <x:v>Q3</x:v>
      </x:c>
      <x:c r="D368" s="2" t="str">
        <x:v>2026Q2</x:v>
      </x:c>
      <x:c r="E368" s="20" t="n">
        <x:v>31737.3333333333</x:v>
      </x:c>
      <x:c r="F368" s="20" t="n">
        <x:f>$E$316</x:f>
        <x:v>32270.7333333333</x:v>
      </x:c>
      <x:c r="G368" s="22" t="n">
        <x:f>100*E368/F368</x:f>
        <x:v>98.34710914533498</x:v>
      </x:c>
      <x:c r="H368" s="24" t="n">
        <x:f>G368/100-1</x:f>
        <x:v>-0.016528908546650123</x:v>
      </x:c>
      <x:c r="I368" s="26" t="n">
        <x:v>4</x:v>
      </x:c>
      <x:c r="J368" s="26" t="n">
        <x:v>3</x:v>
      </x:c>
      <x:c r="K368" s="7" t="b">
        <x:v>0</x:v>
      </x:c>
      <x:c r="L368" s="2" t="str">
        <x:v>April 2026</x:v>
      </x:c>
      <x:c r="M368" s="2" t="str">
        <x:v>https://datawrapper.dwcdn.net/wQR5S/23/dataset.csv</x:v>
      </x:c>
    </x:row>
    <x:row r="369" ht="24" customHeight="1">
      <x:c r="A369" s="2" t="str">
        <x:v>Ramp</x:v>
      </x:c>
      <x:c r="B369" s="2" t="str">
        <x:v>Quartiles</x:v>
      </x:c>
      <x:c r="C369" s="2" t="str">
        <x:v>Q4</x:v>
      </x:c>
      <x:c r="D369" s="2" t="str">
        <x:v>2026Q2</x:v>
      </x:c>
      <x:c r="E369" s="20" t="n">
        <x:v>23494.3666666667</x:v>
      </x:c>
      <x:c r="F369" s="20" t="n">
        <x:f>$E$317</x:f>
        <x:v>23648.9</x:v>
      </x:c>
      <x:c r="G369" s="22" t="n">
        <x:f>100*E369/F369</x:f>
        <x:v>99.34655170712676</x:v>
      </x:c>
      <x:c r="H369" s="24" t="n">
        <x:f>G369/100-1</x:f>
        <x:v>-0.006534482928732377</x:v>
      </x:c>
      <x:c r="I369" s="26" t="n">
        <x:v>5</x:v>
      </x:c>
      <x:c r="J369" s="26" t="n">
        <x:v>3</x:v>
      </x:c>
      <x:c r="K369" s="7" t="b">
        <x:v>0</x:v>
      </x:c>
      <x:c r="L369" s="2" t="str">
        <x:v>April 2026</x:v>
      </x:c>
      <x:c r="M369" s="2" t="str">
        <x:v>https://datawrapper.dwcdn.net/wQR5S/23/dataset.csv</x:v>
      </x:c>
    </x:row>
    <x:row r="370" ht="24" customHeight="1">
      <x:c r="A370" s="2" t="str">
        <x:v>Ramp</x:v>
      </x:c>
      <x:c r="B370" s="2" t="str">
        <x:v>Quintiles</x:v>
      </x:c>
      <x:c r="C370" s="2" t="str">
        <x:v>Q1</x:v>
      </x:c>
      <x:c r="D370" s="2" t="str">
        <x:v>2023Q1</x:v>
      </x:c>
      <x:c r="E370" s="20" t="n">
        <x:v>30131.1</x:v>
      </x:c>
      <x:c r="F370" s="20" t="n">
        <x:f>$E$370</x:f>
        <x:v>30131.1</x:v>
      </x:c>
      <x:c r="G370" s="22" t="n">
        <x:f>100*E370/F370</x:f>
        <x:v>100</x:v>
      </x:c>
      <x:c r="H370" s="24" t="n">
        <x:f>G370/100-1</x:f>
        <x:v>0</x:v>
      </x:c>
      <x:c r="I370" s="26" t="n">
        <x:v>4</x:v>
      </x:c>
      <x:c r="J370" s="26" t="n">
        <x:v>3</x:v>
      </x:c>
      <x:c r="K370" s="7" t="b">
        <x:v>0</x:v>
      </x:c>
      <x:c r="L370" s="2" t="str">
        <x:v>April 2026</x:v>
      </x:c>
      <x:c r="M370" s="2" t="str">
        <x:v>https://datawrapper.dwcdn.net/wQR5S/23/dataset.csv</x:v>
      </x:c>
    </x:row>
    <x:row r="371" ht="24" customHeight="1">
      <x:c r="A371" s="2" t="str">
        <x:v>Ramp</x:v>
      </x:c>
      <x:c r="B371" s="2" t="str">
        <x:v>Quintiles</x:v>
      </x:c>
      <x:c r="C371" s="2" t="str">
        <x:v>Q2</x:v>
      </x:c>
      <x:c r="D371" s="2" t="str">
        <x:v>2023Q1</x:v>
      </x:c>
      <x:c r="E371" s="20" t="n">
        <x:v>30200.9333333333</x:v>
      </x:c>
      <x:c r="F371" s="20" t="n">
        <x:f>$E$371</x:f>
        <x:v>30200.9333333333</x:v>
      </x:c>
      <x:c r="G371" s="22" t="n">
        <x:f>100*E371/F371</x:f>
        <x:v>100</x:v>
      </x:c>
      <x:c r="H371" s="24" t="n">
        <x:f>G371/100-1</x:f>
        <x:v>0</x:v>
      </x:c>
      <x:c r="I371" s="26" t="n">
        <x:v>3</x:v>
      </x:c>
      <x:c r="J371" s="26" t="n">
        <x:v>3</x:v>
      </x:c>
      <x:c r="K371" s="7" t="b">
        <x:v>0</x:v>
      </x:c>
      <x:c r="L371" s="2" t="str">
        <x:v>April 2026</x:v>
      </x:c>
      <x:c r="M371" s="2" t="str">
        <x:v>https://datawrapper.dwcdn.net/wQR5S/23/dataset.csv</x:v>
      </x:c>
    </x:row>
    <x:row r="372" ht="24" customHeight="1">
      <x:c r="A372" s="2" t="str">
        <x:v>Ramp</x:v>
      </x:c>
      <x:c r="B372" s="2" t="str">
        <x:v>Quintiles</x:v>
      </x:c>
      <x:c r="C372" s="2" t="str">
        <x:v>Q3</x:v>
      </x:c>
      <x:c r="D372" s="2" t="str">
        <x:v>2023Q1</x:v>
      </x:c>
      <x:c r="E372" s="20" t="n">
        <x:v>31749.8333333333</x:v>
      </x:c>
      <x:c r="F372" s="20" t="n">
        <x:f>$E$372</x:f>
        <x:v>31749.8333333333</x:v>
      </x:c>
      <x:c r="G372" s="22" t="n">
        <x:f>100*E372/F372</x:f>
        <x:v>100</x:v>
      </x:c>
      <x:c r="H372" s="24" t="n">
        <x:f>G372/100-1</x:f>
        <x:v>0</x:v>
      </x:c>
      <x:c r="I372" s="26" t="n">
        <x:v>4</x:v>
      </x:c>
      <x:c r="J372" s="26" t="n">
        <x:v>3</x:v>
      </x:c>
      <x:c r="K372" s="7" t="b">
        <x:v>0</x:v>
      </x:c>
      <x:c r="L372" s="2" t="str">
        <x:v>April 2026</x:v>
      </x:c>
      <x:c r="M372" s="2" t="str">
        <x:v>https://datawrapper.dwcdn.net/wQR5S/23/dataset.csv</x:v>
      </x:c>
    </x:row>
    <x:row r="373" ht="24" customHeight="1">
      <x:c r="A373" s="2" t="str">
        <x:v>Ramp</x:v>
      </x:c>
      <x:c r="B373" s="2" t="str">
        <x:v>Quintiles</x:v>
      </x:c>
      <x:c r="C373" s="2" t="str">
        <x:v>Q4</x:v>
      </x:c>
      <x:c r="D373" s="2" t="str">
        <x:v>2023Q1</x:v>
      </x:c>
      <x:c r="E373" s="20" t="n">
        <x:v>19279.9666666667</x:v>
      </x:c>
      <x:c r="F373" s="20" t="n">
        <x:f>$E$373</x:f>
        <x:v>19279.9666666667</x:v>
      </x:c>
      <x:c r="G373" s="22" t="n">
        <x:f>100*E373/F373</x:f>
        <x:v>100</x:v>
      </x:c>
      <x:c r="H373" s="24" t="n">
        <x:f>G373/100-1</x:f>
        <x:v>0</x:v>
      </x:c>
      <x:c r="I373" s="26" t="n">
        <x:v>3</x:v>
      </x:c>
      <x:c r="J373" s="26" t="n">
        <x:v>3</x:v>
      </x:c>
      <x:c r="K373" s="7" t="b">
        <x:v>0</x:v>
      </x:c>
      <x:c r="L373" s="2" t="str">
        <x:v>April 2026</x:v>
      </x:c>
      <x:c r="M373" s="2" t="str">
        <x:v>https://datawrapper.dwcdn.net/wQR5S/23/dataset.csv</x:v>
      </x:c>
    </x:row>
    <x:row r="374" ht="24" customHeight="1">
      <x:c r="A374" s="2" t="str">
        <x:v>Ramp</x:v>
      </x:c>
      <x:c r="B374" s="2" t="str">
        <x:v>Quintiles</x:v>
      </x:c>
      <x:c r="C374" s="2" t="str">
        <x:v>Q5</x:v>
      </x:c>
      <x:c r="D374" s="2" t="str">
        <x:v>2023Q1</x:v>
      </x:c>
      <x:c r="E374" s="20" t="n">
        <x:v>21051</x:v>
      </x:c>
      <x:c r="F374" s="20" t="n">
        <x:f>$E$374</x:f>
        <x:v>21051</x:v>
      </x:c>
      <x:c r="G374" s="22" t="n">
        <x:f>100*E374/F374</x:f>
        <x:v>100</x:v>
      </x:c>
      <x:c r="H374" s="24" t="n">
        <x:f>G374/100-1</x:f>
        <x:v>0</x:v>
      </x:c>
      <x:c r="I374" s="26" t="n">
        <x:v>4</x:v>
      </x:c>
      <x:c r="J374" s="26" t="n">
        <x:v>3</x:v>
      </x:c>
      <x:c r="K374" s="7" t="b">
        <x:v>0</x:v>
      </x:c>
      <x:c r="L374" s="2" t="str">
        <x:v>April 2026</x:v>
      </x:c>
      <x:c r="M374" s="2" t="str">
        <x:v>https://datawrapper.dwcdn.net/wQR5S/23/dataset.csv</x:v>
      </x:c>
    </x:row>
    <x:row r="375" ht="24" customHeight="1">
      <x:c r="A375" s="2" t="str">
        <x:v>Ramp</x:v>
      </x:c>
      <x:c r="B375" s="2" t="str">
        <x:v>Quintiles</x:v>
      </x:c>
      <x:c r="C375" s="2" t="str">
        <x:v>Q1</x:v>
      </x:c>
      <x:c r="D375" s="2" t="str">
        <x:v>2023Q2</x:v>
      </x:c>
      <x:c r="E375" s="20" t="n">
        <x:v>30327.6</x:v>
      </x:c>
      <x:c r="F375" s="20" t="n">
        <x:f>$E$370</x:f>
        <x:v>30131.1</x:v>
      </x:c>
      <x:c r="G375" s="22" t="n">
        <x:f>100*E375/F375</x:f>
        <x:v>100.65215010404533</x:v>
      </x:c>
      <x:c r="H375" s="24" t="n">
        <x:f>G375/100-1</x:f>
        <x:v>0.006521501040453348</x:v>
      </x:c>
      <x:c r="I375" s="26" t="n">
        <x:v>4</x:v>
      </x:c>
      <x:c r="J375" s="26" t="n">
        <x:v>3</x:v>
      </x:c>
      <x:c r="K375" s="7" t="b">
        <x:v>0</x:v>
      </x:c>
      <x:c r="L375" s="2" t="str">
        <x:v>April 2026</x:v>
      </x:c>
      <x:c r="M375" s="2" t="str">
        <x:v>https://datawrapper.dwcdn.net/wQR5S/23/dataset.csv</x:v>
      </x:c>
    </x:row>
    <x:row r="376" ht="24" customHeight="1">
      <x:c r="A376" s="2" t="str">
        <x:v>Ramp</x:v>
      </x:c>
      <x:c r="B376" s="2" t="str">
        <x:v>Quintiles</x:v>
      </x:c>
      <x:c r="C376" s="2" t="str">
        <x:v>Q2</x:v>
      </x:c>
      <x:c r="D376" s="2" t="str">
        <x:v>2023Q2</x:v>
      </x:c>
      <x:c r="E376" s="20" t="n">
        <x:v>30427.6666666667</x:v>
      </x:c>
      <x:c r="F376" s="20" t="n">
        <x:f>$E$371</x:f>
        <x:v>30200.9333333333</x:v>
      </x:c>
      <x:c r="G376" s="22" t="n">
        <x:f>100*E376/F376</x:f>
        <x:v>100.7507494249628</x:v>
      </x:c>
      <x:c r="H376" s="24" t="n">
        <x:f>G376/100-1</x:f>
        <x:v>0.007507494249628044</x:v>
      </x:c>
      <x:c r="I376" s="26" t="n">
        <x:v>3</x:v>
      </x:c>
      <x:c r="J376" s="26" t="n">
        <x:v>3</x:v>
      </x:c>
      <x:c r="K376" s="7" t="b">
        <x:v>0</x:v>
      </x:c>
      <x:c r="L376" s="2" t="str">
        <x:v>April 2026</x:v>
      </x:c>
      <x:c r="M376" s="2" t="str">
        <x:v>https://datawrapper.dwcdn.net/wQR5S/23/dataset.csv</x:v>
      </x:c>
    </x:row>
    <x:row r="377" ht="24" customHeight="1">
      <x:c r="A377" s="2" t="str">
        <x:v>Ramp</x:v>
      </x:c>
      <x:c r="B377" s="2" t="str">
        <x:v>Quintiles</x:v>
      </x:c>
      <x:c r="C377" s="2" t="str">
        <x:v>Q3</x:v>
      </x:c>
      <x:c r="D377" s="2" t="str">
        <x:v>2023Q2</x:v>
      </x:c>
      <x:c r="E377" s="20" t="n">
        <x:v>31700.0666666667</x:v>
      </x:c>
      <x:c r="F377" s="20" t="n">
        <x:f>$E$372</x:f>
        <x:v>31749.8333333333</x:v>
      </x:c>
      <x:c r="G377" s="22" t="n">
        <x:f>100*E377/F377</x:f>
        <x:v>99.8432537703612</x:v>
      </x:c>
      <x:c r="H377" s="24" t="n">
        <x:f>G377/100-1</x:f>
        <x:v>-0.0015674622963879337</x:v>
      </x:c>
      <x:c r="I377" s="26" t="n">
        <x:v>4</x:v>
      </x:c>
      <x:c r="J377" s="26" t="n">
        <x:v>3</x:v>
      </x:c>
      <x:c r="K377" s="7" t="b">
        <x:v>0</x:v>
      </x:c>
      <x:c r="L377" s="2" t="str">
        <x:v>April 2026</x:v>
      </x:c>
      <x:c r="M377" s="2" t="str">
        <x:v>https://datawrapper.dwcdn.net/wQR5S/23/dataset.csv</x:v>
      </x:c>
    </x:row>
    <x:row r="378" ht="24" customHeight="1">
      <x:c r="A378" s="2" t="str">
        <x:v>Ramp</x:v>
      </x:c>
      <x:c r="B378" s="2" t="str">
        <x:v>Quintiles</x:v>
      </x:c>
      <x:c r="C378" s="2" t="str">
        <x:v>Q4</x:v>
      </x:c>
      <x:c r="D378" s="2" t="str">
        <x:v>2023Q2</x:v>
      </x:c>
      <x:c r="E378" s="20" t="n">
        <x:v>19315.2666666667</x:v>
      </x:c>
      <x:c r="F378" s="20" t="n">
        <x:f>$E$373</x:f>
        <x:v>19279.9666666667</x:v>
      </x:c>
      <x:c r="G378" s="22" t="n">
        <x:f>100*E378/F378</x:f>
        <x:v>100.18309160285547</x:v>
      </x:c>
      <x:c r="H378" s="24" t="n">
        <x:f>G378/100-1</x:f>
        <x:v>0.0018309160285547854</x:v>
      </x:c>
      <x:c r="I378" s="26" t="n">
        <x:v>3</x:v>
      </x:c>
      <x:c r="J378" s="26" t="n">
        <x:v>3</x:v>
      </x:c>
      <x:c r="K378" s="7" t="b">
        <x:v>0</x:v>
      </x:c>
      <x:c r="L378" s="2" t="str">
        <x:v>April 2026</x:v>
      </x:c>
      <x:c r="M378" s="2" t="str">
        <x:v>https://datawrapper.dwcdn.net/wQR5S/23/dataset.csv</x:v>
      </x:c>
    </x:row>
    <x:row r="379" ht="24" customHeight="1">
      <x:c r="A379" s="2" t="str">
        <x:v>Ramp</x:v>
      </x:c>
      <x:c r="B379" s="2" t="str">
        <x:v>Quintiles</x:v>
      </x:c>
      <x:c r="C379" s="2" t="str">
        <x:v>Q5</x:v>
      </x:c>
      <x:c r="D379" s="2" t="str">
        <x:v>2023Q2</x:v>
      </x:c>
      <x:c r="E379" s="20" t="n">
        <x:v>21101.8</x:v>
      </x:c>
      <x:c r="F379" s="20" t="n">
        <x:f>$E$374</x:f>
        <x:v>21051</x:v>
      </x:c>
      <x:c r="G379" s="22" t="n">
        <x:f>100*E379/F379</x:f>
        <x:v>100.24131870219942</x:v>
      </x:c>
      <x:c r="H379" s="24" t="n">
        <x:f>G379/100-1</x:f>
        <x:v>0.002413187021994112</x:v>
      </x:c>
      <x:c r="I379" s="26" t="n">
        <x:v>4</x:v>
      </x:c>
      <x:c r="J379" s="26" t="n">
        <x:v>3</x:v>
      </x:c>
      <x:c r="K379" s="7" t="b">
        <x:v>0</x:v>
      </x:c>
      <x:c r="L379" s="2" t="str">
        <x:v>April 2026</x:v>
      </x:c>
      <x:c r="M379" s="2" t="str">
        <x:v>https://datawrapper.dwcdn.net/wQR5S/23/dataset.csv</x:v>
      </x:c>
    </x:row>
    <x:row r="380" ht="24" customHeight="1">
      <x:c r="A380" s="2" t="str">
        <x:v>Ramp</x:v>
      </x:c>
      <x:c r="B380" s="2" t="str">
        <x:v>Quintiles</x:v>
      </x:c>
      <x:c r="C380" s="2" t="str">
        <x:v>Q1</x:v>
      </x:c>
      <x:c r="D380" s="2" t="str">
        <x:v>2023Q3</x:v>
      </x:c>
      <x:c r="E380" s="20" t="n">
        <x:v>30541.2666666667</x:v>
      </x:c>
      <x:c r="F380" s="20" t="n">
        <x:f>$E$370</x:f>
        <x:v>30131.1</x:v>
      </x:c>
      <x:c r="G380" s="22" t="n">
        <x:f>100*E380/F380</x:f>
        <x:v>101.36127345721431</x:v>
      </x:c>
      <x:c r="H380" s="24" t="n">
        <x:f>G380/100-1</x:f>
        <x:v>0.01361273457214307</x:v>
      </x:c>
      <x:c r="I380" s="26" t="n">
        <x:v>4</x:v>
      </x:c>
      <x:c r="J380" s="26" t="n">
        <x:v>3</x:v>
      </x:c>
      <x:c r="K380" s="7" t="b">
        <x:v>0</x:v>
      </x:c>
      <x:c r="L380" s="2" t="str">
        <x:v>April 2026</x:v>
      </x:c>
      <x:c r="M380" s="2" t="str">
        <x:v>https://datawrapper.dwcdn.net/wQR5S/23/dataset.csv</x:v>
      </x:c>
    </x:row>
    <x:row r="381" ht="24" customHeight="1">
      <x:c r="A381" s="2" t="str">
        <x:v>Ramp</x:v>
      </x:c>
      <x:c r="B381" s="2" t="str">
        <x:v>Quintiles</x:v>
      </x:c>
      <x:c r="C381" s="2" t="str">
        <x:v>Q2</x:v>
      </x:c>
      <x:c r="D381" s="2" t="str">
        <x:v>2023Q3</x:v>
      </x:c>
      <x:c r="E381" s="20" t="n">
        <x:v>30721.8333333333</x:v>
      </x:c>
      <x:c r="F381" s="20" t="n">
        <x:f>$E$371</x:f>
        <x:v>30200.9333333333</x:v>
      </x:c>
      <x:c r="G381" s="22" t="n">
        <x:f>100*E381/F381</x:f>
        <x:v>101.72478113259191</x:v>
      </x:c>
      <x:c r="H381" s="24" t="n">
        <x:f>G381/100-1</x:f>
        <x:v>0.017247811325919127</x:v>
      </x:c>
      <x:c r="I381" s="26" t="n">
        <x:v>3</x:v>
      </x:c>
      <x:c r="J381" s="26" t="n">
        <x:v>3</x:v>
      </x:c>
      <x:c r="K381" s="7" t="b">
        <x:v>0</x:v>
      </x:c>
      <x:c r="L381" s="2" t="str">
        <x:v>April 2026</x:v>
      </x:c>
      <x:c r="M381" s="2" t="str">
        <x:v>https://datawrapper.dwcdn.net/wQR5S/23/dataset.csv</x:v>
      </x:c>
    </x:row>
    <x:row r="382" ht="24" customHeight="1">
      <x:c r="A382" s="2" t="str">
        <x:v>Ramp</x:v>
      </x:c>
      <x:c r="B382" s="2" t="str">
        <x:v>Quintiles</x:v>
      </x:c>
      <x:c r="C382" s="2" t="str">
        <x:v>Q3</x:v>
      </x:c>
      <x:c r="D382" s="2" t="str">
        <x:v>2023Q3</x:v>
      </x:c>
      <x:c r="E382" s="20" t="n">
        <x:v>31612.9333333333</x:v>
      </x:c>
      <x:c r="F382" s="20" t="n">
        <x:f>$E$372</x:f>
        <x:v>31749.8333333333</x:v>
      </x:c>
      <x:c r="G382" s="22" t="n">
        <x:f>100*E382/F382</x:f>
        <x:v>99.56881663420806</x:v>
      </x:c>
      <x:c r="H382" s="24" t="n">
        <x:f>G382/100-1</x:f>
        <x:v>-0.004311833657919428</x:v>
      </x:c>
      <x:c r="I382" s="26" t="n">
        <x:v>4</x:v>
      </x:c>
      <x:c r="J382" s="26" t="n">
        <x:v>3</x:v>
      </x:c>
      <x:c r="K382" s="7" t="b">
        <x:v>0</x:v>
      </x:c>
      <x:c r="L382" s="2" t="str">
        <x:v>April 2026</x:v>
      </x:c>
      <x:c r="M382" s="2" t="str">
        <x:v>https://datawrapper.dwcdn.net/wQR5S/23/dataset.csv</x:v>
      </x:c>
    </x:row>
    <x:row r="383" ht="24" customHeight="1">
      <x:c r="A383" s="2" t="str">
        <x:v>Ramp</x:v>
      </x:c>
      <x:c r="B383" s="2" t="str">
        <x:v>Quintiles</x:v>
      </x:c>
      <x:c r="C383" s="2" t="str">
        <x:v>Q4</x:v>
      </x:c>
      <x:c r="D383" s="2" t="str">
        <x:v>2023Q3</x:v>
      </x:c>
      <x:c r="E383" s="20" t="n">
        <x:v>19345.4666666667</x:v>
      </x:c>
      <x:c r="F383" s="20" t="n">
        <x:f>$E$373</x:f>
        <x:v>19279.9666666667</x:v>
      </x:c>
      <x:c r="G383" s="22" t="n">
        <x:f>100*E383/F383</x:f>
        <x:v>100.33973087781963</x:v>
      </x:c>
      <x:c r="H383" s="24" t="n">
        <x:f>G383/100-1</x:f>
        <x:v>0.0033973087781964395</x:v>
      </x:c>
      <x:c r="I383" s="26" t="n">
        <x:v>3</x:v>
      </x:c>
      <x:c r="J383" s="26" t="n">
        <x:v>3</x:v>
      </x:c>
      <x:c r="K383" s="7" t="b">
        <x:v>0</x:v>
      </x:c>
      <x:c r="L383" s="2" t="str">
        <x:v>April 2026</x:v>
      </x:c>
      <x:c r="M383" s="2" t="str">
        <x:v>https://datawrapper.dwcdn.net/wQR5S/23/dataset.csv</x:v>
      </x:c>
    </x:row>
    <x:row r="384" ht="24" customHeight="1">
      <x:c r="A384" s="2" t="str">
        <x:v>Ramp</x:v>
      </x:c>
      <x:c r="B384" s="2" t="str">
        <x:v>Quintiles</x:v>
      </x:c>
      <x:c r="C384" s="2" t="str">
        <x:v>Q5</x:v>
      </x:c>
      <x:c r="D384" s="2" t="str">
        <x:v>2023Q3</x:v>
      </x:c>
      <x:c r="E384" s="20" t="n">
        <x:v>21075.4</x:v>
      </x:c>
      <x:c r="F384" s="20" t="n">
        <x:f>$E$374</x:f>
        <x:v>21051</x:v>
      </x:c>
      <x:c r="G384" s="22" t="n">
        <x:f>100*E384/F384</x:f>
        <x:v>100.11590898294618</x:v>
      </x:c>
      <x:c r="H384" s="24" t="n">
        <x:f>G384/100-1</x:f>
        <x:v>0.001159089829461779</x:v>
      </x:c>
      <x:c r="I384" s="26" t="n">
        <x:v>4</x:v>
      </x:c>
      <x:c r="J384" s="26" t="n">
        <x:v>3</x:v>
      </x:c>
      <x:c r="K384" s="7" t="b">
        <x:v>0</x:v>
      </x:c>
      <x:c r="L384" s="2" t="str">
        <x:v>April 2026</x:v>
      </x:c>
      <x:c r="M384" s="2" t="str">
        <x:v>https://datawrapper.dwcdn.net/wQR5S/23/dataset.csv</x:v>
      </x:c>
    </x:row>
    <x:row r="385" ht="24" customHeight="1">
      <x:c r="A385" s="2" t="str">
        <x:v>Ramp</x:v>
      </x:c>
      <x:c r="B385" s="2" t="str">
        <x:v>Quintiles</x:v>
      </x:c>
      <x:c r="C385" s="2" t="str">
        <x:v>Q1</x:v>
      </x:c>
      <x:c r="D385" s="2" t="str">
        <x:v>2023Q4</x:v>
      </x:c>
      <x:c r="E385" s="20" t="n">
        <x:v>30686.5333333333</x:v>
      </x:c>
      <x:c r="F385" s="20" t="n">
        <x:f>$E$370</x:f>
        <x:v>30131.1</x:v>
      </x:c>
      <x:c r="G385" s="22" t="n">
        <x:f>100*E385/F385</x:f>
        <x:v>101.84338883523438</x:v>
      </x:c>
      <x:c r="H385" s="24" t="n">
        <x:f>G385/100-1</x:f>
        <x:v>0.01843388835234383</x:v>
      </x:c>
      <x:c r="I385" s="26" t="n">
        <x:v>4</x:v>
      </x:c>
      <x:c r="J385" s="26" t="n">
        <x:v>3</x:v>
      </x:c>
      <x:c r="K385" s="7" t="b">
        <x:v>0</x:v>
      </x:c>
      <x:c r="L385" s="2" t="str">
        <x:v>April 2026</x:v>
      </x:c>
      <x:c r="M385" s="2" t="str">
        <x:v>https://datawrapper.dwcdn.net/wQR5S/23/dataset.csv</x:v>
      </x:c>
    </x:row>
    <x:row r="386" ht="24" customHeight="1">
      <x:c r="A386" s="2" t="str">
        <x:v>Ramp</x:v>
      </x:c>
      <x:c r="B386" s="2" t="str">
        <x:v>Quintiles</x:v>
      </x:c>
      <x:c r="C386" s="2" t="str">
        <x:v>Q2</x:v>
      </x:c>
      <x:c r="D386" s="2" t="str">
        <x:v>2023Q4</x:v>
      </x:c>
      <x:c r="E386" s="20" t="n">
        <x:v>30997.5333333333</x:v>
      </x:c>
      <x:c r="F386" s="20" t="n">
        <x:f>$E$371</x:f>
        <x:v>30200.9333333333</x:v>
      </x:c>
      <x:c r="G386" s="22" t="n">
        <x:f>100*E386/F386</x:f>
        <x:v>102.63766682707379</x:v>
      </x:c>
      <x:c r="H386" s="24" t="n">
        <x:f>G386/100-1</x:f>
        <x:v>0.026376668270737813</x:v>
      </x:c>
      <x:c r="I386" s="26" t="n">
        <x:v>3</x:v>
      </x:c>
      <x:c r="J386" s="26" t="n">
        <x:v>3</x:v>
      </x:c>
      <x:c r="K386" s="7" t="b">
        <x:v>0</x:v>
      </x:c>
      <x:c r="L386" s="2" t="str">
        <x:v>April 2026</x:v>
      </x:c>
      <x:c r="M386" s="2" t="str">
        <x:v>https://datawrapper.dwcdn.net/wQR5S/23/dataset.csv</x:v>
      </x:c>
    </x:row>
    <x:row r="387" ht="24" customHeight="1">
      <x:c r="A387" s="2" t="str">
        <x:v>Ramp</x:v>
      </x:c>
      <x:c r="B387" s="2" t="str">
        <x:v>Quintiles</x:v>
      </x:c>
      <x:c r="C387" s="2" t="str">
        <x:v>Q3</x:v>
      </x:c>
      <x:c r="D387" s="2" t="str">
        <x:v>2023Q4</x:v>
      </x:c>
      <x:c r="E387" s="20" t="n">
        <x:v>31530.6666666667</x:v>
      </x:c>
      <x:c r="F387" s="20" t="n">
        <x:f>$E$372</x:f>
        <x:v>31749.8333333333</x:v>
      </x:c>
      <x:c r="G387" s="22" t="n">
        <x:f>100*E387/F387</x:f>
        <x:v>99.30970766250763</x:v>
      </x:c>
      <x:c r="H387" s="24" t="n">
        <x:f>G387/100-1</x:f>
        <x:v>-0.0069029233749237084</x:v>
      </x:c>
      <x:c r="I387" s="26" t="n">
        <x:v>4</x:v>
      </x:c>
      <x:c r="J387" s="26" t="n">
        <x:v>3</x:v>
      </x:c>
      <x:c r="K387" s="7" t="b">
        <x:v>0</x:v>
      </x:c>
      <x:c r="L387" s="2" t="str">
        <x:v>April 2026</x:v>
      </x:c>
      <x:c r="M387" s="2" t="str">
        <x:v>https://datawrapper.dwcdn.net/wQR5S/23/dataset.csv</x:v>
      </x:c>
    </x:row>
    <x:row r="388" ht="24" customHeight="1">
      <x:c r="A388" s="2" t="str">
        <x:v>Ramp</x:v>
      </x:c>
      <x:c r="B388" s="2" t="str">
        <x:v>Quintiles</x:v>
      </x:c>
      <x:c r="C388" s="2" t="str">
        <x:v>Q4</x:v>
      </x:c>
      <x:c r="D388" s="2" t="str">
        <x:v>2023Q4</x:v>
      </x:c>
      <x:c r="E388" s="20" t="n">
        <x:v>19378</x:v>
      </x:c>
      <x:c r="F388" s="20" t="n">
        <x:f>$E$373</x:f>
        <x:v>19279.9666666667</x:v>
      </x:c>
      <x:c r="G388" s="22" t="n">
        <x:f>100*E388/F388</x:f>
        <x:v>100.50847252502147</x:v>
      </x:c>
      <x:c r="H388" s="24" t="n">
        <x:f>G388/100-1</x:f>
        <x:v>0.005084725250214639</x:v>
      </x:c>
      <x:c r="I388" s="26" t="n">
        <x:v>3</x:v>
      </x:c>
      <x:c r="J388" s="26" t="n">
        <x:v>3</x:v>
      </x:c>
      <x:c r="K388" s="7" t="b">
        <x:v>0</x:v>
      </x:c>
      <x:c r="L388" s="2" t="str">
        <x:v>April 2026</x:v>
      </x:c>
      <x:c r="M388" s="2" t="str">
        <x:v>https://datawrapper.dwcdn.net/wQR5S/23/dataset.csv</x:v>
      </x:c>
    </x:row>
    <x:row r="389" ht="24" customHeight="1">
      <x:c r="A389" s="2" t="str">
        <x:v>Ramp</x:v>
      </x:c>
      <x:c r="B389" s="2" t="str">
        <x:v>Quintiles</x:v>
      </x:c>
      <x:c r="C389" s="2" t="str">
        <x:v>Q5</x:v>
      </x:c>
      <x:c r="D389" s="2" t="str">
        <x:v>2023Q4</x:v>
      </x:c>
      <x:c r="E389" s="20" t="n">
        <x:v>21034.6333333333</x:v>
      </x:c>
      <x:c r="F389" s="20" t="n">
        <x:f>$E$374</x:f>
        <x:v>21051</x:v>
      </x:c>
      <x:c r="G389" s="22" t="n">
        <x:f>100*E389/F389</x:f>
        <x:v>99.92225230788702</x:v>
      </x:c>
      <x:c r="H389" s="24" t="n">
        <x:f>G389/100-1</x:f>
        <x:v>-0.0007774769211298382</x:v>
      </x:c>
      <x:c r="I389" s="26" t="n">
        <x:v>4</x:v>
      </x:c>
      <x:c r="J389" s="26" t="n">
        <x:v>3</x:v>
      </x:c>
      <x:c r="K389" s="7" t="b">
        <x:v>0</x:v>
      </x:c>
      <x:c r="L389" s="2" t="str">
        <x:v>April 2026</x:v>
      </x:c>
      <x:c r="M389" s="2" t="str">
        <x:v>https://datawrapper.dwcdn.net/wQR5S/23/dataset.csv</x:v>
      </x:c>
    </x:row>
    <x:row r="390" ht="24" customHeight="1">
      <x:c r="A390" s="2" t="str">
        <x:v>Ramp</x:v>
      </x:c>
      <x:c r="B390" s="2" t="str">
        <x:v>Quintiles</x:v>
      </x:c>
      <x:c r="C390" s="2" t="str">
        <x:v>Q1</x:v>
      </x:c>
      <x:c r="D390" s="2" t="str">
        <x:v>2024Q1</x:v>
      </x:c>
      <x:c r="E390" s="20" t="n">
        <x:v>30816.2333333333</x:v>
      </x:c>
      <x:c r="F390" s="20" t="n">
        <x:f>$E$370</x:f>
        <x:v>30131.1</x:v>
      </x:c>
      <x:c r="G390" s="22" t="n">
        <x:f>100*E390/F390</x:f>
        <x:v>102.27384109220475</x:v>
      </x:c>
      <x:c r="H390" s="24" t="n">
        <x:f>G390/100-1</x:f>
        <x:v>0.022738410922047425</x:v>
      </x:c>
      <x:c r="I390" s="26" t="n">
        <x:v>4</x:v>
      </x:c>
      <x:c r="J390" s="26" t="n">
        <x:v>3</x:v>
      </x:c>
      <x:c r="K390" s="7" t="b">
        <x:v>0</x:v>
      </x:c>
      <x:c r="L390" s="2" t="str">
        <x:v>April 2026</x:v>
      </x:c>
      <x:c r="M390" s="2" t="str">
        <x:v>https://datawrapper.dwcdn.net/wQR5S/23/dataset.csv</x:v>
      </x:c>
    </x:row>
    <x:row r="391" ht="24" customHeight="1">
      <x:c r="A391" s="2" t="str">
        <x:v>Ramp</x:v>
      </x:c>
      <x:c r="B391" s="2" t="str">
        <x:v>Quintiles</x:v>
      </x:c>
      <x:c r="C391" s="2" t="str">
        <x:v>Q2</x:v>
      </x:c>
      <x:c r="D391" s="2" t="str">
        <x:v>2024Q1</x:v>
      </x:c>
      <x:c r="E391" s="20" t="n">
        <x:v>31243.2333333333</x:v>
      </x:c>
      <x:c r="F391" s="20" t="n">
        <x:f>$E$371</x:f>
        <x:v>30200.9333333333</x:v>
      </x:c>
      <x:c r="G391" s="22" t="n">
        <x:f>100*E391/F391</x:f>
        <x:v>103.45121784315717</x:v>
      </x:c>
      <x:c r="H391" s="24" t="n">
        <x:f>G391/100-1</x:f>
        <x:v>0.034512178431571616</x:v>
      </x:c>
      <x:c r="I391" s="26" t="n">
        <x:v>3</x:v>
      </x:c>
      <x:c r="J391" s="26" t="n">
        <x:v>3</x:v>
      </x:c>
      <x:c r="K391" s="7" t="b">
        <x:v>0</x:v>
      </x:c>
      <x:c r="L391" s="2" t="str">
        <x:v>April 2026</x:v>
      </x:c>
      <x:c r="M391" s="2" t="str">
        <x:v>https://datawrapper.dwcdn.net/wQR5S/23/dataset.csv</x:v>
      </x:c>
    </x:row>
    <x:row r="392" ht="24" customHeight="1">
      <x:c r="A392" s="2" t="str">
        <x:v>Ramp</x:v>
      </x:c>
      <x:c r="B392" s="2" t="str">
        <x:v>Quintiles</x:v>
      </x:c>
      <x:c r="C392" s="2" t="str">
        <x:v>Q3</x:v>
      </x:c>
      <x:c r="D392" s="2" t="str">
        <x:v>2024Q1</x:v>
      </x:c>
      <x:c r="E392" s="20" t="n">
        <x:v>31475.5</x:v>
      </x:c>
      <x:c r="F392" s="20" t="n">
        <x:f>$E$372</x:f>
        <x:v>31749.8333333333</x:v>
      </x:c>
      <x:c r="G392" s="22" t="n">
        <x:f>100*E392/F392</x:f>
        <x:v>99.13595346957213</x:v>
      </x:c>
      <x:c r="H392" s="24" t="n">
        <x:f>G392/100-1</x:f>
        <x:v>-0.008640465304278755</x:v>
      </x:c>
      <x:c r="I392" s="26" t="n">
        <x:v>4</x:v>
      </x:c>
      <x:c r="J392" s="26" t="n">
        <x:v>3</x:v>
      </x:c>
      <x:c r="K392" s="7" t="b">
        <x:v>0</x:v>
      </x:c>
      <x:c r="L392" s="2" t="str">
        <x:v>April 2026</x:v>
      </x:c>
      <x:c r="M392" s="2" t="str">
        <x:v>https://datawrapper.dwcdn.net/wQR5S/23/dataset.csv</x:v>
      </x:c>
    </x:row>
    <x:row r="393" ht="24" customHeight="1">
      <x:c r="A393" s="2" t="str">
        <x:v>Ramp</x:v>
      </x:c>
      <x:c r="B393" s="2" t="str">
        <x:v>Quintiles</x:v>
      </x:c>
      <x:c r="C393" s="2" t="str">
        <x:v>Q4</x:v>
      </x:c>
      <x:c r="D393" s="2" t="str">
        <x:v>2024Q1</x:v>
      </x:c>
      <x:c r="E393" s="20" t="n">
        <x:v>19413.7666666667</x:v>
      </x:c>
      <x:c r="F393" s="20" t="n">
        <x:f>$E$373</x:f>
        <x:v>19279.9666666667</x:v>
      </x:c>
      <x:c r="G393" s="22" t="n">
        <x:f>100*E393/F393</x:f>
        <x:v>100.69398460232469</x:v>
      </x:c>
      <x:c r="H393" s="24" t="n">
        <x:f>G393/100-1</x:f>
        <x:v>0.006939846023246821</x:v>
      </x:c>
      <x:c r="I393" s="26" t="n">
        <x:v>3</x:v>
      </x:c>
      <x:c r="J393" s="26" t="n">
        <x:v>3</x:v>
      </x:c>
      <x:c r="K393" s="7" t="b">
        <x:v>0</x:v>
      </x:c>
      <x:c r="L393" s="2" t="str">
        <x:v>April 2026</x:v>
      </x:c>
      <x:c r="M393" s="2" t="str">
        <x:v>https://datawrapper.dwcdn.net/wQR5S/23/dataset.csv</x:v>
      </x:c>
    </x:row>
    <x:row r="394" ht="24" customHeight="1">
      <x:c r="A394" s="2" t="str">
        <x:v>Ramp</x:v>
      </x:c>
      <x:c r="B394" s="2" t="str">
        <x:v>Quintiles</x:v>
      </x:c>
      <x:c r="C394" s="2" t="str">
        <x:v>Q5</x:v>
      </x:c>
      <x:c r="D394" s="2" t="str">
        <x:v>2024Q1</x:v>
      </x:c>
      <x:c r="E394" s="20" t="n">
        <x:v>21038.2666666667</x:v>
      </x:c>
      <x:c r="F394" s="20" t="n">
        <x:f>$E$374</x:f>
        <x:v>21051</x:v>
      </x:c>
      <x:c r="G394" s="22" t="n">
        <x:f>100*E394/F394</x:f>
        <x:v>99.93951197884518</x:v>
      </x:c>
      <x:c r="H394" s="24" t="n">
        <x:f>G394/100-1</x:f>
        <x:v>-0.0006048802115482532</x:v>
      </x:c>
      <x:c r="I394" s="26" t="n">
        <x:v>4</x:v>
      </x:c>
      <x:c r="J394" s="26" t="n">
        <x:v>3</x:v>
      </x:c>
      <x:c r="K394" s="7" t="b">
        <x:v>0</x:v>
      </x:c>
      <x:c r="L394" s="2" t="str">
        <x:v>April 2026</x:v>
      </x:c>
      <x:c r="M394" s="2" t="str">
        <x:v>https://datawrapper.dwcdn.net/wQR5S/23/dataset.csv</x:v>
      </x:c>
    </x:row>
    <x:row r="395" ht="24" customHeight="1">
      <x:c r="A395" s="2" t="str">
        <x:v>Ramp</x:v>
      </x:c>
      <x:c r="B395" s="2" t="str">
        <x:v>Quintiles</x:v>
      </x:c>
      <x:c r="C395" s="2" t="str">
        <x:v>Q1</x:v>
      </x:c>
      <x:c r="D395" s="2" t="str">
        <x:v>2024Q2</x:v>
      </x:c>
      <x:c r="E395" s="20" t="n">
        <x:v>30879.0666666667</x:v>
      </x:c>
      <x:c r="F395" s="20" t="n">
        <x:f>$E$370</x:f>
        <x:v>30131.1</x:v>
      </x:c>
      <x:c r="G395" s="22" t="n">
        <x:f>100*E395/F395</x:f>
        <x:v>102.48237424676397</x:v>
      </x:c>
      <x:c r="H395" s="24" t="n">
        <x:f>G395/100-1</x:f>
        <x:v>0.02482374246763963</x:v>
      </x:c>
      <x:c r="I395" s="26" t="n">
        <x:v>4</x:v>
      </x:c>
      <x:c r="J395" s="26" t="n">
        <x:v>3</x:v>
      </x:c>
      <x:c r="K395" s="7" t="b">
        <x:v>0</x:v>
      </x:c>
      <x:c r="L395" s="2" t="str">
        <x:v>April 2026</x:v>
      </x:c>
      <x:c r="M395" s="2" t="str">
        <x:v>https://datawrapper.dwcdn.net/wQR5S/23/dataset.csv</x:v>
      </x:c>
    </x:row>
    <x:row r="396" ht="24" customHeight="1">
      <x:c r="A396" s="2" t="str">
        <x:v>Ramp</x:v>
      </x:c>
      <x:c r="B396" s="2" t="str">
        <x:v>Quintiles</x:v>
      </x:c>
      <x:c r="C396" s="2" t="str">
        <x:v>Q2</x:v>
      </x:c>
      <x:c r="D396" s="2" t="str">
        <x:v>2024Q2</x:v>
      </x:c>
      <x:c r="E396" s="20" t="n">
        <x:v>31518.0333333333</x:v>
      </x:c>
      <x:c r="F396" s="20" t="n">
        <x:f>$E$371</x:f>
        <x:v>30200.9333333333</x:v>
      </x:c>
      <x:c r="G396" s="22" t="n">
        <x:f>100*E396/F396</x:f>
        <x:v>104.36112349728707</x:v>
      </x:c>
      <x:c r="H396" s="24" t="n">
        <x:f>G396/100-1</x:f>
        <x:v>0.04361123497287078</x:v>
      </x:c>
      <x:c r="I396" s="26" t="n">
        <x:v>3</x:v>
      </x:c>
      <x:c r="J396" s="26" t="n">
        <x:v>3</x:v>
      </x:c>
      <x:c r="K396" s="7" t="b">
        <x:v>0</x:v>
      </x:c>
      <x:c r="L396" s="2" t="str">
        <x:v>April 2026</x:v>
      </x:c>
      <x:c r="M396" s="2" t="str">
        <x:v>https://datawrapper.dwcdn.net/wQR5S/23/dataset.csv</x:v>
      </x:c>
    </x:row>
    <x:row r="397" ht="24" customHeight="1">
      <x:c r="A397" s="2" t="str">
        <x:v>Ramp</x:v>
      </x:c>
      <x:c r="B397" s="2" t="str">
        <x:v>Quintiles</x:v>
      </x:c>
      <x:c r="C397" s="2" t="str">
        <x:v>Q3</x:v>
      </x:c>
      <x:c r="D397" s="2" t="str">
        <x:v>2024Q2</x:v>
      </x:c>
      <x:c r="E397" s="20" t="n">
        <x:v>31418.1333333333</x:v>
      </x:c>
      <x:c r="F397" s="20" t="n">
        <x:f>$E$372</x:f>
        <x:v>31749.8333333333</x:v>
      </x:c>
      <x:c r="G397" s="22" t="n">
        <x:f>100*E397/F397</x:f>
        <x:v>98.95527010640475</x:v>
      </x:c>
      <x:c r="H397" s="24" t="n">
        <x:f>G397/100-1</x:f>
        <x:v>-0.01044729893595242</x:v>
      </x:c>
      <x:c r="I397" s="26" t="n">
        <x:v>4</x:v>
      </x:c>
      <x:c r="J397" s="26" t="n">
        <x:v>3</x:v>
      </x:c>
      <x:c r="K397" s="7" t="b">
        <x:v>0</x:v>
      </x:c>
      <x:c r="L397" s="2" t="str">
        <x:v>April 2026</x:v>
      </x:c>
      <x:c r="M397" s="2" t="str">
        <x:v>https://datawrapper.dwcdn.net/wQR5S/23/dataset.csv</x:v>
      </x:c>
    </x:row>
    <x:row r="398" ht="24" customHeight="1">
      <x:c r="A398" s="2" t="str">
        <x:v>Ramp</x:v>
      </x:c>
      <x:c r="B398" s="2" t="str">
        <x:v>Quintiles</x:v>
      </x:c>
      <x:c r="C398" s="2" t="str">
        <x:v>Q4</x:v>
      </x:c>
      <x:c r="D398" s="2" t="str">
        <x:v>2024Q2</x:v>
      </x:c>
      <x:c r="E398" s="20" t="n">
        <x:v>19400.5333333333</x:v>
      </x:c>
      <x:c r="F398" s="20" t="n">
        <x:f>$E$373</x:f>
        <x:v>19279.9666666667</x:v>
      </x:c>
      <x:c r="G398" s="22" t="n">
        <x:f>100*E398/F398</x:f>
        <x:v>100.62534686263254</x:v>
      </x:c>
      <x:c r="H398" s="24" t="n">
        <x:f>G398/100-1</x:f>
        <x:v>0.006253468626325365</x:v>
      </x:c>
      <x:c r="I398" s="26" t="n">
        <x:v>3</x:v>
      </x:c>
      <x:c r="J398" s="26" t="n">
        <x:v>3</x:v>
      </x:c>
      <x:c r="K398" s="7" t="b">
        <x:v>0</x:v>
      </x:c>
      <x:c r="L398" s="2" t="str">
        <x:v>April 2026</x:v>
      </x:c>
      <x:c r="M398" s="2" t="str">
        <x:v>https://datawrapper.dwcdn.net/wQR5S/23/dataset.csv</x:v>
      </x:c>
    </x:row>
    <x:row r="399" ht="24" customHeight="1">
      <x:c r="A399" s="2" t="str">
        <x:v>Ramp</x:v>
      </x:c>
      <x:c r="B399" s="2" t="str">
        <x:v>Quintiles</x:v>
      </x:c>
      <x:c r="C399" s="2" t="str">
        <x:v>Q5</x:v>
      </x:c>
      <x:c r="D399" s="2" t="str">
        <x:v>2024Q2</x:v>
      </x:c>
      <x:c r="E399" s="20" t="n">
        <x:v>21033.4333333333</x:v>
      </x:c>
      <x:c r="F399" s="20" t="n">
        <x:f>$E$374</x:f>
        <x:v>21051</x:v>
      </x:c>
      <x:c r="G399" s="22" t="n">
        <x:f>100*E399/F399</x:f>
        <x:v>99.91655186610281</x:v>
      </x:c>
      <x:c r="H399" s="24" t="n">
        <x:f>G399/100-1</x:f>
        <x:v>-0.0008344813389719041</x:v>
      </x:c>
      <x:c r="I399" s="26" t="n">
        <x:v>4</x:v>
      </x:c>
      <x:c r="J399" s="26" t="n">
        <x:v>3</x:v>
      </x:c>
      <x:c r="K399" s="7" t="b">
        <x:v>0</x:v>
      </x:c>
      <x:c r="L399" s="2" t="str">
        <x:v>April 2026</x:v>
      </x:c>
      <x:c r="M399" s="2" t="str">
        <x:v>https://datawrapper.dwcdn.net/wQR5S/23/dataset.csv</x:v>
      </x:c>
    </x:row>
    <x:row r="400" ht="24" customHeight="1">
      <x:c r="A400" s="2" t="str">
        <x:v>Ramp</x:v>
      </x:c>
      <x:c r="B400" s="2" t="str">
        <x:v>Quintiles</x:v>
      </x:c>
      <x:c r="C400" s="2" t="str">
        <x:v>Q1</x:v>
      </x:c>
      <x:c r="D400" s="2" t="str">
        <x:v>2024Q3</x:v>
      </x:c>
      <x:c r="E400" s="20" t="n">
        <x:v>30949.4333333333</x:v>
      </x:c>
      <x:c r="F400" s="20" t="n">
        <x:f>$E$370</x:f>
        <x:v>30131.1</x:v>
      </x:c>
      <x:c r="G400" s="22" t="n">
        <x:f>100*E400/F400</x:f>
        <x:v>102.71590925433622</x:v>
      </x:c>
      <x:c r="H400" s="24" t="n">
        <x:f>G400/100-1</x:f>
        <x:v>0.02715909254336224</x:v>
      </x:c>
      <x:c r="I400" s="26" t="n">
        <x:v>4</x:v>
      </x:c>
      <x:c r="J400" s="26" t="n">
        <x:v>3</x:v>
      </x:c>
      <x:c r="K400" s="7" t="b">
        <x:v>0</x:v>
      </x:c>
      <x:c r="L400" s="2" t="str">
        <x:v>April 2026</x:v>
      </x:c>
      <x:c r="M400" s="2" t="str">
        <x:v>https://datawrapper.dwcdn.net/wQR5S/23/dataset.csv</x:v>
      </x:c>
    </x:row>
    <x:row r="401" ht="24" customHeight="1">
      <x:c r="A401" s="2" t="str">
        <x:v>Ramp</x:v>
      </x:c>
      <x:c r="B401" s="2" t="str">
        <x:v>Quintiles</x:v>
      </x:c>
      <x:c r="C401" s="2" t="str">
        <x:v>Q2</x:v>
      </x:c>
      <x:c r="D401" s="2" t="str">
        <x:v>2024Q3</x:v>
      </x:c>
      <x:c r="E401" s="20" t="n">
        <x:v>31701.5</x:v>
      </x:c>
      <x:c r="F401" s="20" t="n">
        <x:f>$E$371</x:f>
        <x:v>30200.9333333333</x:v>
      </x:c>
      <x:c r="G401" s="22" t="n">
        <x:f>100*E401/F401</x:f>
        <x:v>104.9686102416262</x:v>
      </x:c>
      <x:c r="H401" s="24" t="n">
        <x:f>G401/100-1</x:f>
        <x:v>0.049686102416262035</x:v>
      </x:c>
      <x:c r="I401" s="26" t="n">
        <x:v>3</x:v>
      </x:c>
      <x:c r="J401" s="26" t="n">
        <x:v>3</x:v>
      </x:c>
      <x:c r="K401" s="7" t="b">
        <x:v>0</x:v>
      </x:c>
      <x:c r="L401" s="2" t="str">
        <x:v>April 2026</x:v>
      </x:c>
      <x:c r="M401" s="2" t="str">
        <x:v>https://datawrapper.dwcdn.net/wQR5S/23/dataset.csv</x:v>
      </x:c>
    </x:row>
    <x:row r="402" ht="24" customHeight="1">
      <x:c r="A402" s="2" t="str">
        <x:v>Ramp</x:v>
      </x:c>
      <x:c r="B402" s="2" t="str">
        <x:v>Quintiles</x:v>
      </x:c>
      <x:c r="C402" s="2" t="str">
        <x:v>Q3</x:v>
      </x:c>
      <x:c r="D402" s="2" t="str">
        <x:v>2024Q3</x:v>
      </x:c>
      <x:c r="E402" s="20" t="n">
        <x:v>31290.6</x:v>
      </x:c>
      <x:c r="F402" s="20" t="n">
        <x:f>$E$372</x:f>
        <x:v>31749.8333333333</x:v>
      </x:c>
      <x:c r="G402" s="22" t="n">
        <x:f>100*E402/F402</x:f>
        <x:v>98.55358820781223</x:v>
      </x:c>
      <x:c r="H402" s="24" t="n">
        <x:f>G402/100-1</x:f>
        <x:v>-0.01446411792187774</x:v>
      </x:c>
      <x:c r="I402" s="26" t="n">
        <x:v>4</x:v>
      </x:c>
      <x:c r="J402" s="26" t="n">
        <x:v>3</x:v>
      </x:c>
      <x:c r="K402" s="7" t="b">
        <x:v>0</x:v>
      </x:c>
      <x:c r="L402" s="2" t="str">
        <x:v>April 2026</x:v>
      </x:c>
      <x:c r="M402" s="2" t="str">
        <x:v>https://datawrapper.dwcdn.net/wQR5S/23/dataset.csv</x:v>
      </x:c>
    </x:row>
    <x:row r="403" ht="24" customHeight="1">
      <x:c r="A403" s="2" t="str">
        <x:v>Ramp</x:v>
      </x:c>
      <x:c r="B403" s="2" t="str">
        <x:v>Quintiles</x:v>
      </x:c>
      <x:c r="C403" s="2" t="str">
        <x:v>Q4</x:v>
      </x:c>
      <x:c r="D403" s="2" t="str">
        <x:v>2024Q3</x:v>
      </x:c>
      <x:c r="E403" s="20" t="n">
        <x:v>19385.0333333333</x:v>
      </x:c>
      <x:c r="F403" s="20" t="n">
        <x:f>$E$373</x:f>
        <x:v>19279.9666666667</x:v>
      </x:c>
      <x:c r="G403" s="22" t="n">
        <x:f>100*E403/F403</x:f>
        <x:v>100.54495253276683</x:v>
      </x:c>
      <x:c r="H403" s="24" t="n">
        <x:f>G403/100-1</x:f>
        <x:v>0.005449525327668292</x:v>
      </x:c>
      <x:c r="I403" s="26" t="n">
        <x:v>3</x:v>
      </x:c>
      <x:c r="J403" s="26" t="n">
        <x:v>3</x:v>
      </x:c>
      <x:c r="K403" s="7" t="b">
        <x:v>0</x:v>
      </x:c>
      <x:c r="L403" s="2" t="str">
        <x:v>April 2026</x:v>
      </x:c>
      <x:c r="M403" s="2" t="str">
        <x:v>https://datawrapper.dwcdn.net/wQR5S/23/dataset.csv</x:v>
      </x:c>
    </x:row>
    <x:row r="404" ht="24" customHeight="1">
      <x:c r="A404" s="2" t="str">
        <x:v>Ramp</x:v>
      </x:c>
      <x:c r="B404" s="2" t="str">
        <x:v>Quintiles</x:v>
      </x:c>
      <x:c r="C404" s="2" t="str">
        <x:v>Q5</x:v>
      </x:c>
      <x:c r="D404" s="2" t="str">
        <x:v>2024Q3</x:v>
      </x:c>
      <x:c r="E404" s="20" t="n">
        <x:v>21010.7</x:v>
      </x:c>
      <x:c r="F404" s="20" t="n">
        <x:f>$E$374</x:f>
        <x:v>21051</x:v>
      </x:c>
      <x:c r="G404" s="22" t="n">
        <x:f>100*E404/F404</x:f>
        <x:v>99.80856016341266</x:v>
      </x:c>
      <x:c r="H404" s="24" t="n">
        <x:f>G404/100-1</x:f>
        <x:v>-0.001914398365873371</x:v>
      </x:c>
      <x:c r="I404" s="26" t="n">
        <x:v>4</x:v>
      </x:c>
      <x:c r="J404" s="26" t="n">
        <x:v>3</x:v>
      </x:c>
      <x:c r="K404" s="7" t="b">
        <x:v>0</x:v>
      </x:c>
      <x:c r="L404" s="2" t="str">
        <x:v>April 2026</x:v>
      </x:c>
      <x:c r="M404" s="2" t="str">
        <x:v>https://datawrapper.dwcdn.net/wQR5S/23/dataset.csv</x:v>
      </x:c>
    </x:row>
    <x:row r="405" ht="24" customHeight="1">
      <x:c r="A405" s="2" t="str">
        <x:v>Ramp</x:v>
      </x:c>
      <x:c r="B405" s="2" t="str">
        <x:v>Quintiles</x:v>
      </x:c>
      <x:c r="C405" s="2" t="str">
        <x:v>Q1</x:v>
      </x:c>
      <x:c r="D405" s="2" t="str">
        <x:v>2024Q4</x:v>
      </x:c>
      <x:c r="E405" s="20" t="n">
        <x:v>31063.5</x:v>
      </x:c>
      <x:c r="F405" s="20" t="n">
        <x:f>$E$370</x:f>
        <x:v>30131.1</x:v>
      </x:c>
      <x:c r="G405" s="22" t="n">
        <x:f>100*E405/F405</x:f>
        <x:v>103.0944771349204</x:v>
      </x:c>
      <x:c r="H405" s="24" t="n">
        <x:f>G405/100-1</x:f>
        <x:v>0.030944771349203926</x:v>
      </x:c>
      <x:c r="I405" s="26" t="n">
        <x:v>4</x:v>
      </x:c>
      <x:c r="J405" s="26" t="n">
        <x:v>3</x:v>
      </x:c>
      <x:c r="K405" s="7" t="b">
        <x:v>0</x:v>
      </x:c>
      <x:c r="L405" s="2" t="str">
        <x:v>April 2026</x:v>
      </x:c>
      <x:c r="M405" s="2" t="str">
        <x:v>https://datawrapper.dwcdn.net/wQR5S/23/dataset.csv</x:v>
      </x:c>
    </x:row>
    <x:row r="406" ht="24" customHeight="1">
      <x:c r="A406" s="2" t="str">
        <x:v>Ramp</x:v>
      </x:c>
      <x:c r="B406" s="2" t="str">
        <x:v>Quintiles</x:v>
      </x:c>
      <x:c r="C406" s="2" t="str">
        <x:v>Q2</x:v>
      </x:c>
      <x:c r="D406" s="2" t="str">
        <x:v>2024Q4</x:v>
      </x:c>
      <x:c r="E406" s="20" t="n">
        <x:v>31942.2666666667</x:v>
      </x:c>
      <x:c r="F406" s="20" t="n">
        <x:f>$E$371</x:f>
        <x:v>30200.9333333333</x:v>
      </x:c>
      <x:c r="G406" s="22" t="n">
        <x:f>100*E406/F406</x:f>
        <x:v>105.76582622170639</x:v>
      </x:c>
      <x:c r="H406" s="24" t="n">
        <x:f>G406/100-1</x:f>
        <x:v>0.05765826221706383</x:v>
      </x:c>
      <x:c r="I406" s="26" t="n">
        <x:v>3</x:v>
      </x:c>
      <x:c r="J406" s="26" t="n">
        <x:v>3</x:v>
      </x:c>
      <x:c r="K406" s="7" t="b">
        <x:v>0</x:v>
      </x:c>
      <x:c r="L406" s="2" t="str">
        <x:v>April 2026</x:v>
      </x:c>
      <x:c r="M406" s="2" t="str">
        <x:v>https://datawrapper.dwcdn.net/wQR5S/23/dataset.csv</x:v>
      </x:c>
    </x:row>
    <x:row r="407" ht="24" customHeight="1">
      <x:c r="A407" s="2" t="str">
        <x:v>Ramp</x:v>
      </x:c>
      <x:c r="B407" s="2" t="str">
        <x:v>Quintiles</x:v>
      </x:c>
      <x:c r="C407" s="2" t="str">
        <x:v>Q3</x:v>
      </x:c>
      <x:c r="D407" s="2" t="str">
        <x:v>2024Q4</x:v>
      </x:c>
      <x:c r="E407" s="20" t="n">
        <x:v>31209.2</x:v>
      </x:c>
      <x:c r="F407" s="20" t="n">
        <x:f>$E$372</x:f>
        <x:v>31749.8333333333</x:v>
      </x:c>
      <x:c r="G407" s="22" t="n">
        <x:f>100*E407/F407</x:f>
        <x:v>98.29720890923322</x:v>
      </x:c>
      <x:c r="H407" s="24" t="n">
        <x:f>G407/100-1</x:f>
        <x:v>-0.017027910907667754</x:v>
      </x:c>
      <x:c r="I407" s="26" t="n">
        <x:v>4</x:v>
      </x:c>
      <x:c r="J407" s="26" t="n">
        <x:v>3</x:v>
      </x:c>
      <x:c r="K407" s="7" t="b">
        <x:v>0</x:v>
      </x:c>
      <x:c r="L407" s="2" t="str">
        <x:v>April 2026</x:v>
      </x:c>
      <x:c r="M407" s="2" t="str">
        <x:v>https://datawrapper.dwcdn.net/wQR5S/23/dataset.csv</x:v>
      </x:c>
    </x:row>
    <x:row r="408" ht="24" customHeight="1">
      <x:c r="A408" s="2" t="str">
        <x:v>Ramp</x:v>
      </x:c>
      <x:c r="B408" s="2" t="str">
        <x:v>Quintiles</x:v>
      </x:c>
      <x:c r="C408" s="2" t="str">
        <x:v>Q4</x:v>
      </x:c>
      <x:c r="D408" s="2" t="str">
        <x:v>2024Q4</x:v>
      </x:c>
      <x:c r="E408" s="20" t="n">
        <x:v>19354.5666666667</x:v>
      </x:c>
      <x:c r="F408" s="20" t="n">
        <x:f>$E$373</x:f>
        <x:v>19279.9666666667</x:v>
      </x:c>
      <x:c r="G408" s="22" t="n">
        <x:f>100*E408/F408</x:f>
        <x:v>100.38693012954724</x:v>
      </x:c>
      <x:c r="H408" s="24" t="n">
        <x:f>G408/100-1</x:f>
        <x:v>0.0038693012954724715</x:v>
      </x:c>
      <x:c r="I408" s="26" t="n">
        <x:v>3</x:v>
      </x:c>
      <x:c r="J408" s="26" t="n">
        <x:v>3</x:v>
      </x:c>
      <x:c r="K408" s="7" t="b">
        <x:v>0</x:v>
      </x:c>
      <x:c r="L408" s="2" t="str">
        <x:v>April 2026</x:v>
      </x:c>
      <x:c r="M408" s="2" t="str">
        <x:v>https://datawrapper.dwcdn.net/wQR5S/23/dataset.csv</x:v>
      </x:c>
    </x:row>
    <x:row r="409" ht="24" customHeight="1">
      <x:c r="A409" s="2" t="str">
        <x:v>Ramp</x:v>
      </x:c>
      <x:c r="B409" s="2" t="str">
        <x:v>Quintiles</x:v>
      </x:c>
      <x:c r="C409" s="2" t="str">
        <x:v>Q5</x:v>
      </x:c>
      <x:c r="D409" s="2" t="str">
        <x:v>2024Q4</x:v>
      </x:c>
      <x:c r="E409" s="20" t="n">
        <x:v>20996.6333333333</x:v>
      </x:c>
      <x:c r="F409" s="20" t="n">
        <x:f>$E$374</x:f>
        <x:v>21051</x:v>
      </x:c>
      <x:c r="G409" s="22" t="n">
        <x:f>100*E409/F409</x:f>
        <x:v>99.74173831805281</x:v>
      </x:c>
      <x:c r="H409" s="24" t="n">
        <x:f>G409/100-1</x:f>
        <x:v>-0.002582616819471917</x:v>
      </x:c>
      <x:c r="I409" s="26" t="n">
        <x:v>4</x:v>
      </x:c>
      <x:c r="J409" s="26" t="n">
        <x:v>3</x:v>
      </x:c>
      <x:c r="K409" s="7" t="b">
        <x:v>0</x:v>
      </x:c>
      <x:c r="L409" s="2" t="str">
        <x:v>April 2026</x:v>
      </x:c>
      <x:c r="M409" s="2" t="str">
        <x:v>https://datawrapper.dwcdn.net/wQR5S/23/dataset.csv</x:v>
      </x:c>
    </x:row>
    <x:row r="410" ht="24" customHeight="1">
      <x:c r="A410" s="2" t="str">
        <x:v>Ramp</x:v>
      </x:c>
      <x:c r="B410" s="2" t="str">
        <x:v>Quintiles</x:v>
      </x:c>
      <x:c r="C410" s="2" t="str">
        <x:v>Q1</x:v>
      </x:c>
      <x:c r="D410" s="2" t="str">
        <x:v>2025Q1</x:v>
      </x:c>
      <x:c r="E410" s="20" t="n">
        <x:v>31064.8333333333</x:v>
      </x:c>
      <x:c r="F410" s="20" t="n">
        <x:f>$E$370</x:f>
        <x:v>30131.1</x:v>
      </x:c>
      <x:c r="G410" s="22" t="n">
        <x:f>100*E410/F410</x:f>
        <x:v>103.09890224164833</x:v>
      </x:c>
      <x:c r="H410" s="24" t="n">
        <x:f>G410/100-1</x:f>
        <x:v>0.03098902241648327</x:v>
      </x:c>
      <x:c r="I410" s="26" t="n">
        <x:v>4</x:v>
      </x:c>
      <x:c r="J410" s="26" t="n">
        <x:v>3</x:v>
      </x:c>
      <x:c r="K410" s="7" t="b">
        <x:v>0</x:v>
      </x:c>
      <x:c r="L410" s="2" t="str">
        <x:v>April 2026</x:v>
      </x:c>
      <x:c r="M410" s="2" t="str">
        <x:v>https://datawrapper.dwcdn.net/wQR5S/23/dataset.csv</x:v>
      </x:c>
    </x:row>
    <x:row r="411" ht="24" customHeight="1">
      <x:c r="A411" s="2" t="str">
        <x:v>Ramp</x:v>
      </x:c>
      <x:c r="B411" s="2" t="str">
        <x:v>Quintiles</x:v>
      </x:c>
      <x:c r="C411" s="2" t="str">
        <x:v>Q2</x:v>
      </x:c>
      <x:c r="D411" s="2" t="str">
        <x:v>2025Q1</x:v>
      </x:c>
      <x:c r="E411" s="20" t="n">
        <x:v>32147.8</x:v>
      </x:c>
      <x:c r="F411" s="20" t="n">
        <x:f>$E$371</x:f>
        <x:v>30200.9333333333</x:v>
      </x:c>
      <x:c r="G411" s="22" t="n">
        <x:f>100*E411/F411</x:f>
        <x:v>106.44637914060063</x:v>
      </x:c>
      <x:c r="H411" s="24" t="n">
        <x:f>G411/100-1</x:f>
        <x:v>0.06446379140600622</x:v>
      </x:c>
      <x:c r="I411" s="26" t="n">
        <x:v>3</x:v>
      </x:c>
      <x:c r="J411" s="26" t="n">
        <x:v>3</x:v>
      </x:c>
      <x:c r="K411" s="7" t="b">
        <x:v>0</x:v>
      </x:c>
      <x:c r="L411" s="2" t="str">
        <x:v>April 2026</x:v>
      </x:c>
      <x:c r="M411" s="2" t="str">
        <x:v>https://datawrapper.dwcdn.net/wQR5S/23/dataset.csv</x:v>
      </x:c>
    </x:row>
    <x:row r="412" ht="24" customHeight="1">
      <x:c r="A412" s="2" t="str">
        <x:v>Ramp</x:v>
      </x:c>
      <x:c r="B412" s="2" t="str">
        <x:v>Quintiles</x:v>
      </x:c>
      <x:c r="C412" s="2" t="str">
        <x:v>Q3</x:v>
      </x:c>
      <x:c r="D412" s="2" t="str">
        <x:v>2025Q1</x:v>
      </x:c>
      <x:c r="E412" s="20" t="n">
        <x:v>31171.1</x:v>
      </x:c>
      <x:c r="F412" s="20" t="n">
        <x:f>$E$372</x:f>
        <x:v>31749.8333333333</x:v>
      </x:c>
      <x:c r="G412" s="22" t="n">
        <x:f>100*E412/F412</x:f>
        <x:v>98.17720827930866</x:v>
      </x:c>
      <x:c r="H412" s="24" t="n">
        <x:f>G412/100-1</x:f>
        <x:v>-0.018227917206913413</x:v>
      </x:c>
      <x:c r="I412" s="26" t="n">
        <x:v>4</x:v>
      </x:c>
      <x:c r="J412" s="26" t="n">
        <x:v>3</x:v>
      </x:c>
      <x:c r="K412" s="7" t="b">
        <x:v>0</x:v>
      </x:c>
      <x:c r="L412" s="2" t="str">
        <x:v>April 2026</x:v>
      </x:c>
      <x:c r="M412" s="2" t="str">
        <x:v>https://datawrapper.dwcdn.net/wQR5S/23/dataset.csv</x:v>
      </x:c>
    </x:row>
    <x:row r="413" ht="24" customHeight="1">
      <x:c r="A413" s="2" t="str">
        <x:v>Ramp</x:v>
      </x:c>
      <x:c r="B413" s="2" t="str">
        <x:v>Quintiles</x:v>
      </x:c>
      <x:c r="C413" s="2" t="str">
        <x:v>Q4</x:v>
      </x:c>
      <x:c r="D413" s="2" t="str">
        <x:v>2025Q1</x:v>
      </x:c>
      <x:c r="E413" s="20" t="n">
        <x:v>19339.2333333333</x:v>
      </x:c>
      <x:c r="F413" s="20" t="n">
        <x:f>$E$373</x:f>
        <x:v>19279.9666666667</x:v>
      </x:c>
      <x:c r="G413" s="22" t="n">
        <x:f>100*E413/F413</x:f>
        <x:v>100.30740025484104</x:v>
      </x:c>
      <x:c r="H413" s="24" t="n">
        <x:f>G413/100-1</x:f>
        <x:v>0.0030740025484103928</x:v>
      </x:c>
      <x:c r="I413" s="26" t="n">
        <x:v>3</x:v>
      </x:c>
      <x:c r="J413" s="26" t="n">
        <x:v>3</x:v>
      </x:c>
      <x:c r="K413" s="7" t="b">
        <x:v>0</x:v>
      </x:c>
      <x:c r="L413" s="2" t="str">
        <x:v>April 2026</x:v>
      </x:c>
      <x:c r="M413" s="2" t="str">
        <x:v>https://datawrapper.dwcdn.net/wQR5S/23/dataset.csv</x:v>
      </x:c>
    </x:row>
    <x:row r="414" ht="24" customHeight="1">
      <x:c r="A414" s="2" t="str">
        <x:v>Ramp</x:v>
      </x:c>
      <x:c r="B414" s="2" t="str">
        <x:v>Quintiles</x:v>
      </x:c>
      <x:c r="C414" s="2" t="str">
        <x:v>Q5</x:v>
      </x:c>
      <x:c r="D414" s="2" t="str">
        <x:v>2025Q1</x:v>
      </x:c>
      <x:c r="E414" s="20" t="n">
        <x:v>20995.2666666667</x:v>
      </x:c>
      <x:c r="F414" s="20" t="n">
        <x:f>$E$374</x:f>
        <x:v>21051</x:v>
      </x:c>
      <x:c r="G414" s="22" t="n">
        <x:f>100*E414/F414</x:f>
        <x:v>99.7352461482433</x:v>
      </x:c>
      <x:c r="H414" s="24" t="n">
        <x:f>G414/100-1</x:f>
        <x:v>-0.0026475385175669386</x:v>
      </x:c>
      <x:c r="I414" s="26" t="n">
        <x:v>4</x:v>
      </x:c>
      <x:c r="J414" s="26" t="n">
        <x:v>3</x:v>
      </x:c>
      <x:c r="K414" s="7" t="b">
        <x:v>0</x:v>
      </x:c>
      <x:c r="L414" s="2" t="str">
        <x:v>April 2026</x:v>
      </x:c>
      <x:c r="M414" s="2" t="str">
        <x:v>https://datawrapper.dwcdn.net/wQR5S/23/dataset.csv</x:v>
      </x:c>
    </x:row>
    <x:row r="415" ht="24" customHeight="1">
      <x:c r="A415" s="2" t="str">
        <x:v>Ramp</x:v>
      </x:c>
      <x:c r="B415" s="2" t="str">
        <x:v>Quintiles</x:v>
      </x:c>
      <x:c r="C415" s="2" t="str">
        <x:v>Q1</x:v>
      </x:c>
      <x:c r="D415" s="2" t="str">
        <x:v>2025Q2</x:v>
      </x:c>
      <x:c r="E415" s="20" t="n">
        <x:v>31094.4666666667</x:v>
      </x:c>
      <x:c r="F415" s="20" t="n">
        <x:f>$E$370</x:f>
        <x:v>30131.1</x:v>
      </x:c>
      <x:c r="G415" s="22" t="n">
        <x:f>100*E415/F415</x:f>
        <x:v>103.1972502386793</x:v>
      </x:c>
      <x:c r="H415" s="24" t="n">
        <x:f>G415/100-1</x:f>
        <x:v>0.031972502386792945</x:v>
      </x:c>
      <x:c r="I415" s="26" t="n">
        <x:v>4</x:v>
      </x:c>
      <x:c r="J415" s="26" t="n">
        <x:v>3</x:v>
      </x:c>
      <x:c r="K415" s="7" t="b">
        <x:v>0</x:v>
      </x:c>
      <x:c r="L415" s="2" t="str">
        <x:v>April 2026</x:v>
      </x:c>
      <x:c r="M415" s="2" t="str">
        <x:v>https://datawrapper.dwcdn.net/wQR5S/23/dataset.csv</x:v>
      </x:c>
    </x:row>
    <x:row r="416" ht="24" customHeight="1">
      <x:c r="A416" s="2" t="str">
        <x:v>Ramp</x:v>
      </x:c>
      <x:c r="B416" s="2" t="str">
        <x:v>Quintiles</x:v>
      </x:c>
      <x:c r="C416" s="2" t="str">
        <x:v>Q2</x:v>
      </x:c>
      <x:c r="D416" s="2" t="str">
        <x:v>2025Q2</x:v>
      </x:c>
      <x:c r="E416" s="20" t="n">
        <x:v>32335.4333333333</x:v>
      </x:c>
      <x:c r="F416" s="20" t="n">
        <x:f>$E$371</x:f>
        <x:v>30200.9333333333</x:v>
      </x:c>
      <x:c r="G416" s="22" t="n">
        <x:f>100*E416/F416</x:f>
        <x:v>107.06766236805045</x:v>
      </x:c>
      <x:c r="H416" s="24" t="n">
        <x:f>G416/100-1</x:f>
        <x:v>0.07067662368050454</x:v>
      </x:c>
      <x:c r="I416" s="26" t="n">
        <x:v>3</x:v>
      </x:c>
      <x:c r="J416" s="26" t="n">
        <x:v>3</x:v>
      </x:c>
      <x:c r="K416" s="7" t="b">
        <x:v>0</x:v>
      </x:c>
      <x:c r="L416" s="2" t="str">
        <x:v>April 2026</x:v>
      </x:c>
      <x:c r="M416" s="2" t="str">
        <x:v>https://datawrapper.dwcdn.net/wQR5S/23/dataset.csv</x:v>
      </x:c>
    </x:row>
    <x:row r="417" ht="24" customHeight="1">
      <x:c r="A417" s="2" t="str">
        <x:v>Ramp</x:v>
      </x:c>
      <x:c r="B417" s="2" t="str">
        <x:v>Quintiles</x:v>
      </x:c>
      <x:c r="C417" s="2" t="str">
        <x:v>Q3</x:v>
      </x:c>
      <x:c r="D417" s="2" t="str">
        <x:v>2025Q2</x:v>
      </x:c>
      <x:c r="E417" s="20" t="n">
        <x:v>31125.3666666667</x:v>
      </x:c>
      <x:c r="F417" s="20" t="n">
        <x:f>$E$372</x:f>
        <x:v>31749.8333333333</x:v>
      </x:c>
      <x:c r="G417" s="22" t="n">
        <x:f>100*E417/F417</x:f>
        <x:v>98.03316552842819</x:v>
      </x:c>
      <x:c r="H417" s="24" t="n">
        <x:f>G417/100-1</x:f>
        <x:v>-0.0196683447157181</x:v>
      </x:c>
      <x:c r="I417" s="26" t="n">
        <x:v>4</x:v>
      </x:c>
      <x:c r="J417" s="26" t="n">
        <x:v>3</x:v>
      </x:c>
      <x:c r="K417" s="7" t="b">
        <x:v>0</x:v>
      </x:c>
      <x:c r="L417" s="2" t="str">
        <x:v>April 2026</x:v>
      </x:c>
      <x:c r="M417" s="2" t="str">
        <x:v>https://datawrapper.dwcdn.net/wQR5S/23/dataset.csv</x:v>
      </x:c>
    </x:row>
    <x:row r="418" ht="24" customHeight="1">
      <x:c r="A418" s="2" t="str">
        <x:v>Ramp</x:v>
      </x:c>
      <x:c r="B418" s="2" t="str">
        <x:v>Quintiles</x:v>
      </x:c>
      <x:c r="C418" s="2" t="str">
        <x:v>Q4</x:v>
      </x:c>
      <x:c r="D418" s="2" t="str">
        <x:v>2025Q2</x:v>
      </x:c>
      <x:c r="E418" s="20" t="n">
        <x:v>19331.0333333333</x:v>
      </x:c>
      <x:c r="F418" s="20" t="n">
        <x:f>$E$373</x:f>
        <x:v>19279.9666666667</x:v>
      </x:c>
      <x:c r="G418" s="22" t="n">
        <x:f>100*E418/F418</x:f>
        <x:v>100.2648690609766</x:v>
      </x:c>
      <x:c r="H418" s="24" t="n">
        <x:f>G418/100-1</x:f>
        <x:v>0.0026486906097660246</x:v>
      </x:c>
      <x:c r="I418" s="26" t="n">
        <x:v>3</x:v>
      </x:c>
      <x:c r="J418" s="26" t="n">
        <x:v>3</x:v>
      </x:c>
      <x:c r="K418" s="7" t="b">
        <x:v>0</x:v>
      </x:c>
      <x:c r="L418" s="2" t="str">
        <x:v>April 2026</x:v>
      </x:c>
      <x:c r="M418" s="2" t="str">
        <x:v>https://datawrapper.dwcdn.net/wQR5S/23/dataset.csv</x:v>
      </x:c>
    </x:row>
    <x:row r="419" ht="24" customHeight="1">
      <x:c r="A419" s="2" t="str">
        <x:v>Ramp</x:v>
      </x:c>
      <x:c r="B419" s="2" t="str">
        <x:v>Quintiles</x:v>
      </x:c>
      <x:c r="C419" s="2" t="str">
        <x:v>Q5</x:v>
      </x:c>
      <x:c r="D419" s="2" t="str">
        <x:v>2025Q2</x:v>
      </x:c>
      <x:c r="E419" s="20" t="n">
        <x:v>20986.7666666667</x:v>
      </x:c>
      <x:c r="F419" s="20" t="n">
        <x:f>$E$374</x:f>
        <x:v>21051</x:v>
      </x:c>
      <x:c r="G419" s="22" t="n">
        <x:f>100*E419/F419</x:f>
        <x:v>99.69486801893828</x:v>
      </x:c>
      <x:c r="H419" s="24" t="n">
        <x:f>G419/100-1</x:f>
        <x:v>-0.0030513198106172368</x:v>
      </x:c>
      <x:c r="I419" s="26" t="n">
        <x:v>4</x:v>
      </x:c>
      <x:c r="J419" s="26" t="n">
        <x:v>3</x:v>
      </x:c>
      <x:c r="K419" s="7" t="b">
        <x:v>0</x:v>
      </x:c>
      <x:c r="L419" s="2" t="str">
        <x:v>April 2026</x:v>
      </x:c>
      <x:c r="M419" s="2" t="str">
        <x:v>https://datawrapper.dwcdn.net/wQR5S/23/dataset.csv</x:v>
      </x:c>
    </x:row>
    <x:row r="420" ht="24" customHeight="1">
      <x:c r="A420" s="2" t="str">
        <x:v>Ramp</x:v>
      </x:c>
      <x:c r="B420" s="2" t="str">
        <x:v>Quintiles</x:v>
      </x:c>
      <x:c r="C420" s="2" t="str">
        <x:v>Q1</x:v>
      </x:c>
      <x:c r="D420" s="2" t="str">
        <x:v>2025Q3</x:v>
      </x:c>
      <x:c r="E420" s="20" t="n">
        <x:v>31127.0333333333</x:v>
      </x:c>
      <x:c r="F420" s="20" t="n">
        <x:f>$E$370</x:f>
        <x:v>30131.1</x:v>
      </x:c>
      <x:c r="G420" s="22" t="n">
        <x:f>100*E420/F420</x:f>
        <x:v>103.30533347051154</x:v>
      </x:c>
      <x:c r="H420" s="24" t="n">
        <x:f>G420/100-1</x:f>
        <x:v>0.0330533347051154</x:v>
      </x:c>
      <x:c r="I420" s="26" t="n">
        <x:v>4</x:v>
      </x:c>
      <x:c r="J420" s="26" t="n">
        <x:v>3</x:v>
      </x:c>
      <x:c r="K420" s="7" t="b">
        <x:v>0</x:v>
      </x:c>
      <x:c r="L420" s="2" t="str">
        <x:v>April 2026</x:v>
      </x:c>
      <x:c r="M420" s="2" t="str">
        <x:v>https://datawrapper.dwcdn.net/wQR5S/23/dataset.csv</x:v>
      </x:c>
    </x:row>
    <x:row r="421" ht="24" customHeight="1">
      <x:c r="A421" s="2" t="str">
        <x:v>Ramp</x:v>
      </x:c>
      <x:c r="B421" s="2" t="str">
        <x:v>Quintiles</x:v>
      </x:c>
      <x:c r="C421" s="2" t="str">
        <x:v>Q2</x:v>
      </x:c>
      <x:c r="D421" s="2" t="str">
        <x:v>2025Q3</x:v>
      </x:c>
      <x:c r="E421" s="20" t="n">
        <x:v>32492.0333333333</x:v>
      </x:c>
      <x:c r="F421" s="20" t="n">
        <x:f>$E$371</x:f>
        <x:v>30200.9333333333</x:v>
      </x:c>
      <x:c r="G421" s="22" t="n">
        <x:f>100*E421/F421</x:f>
        <x:v>107.58618938929041</x:v>
      </x:c>
      <x:c r="H421" s="24" t="n">
        <x:f>G421/100-1</x:f>
        <x:v>0.0758618938929041</x:v>
      </x:c>
      <x:c r="I421" s="26" t="n">
        <x:v>3</x:v>
      </x:c>
      <x:c r="J421" s="26" t="n">
        <x:v>3</x:v>
      </x:c>
      <x:c r="K421" s="7" t="b">
        <x:v>0</x:v>
      </x:c>
      <x:c r="L421" s="2" t="str">
        <x:v>April 2026</x:v>
      </x:c>
      <x:c r="M421" s="2" t="str">
        <x:v>https://datawrapper.dwcdn.net/wQR5S/23/dataset.csv</x:v>
      </x:c>
    </x:row>
    <x:row r="422" ht="24" customHeight="1">
      <x:c r="A422" s="2" t="str">
        <x:v>Ramp</x:v>
      </x:c>
      <x:c r="B422" s="2" t="str">
        <x:v>Quintiles</x:v>
      </x:c>
      <x:c r="C422" s="2" t="str">
        <x:v>Q3</x:v>
      </x:c>
      <x:c r="D422" s="2" t="str">
        <x:v>2025Q3</x:v>
      </x:c>
      <x:c r="E422" s="20" t="n">
        <x:v>31044.2333333333</x:v>
      </x:c>
      <x:c r="F422" s="20" t="n">
        <x:f>$E$372</x:f>
        <x:v>31749.8333333333</x:v>
      </x:c>
      <x:c r="G422" s="22" t="n">
        <x:f>100*E422/F422</x:f>
        <x:v>97.77762612927103</x:v>
      </x:c>
      <x:c r="H422" s="24" t="n">
        <x:f>G422/100-1</x:f>
        <x:v>-0.022223738707289775</x:v>
      </x:c>
      <x:c r="I422" s="26" t="n">
        <x:v>4</x:v>
      </x:c>
      <x:c r="J422" s="26" t="n">
        <x:v>3</x:v>
      </x:c>
      <x:c r="K422" s="7" t="b">
        <x:v>0</x:v>
      </x:c>
      <x:c r="L422" s="2" t="str">
        <x:v>April 2026</x:v>
      </x:c>
      <x:c r="M422" s="2" t="str">
        <x:v>https://datawrapper.dwcdn.net/wQR5S/23/dataset.csv</x:v>
      </x:c>
    </x:row>
    <x:row r="423" ht="24" customHeight="1">
      <x:c r="A423" s="2" t="str">
        <x:v>Ramp</x:v>
      </x:c>
      <x:c r="B423" s="2" t="str">
        <x:v>Quintiles</x:v>
      </x:c>
      <x:c r="C423" s="2" t="str">
        <x:v>Q4</x:v>
      </x:c>
      <x:c r="D423" s="2" t="str">
        <x:v>2025Q3</x:v>
      </x:c>
      <x:c r="E423" s="20" t="n">
        <x:v>19295.0666666667</x:v>
      </x:c>
      <x:c r="F423" s="20" t="n">
        <x:f>$E$373</x:f>
        <x:v>19279.9666666667</x:v>
      </x:c>
      <x:c r="G423" s="22" t="n">
        <x:f>100*E423/F423</x:f>
        <x:v>100.07831963748207</x:v>
      </x:c>
      <x:c r="H423" s="24" t="n">
        <x:f>G423/100-1</x:f>
        <x:v>0.000783196374820605</x:v>
      </x:c>
      <x:c r="I423" s="26" t="n">
        <x:v>3</x:v>
      </x:c>
      <x:c r="J423" s="26" t="n">
        <x:v>3</x:v>
      </x:c>
      <x:c r="K423" s="7" t="b">
        <x:v>0</x:v>
      </x:c>
      <x:c r="L423" s="2" t="str">
        <x:v>April 2026</x:v>
      </x:c>
      <x:c r="M423" s="2" t="str">
        <x:v>https://datawrapper.dwcdn.net/wQR5S/23/dataset.csv</x:v>
      </x:c>
    </x:row>
    <x:row r="424" ht="24" customHeight="1">
      <x:c r="A424" s="2" t="str">
        <x:v>Ramp</x:v>
      </x:c>
      <x:c r="B424" s="2" t="str">
        <x:v>Quintiles</x:v>
      </x:c>
      <x:c r="C424" s="2" t="str">
        <x:v>Q5</x:v>
      </x:c>
      <x:c r="D424" s="2" t="str">
        <x:v>2025Q3</x:v>
      </x:c>
      <x:c r="E424" s="20" t="n">
        <x:v>20967.6</x:v>
      </x:c>
      <x:c r="F424" s="20" t="n">
        <x:f>$E$374</x:f>
        <x:v>21051</x:v>
      </x:c>
      <x:c r="G424" s="22" t="n">
        <x:f>100*E424/F424</x:f>
        <x:v>99.60381929599542</x:v>
      </x:c>
      <x:c r="H424" s="24" t="n">
        <x:f>G424/100-1</x:f>
        <x:v>-0.003961807040045784</x:v>
      </x:c>
      <x:c r="I424" s="26" t="n">
        <x:v>4</x:v>
      </x:c>
      <x:c r="J424" s="26" t="n">
        <x:v>3</x:v>
      </x:c>
      <x:c r="K424" s="7" t="b">
        <x:v>0</x:v>
      </x:c>
      <x:c r="L424" s="2" t="str">
        <x:v>April 2026</x:v>
      </x:c>
      <x:c r="M424" s="2" t="str">
        <x:v>https://datawrapper.dwcdn.net/wQR5S/23/dataset.csv</x:v>
      </x:c>
    </x:row>
    <x:row r="425" ht="24" customHeight="1">
      <x:c r="A425" s="2" t="str">
        <x:v>Ramp</x:v>
      </x:c>
      <x:c r="B425" s="2" t="str">
        <x:v>Quintiles</x:v>
      </x:c>
      <x:c r="C425" s="2" t="str">
        <x:v>Q1</x:v>
      </x:c>
      <x:c r="D425" s="2" t="str">
        <x:v>2025Q4</x:v>
      </x:c>
      <x:c r="E425" s="20" t="n">
        <x:v>31225.6666666667</x:v>
      </x:c>
      <x:c r="F425" s="20" t="n">
        <x:f>$E$370</x:f>
        <x:v>30131.1</x:v>
      </x:c>
      <x:c r="G425" s="22" t="n">
        <x:f>100*E425/F425</x:f>
        <x:v>103.63268074071874</x:v>
      </x:c>
      <x:c r="H425" s="24" t="n">
        <x:f>G425/100-1</x:f>
        <x:v>0.03632680740718741</x:v>
      </x:c>
      <x:c r="I425" s="26" t="n">
        <x:v>4</x:v>
      </x:c>
      <x:c r="J425" s="26" t="n">
        <x:v>3</x:v>
      </x:c>
      <x:c r="K425" s="7" t="b">
        <x:v>0</x:v>
      </x:c>
      <x:c r="L425" s="2" t="str">
        <x:v>April 2026</x:v>
      </x:c>
      <x:c r="M425" s="2" t="str">
        <x:v>https://datawrapper.dwcdn.net/wQR5S/23/dataset.csv</x:v>
      </x:c>
    </x:row>
    <x:row r="426" ht="24" customHeight="1">
      <x:c r="A426" s="2" t="str">
        <x:v>Ramp</x:v>
      </x:c>
      <x:c r="B426" s="2" t="str">
        <x:v>Quintiles</x:v>
      </x:c>
      <x:c r="C426" s="2" t="str">
        <x:v>Q2</x:v>
      </x:c>
      <x:c r="D426" s="2" t="str">
        <x:v>2025Q4</x:v>
      </x:c>
      <x:c r="E426" s="20" t="n">
        <x:v>32567.0666666667</x:v>
      </x:c>
      <x:c r="F426" s="20" t="n">
        <x:f>$E$371</x:f>
        <x:v>30200.9333333333</x:v>
      </x:c>
      <x:c r="G426" s="22" t="n">
        <x:f>100*E426/F426</x:f>
        <x:v>107.83463645715165</x:v>
      </x:c>
      <x:c r="H426" s="24" t="n">
        <x:f>G426/100-1</x:f>
        <x:v>0.07834636457151656</x:v>
      </x:c>
      <x:c r="I426" s="26" t="n">
        <x:v>3</x:v>
      </x:c>
      <x:c r="J426" s="26" t="n">
        <x:v>3</x:v>
      </x:c>
      <x:c r="K426" s="7" t="b">
        <x:v>0</x:v>
      </x:c>
      <x:c r="L426" s="2" t="str">
        <x:v>April 2026</x:v>
      </x:c>
      <x:c r="M426" s="2" t="str">
        <x:v>https://datawrapper.dwcdn.net/wQR5S/23/dataset.csv</x:v>
      </x:c>
    </x:row>
    <x:row r="427" ht="24" customHeight="1">
      <x:c r="A427" s="2" t="str">
        <x:v>Ramp</x:v>
      </x:c>
      <x:c r="B427" s="2" t="str">
        <x:v>Quintiles</x:v>
      </x:c>
      <x:c r="C427" s="2" t="str">
        <x:v>Q3</x:v>
      </x:c>
      <x:c r="D427" s="2" t="str">
        <x:v>2025Q4</x:v>
      </x:c>
      <x:c r="E427" s="20" t="n">
        <x:v>31009.6333333333</x:v>
      </x:c>
      <x:c r="F427" s="20" t="n">
        <x:f>$E$372</x:f>
        <x:v>31749.8333333333</x:v>
      </x:c>
      <x:c r="G427" s="22" t="n">
        <x:f>100*E427/F427</x:f>
        <x:v>97.66864917926078</x:v>
      </x:c>
      <x:c r="H427" s="24" t="n">
        <x:f>G427/100-1</x:f>
        <x:v>-0.023313508207392197</x:v>
      </x:c>
      <x:c r="I427" s="26" t="n">
        <x:v>4</x:v>
      </x:c>
      <x:c r="J427" s="26" t="n">
        <x:v>3</x:v>
      </x:c>
      <x:c r="K427" s="7" t="b">
        <x:v>0</x:v>
      </x:c>
      <x:c r="L427" s="2" t="str">
        <x:v>April 2026</x:v>
      </x:c>
      <x:c r="M427" s="2" t="str">
        <x:v>https://datawrapper.dwcdn.net/wQR5S/23/dataset.csv</x:v>
      </x:c>
    </x:row>
    <x:row r="428" ht="24" customHeight="1">
      <x:c r="A428" s="2" t="str">
        <x:v>Ramp</x:v>
      </x:c>
      <x:c r="B428" s="2" t="str">
        <x:v>Quintiles</x:v>
      </x:c>
      <x:c r="C428" s="2" t="str">
        <x:v>Q4</x:v>
      </x:c>
      <x:c r="D428" s="2" t="str">
        <x:v>2025Q4</x:v>
      </x:c>
      <x:c r="E428" s="20" t="n">
        <x:v>19259.8</x:v>
      </x:c>
      <x:c r="F428" s="20" t="n">
        <x:f>$E$373</x:f>
        <x:v>19279.9666666667</x:v>
      </x:c>
      <x:c r="G428" s="22" t="n">
        <x:f>100*E428/F428</x:f>
        <x:v>99.89540092565841</x:v>
      </x:c>
      <x:c r="H428" s="24" t="n">
        <x:f>G428/100-1</x:f>
        <x:v>-0.0010459907434159366</x:v>
      </x:c>
      <x:c r="I428" s="26" t="n">
        <x:v>3</x:v>
      </x:c>
      <x:c r="J428" s="26" t="n">
        <x:v>3</x:v>
      </x:c>
      <x:c r="K428" s="7" t="b">
        <x:v>0</x:v>
      </x:c>
      <x:c r="L428" s="2" t="str">
        <x:v>April 2026</x:v>
      </x:c>
      <x:c r="M428" s="2" t="str">
        <x:v>https://datawrapper.dwcdn.net/wQR5S/23/dataset.csv</x:v>
      </x:c>
    </x:row>
    <x:row r="429" ht="24" customHeight="1">
      <x:c r="A429" s="2" t="str">
        <x:v>Ramp</x:v>
      </x:c>
      <x:c r="B429" s="2" t="str">
        <x:v>Quintiles</x:v>
      </x:c>
      <x:c r="C429" s="2" t="str">
        <x:v>Q5</x:v>
      </x:c>
      <x:c r="D429" s="2" t="str">
        <x:v>2025Q4</x:v>
      </x:c>
      <x:c r="E429" s="20" t="n">
        <x:v>20963.3333333333</x:v>
      </x:c>
      <x:c r="F429" s="20" t="n">
        <x:f>$E$374</x:f>
        <x:v>21051</x:v>
      </x:c>
      <x:c r="G429" s="22" t="n">
        <x:f>100*E429/F429</x:f>
        <x:v>99.58355105854021</x:v>
      </x:c>
      <x:c r="H429" s="24" t="n">
        <x:f>G429/100-1</x:f>
        <x:v>-0.004164489414597905</x:v>
      </x:c>
      <x:c r="I429" s="26" t="n">
        <x:v>4</x:v>
      </x:c>
      <x:c r="J429" s="26" t="n">
        <x:v>3</x:v>
      </x:c>
      <x:c r="K429" s="7" t="b">
        <x:v>0</x:v>
      </x:c>
      <x:c r="L429" s="2" t="str">
        <x:v>April 2026</x:v>
      </x:c>
      <x:c r="M429" s="2" t="str">
        <x:v>https://datawrapper.dwcdn.net/wQR5S/23/dataset.csv</x:v>
      </x:c>
    </x:row>
    <x:row r="430" ht="24" customHeight="1">
      <x:c r="A430" s="2" t="str">
        <x:v>Ramp</x:v>
      </x:c>
      <x:c r="B430" s="2" t="str">
        <x:v>Quintiles</x:v>
      </x:c>
      <x:c r="C430" s="2" t="str">
        <x:v>Q1</x:v>
      </x:c>
      <x:c r="D430" s="2" t="str">
        <x:v>2026Q1</x:v>
      </x:c>
      <x:c r="E430" s="20" t="n">
        <x:v>31293.3</x:v>
      </x:c>
      <x:c r="F430" s="20" t="n">
        <x:f>$E$370</x:f>
        <x:v>30131.1</x:v>
      </x:c>
      <x:c r="G430" s="22" t="n">
        <x:f>100*E430/F430</x:f>
        <x:v>103.8571442794986</x:v>
      </x:c>
      <x:c r="H430" s="24" t="n">
        <x:f>G430/100-1</x:f>
        <x:v>0.03857144279498592</x:v>
      </x:c>
      <x:c r="I430" s="26" t="n">
        <x:v>4</x:v>
      </x:c>
      <x:c r="J430" s="26" t="n">
        <x:v>3</x:v>
      </x:c>
      <x:c r="K430" s="7" t="b">
        <x:v>0</x:v>
      </x:c>
      <x:c r="L430" s="2" t="str">
        <x:v>April 2026</x:v>
      </x:c>
      <x:c r="M430" s="2" t="str">
        <x:v>https://datawrapper.dwcdn.net/wQR5S/23/dataset.csv</x:v>
      </x:c>
    </x:row>
    <x:row r="431" ht="24" customHeight="1">
      <x:c r="A431" s="2" t="str">
        <x:v>Ramp</x:v>
      </x:c>
      <x:c r="B431" s="2" t="str">
        <x:v>Quintiles</x:v>
      </x:c>
      <x:c r="C431" s="2" t="str">
        <x:v>Q2</x:v>
      </x:c>
      <x:c r="D431" s="2" t="str">
        <x:v>2026Q1</x:v>
      </x:c>
      <x:c r="E431" s="20" t="n">
        <x:v>32701.6</x:v>
      </x:c>
      <x:c r="F431" s="20" t="n">
        <x:f>$E$371</x:f>
        <x:v>30200.9333333333</x:v>
      </x:c>
      <x:c r="G431" s="22" t="n">
        <x:f>100*E431/F431</x:f>
        <x:v>108.2800973038362</x:v>
      </x:c>
      <x:c r="H431" s="24" t="n">
        <x:f>G431/100-1</x:f>
        <x:v>0.08280097303836209</x:v>
      </x:c>
      <x:c r="I431" s="26" t="n">
        <x:v>3</x:v>
      </x:c>
      <x:c r="J431" s="26" t="n">
        <x:v>3</x:v>
      </x:c>
      <x:c r="K431" s="7" t="b">
        <x:v>0</x:v>
      </x:c>
      <x:c r="L431" s="2" t="str">
        <x:v>April 2026</x:v>
      </x:c>
      <x:c r="M431" s="2" t="str">
        <x:v>https://datawrapper.dwcdn.net/wQR5S/23/dataset.csv</x:v>
      </x:c>
    </x:row>
    <x:row r="432" ht="24" customHeight="1">
      <x:c r="A432" s="2" t="str">
        <x:v>Ramp</x:v>
      </x:c>
      <x:c r="B432" s="2" t="str">
        <x:v>Quintiles</x:v>
      </x:c>
      <x:c r="C432" s="2" t="str">
        <x:v>Q3</x:v>
      </x:c>
      <x:c r="D432" s="2" t="str">
        <x:v>2026Q1</x:v>
      </x:c>
      <x:c r="E432" s="20" t="n">
        <x:v>31047.7333333333</x:v>
      </x:c>
      <x:c r="F432" s="20" t="n">
        <x:f>$E$372</x:f>
        <x:v>31749.8333333333</x:v>
      </x:c>
      <x:c r="G432" s="22" t="n">
        <x:f>100*E432/F432</x:f>
        <x:v>97.78864980918536</x:v>
      </x:c>
      <x:c r="H432" s="24" t="n">
        <x:f>G432/100-1</x:f>
        <x:v>-0.022113501908146427</x:v>
      </x:c>
      <x:c r="I432" s="26" t="n">
        <x:v>4</x:v>
      </x:c>
      <x:c r="J432" s="26" t="n">
        <x:v>3</x:v>
      </x:c>
      <x:c r="K432" s="7" t="b">
        <x:v>0</x:v>
      </x:c>
      <x:c r="L432" s="2" t="str">
        <x:v>April 2026</x:v>
      </x:c>
      <x:c r="M432" s="2" t="str">
        <x:v>https://datawrapper.dwcdn.net/wQR5S/23/dataset.csv</x:v>
      </x:c>
    </x:row>
    <x:row r="433" ht="24" customHeight="1">
      <x:c r="A433" s="2" t="str">
        <x:v>Ramp</x:v>
      </x:c>
      <x:c r="B433" s="2" t="str">
        <x:v>Quintiles</x:v>
      </x:c>
      <x:c r="C433" s="2" t="str">
        <x:v>Q4</x:v>
      </x:c>
      <x:c r="D433" s="2" t="str">
        <x:v>2026Q1</x:v>
      </x:c>
      <x:c r="E433" s="20" t="n">
        <x:v>19245.8333333333</x:v>
      </x:c>
      <x:c r="F433" s="20" t="n">
        <x:f>$E$373</x:f>
        <x:v>19279.9666666667</x:v>
      </x:c>
      <x:c r="G433" s="22" t="n">
        <x:f>100*E433/F433</x:f>
        <x:v>99.82295958326311</x:v>
      </x:c>
      <x:c r="H433" s="24" t="n">
        <x:f>G433/100-1</x:f>
        <x:v>-0.0017704041673688442</x:v>
      </x:c>
      <x:c r="I433" s="26" t="n">
        <x:v>3</x:v>
      </x:c>
      <x:c r="J433" s="26" t="n">
        <x:v>3</x:v>
      </x:c>
      <x:c r="K433" s="7" t="b">
        <x:v>0</x:v>
      </x:c>
      <x:c r="L433" s="2" t="str">
        <x:v>April 2026</x:v>
      </x:c>
      <x:c r="M433" s="2" t="str">
        <x:v>https://datawrapper.dwcdn.net/wQR5S/23/dataset.csv</x:v>
      </x:c>
    </x:row>
    <x:row r="434" ht="24" customHeight="1">
      <x:c r="A434" s="2" t="str">
        <x:v>Ramp</x:v>
      </x:c>
      <x:c r="B434" s="2" t="str">
        <x:v>Quintiles</x:v>
      </x:c>
      <x:c r="C434" s="2" t="str">
        <x:v>Q5</x:v>
      </x:c>
      <x:c r="D434" s="2" t="str">
        <x:v>2026Q1</x:v>
      </x:c>
      <x:c r="E434" s="20" t="n">
        <x:v>20906.3</x:v>
      </x:c>
      <x:c r="F434" s="20" t="n">
        <x:f>$E$374</x:f>
        <x:v>21051</x:v>
      </x:c>
      <x:c r="G434" s="22" t="n">
        <x:f>100*E434/F434</x:f>
        <x:v>99.31262172818393</x:v>
      </x:c>
      <x:c r="H434" s="24" t="n">
        <x:f>G434/100-1</x:f>
        <x:v>-0.006873782718160748</x:v>
      </x:c>
      <x:c r="I434" s="26" t="n">
        <x:v>4</x:v>
      </x:c>
      <x:c r="J434" s="26" t="n">
        <x:v>3</x:v>
      </x:c>
      <x:c r="K434" s="7" t="b">
        <x:v>0</x:v>
      </x:c>
      <x:c r="L434" s="2" t="str">
        <x:v>April 2026</x:v>
      </x:c>
      <x:c r="M434" s="2" t="str">
        <x:v>https://datawrapper.dwcdn.net/wQR5S/23/dataset.csv</x:v>
      </x:c>
    </x:row>
    <x:row r="435" ht="24" customHeight="1">
      <x:c r="A435" s="2" t="str">
        <x:v>Ramp</x:v>
      </x:c>
      <x:c r="B435" s="2" t="str">
        <x:v>Quintiles</x:v>
      </x:c>
      <x:c r="C435" s="2" t="str">
        <x:v>Q1</x:v>
      </x:c>
      <x:c r="D435" s="2" t="str">
        <x:v>2026Q2</x:v>
      </x:c>
      <x:c r="E435" s="20" t="n">
        <x:v>31326.1333333333</x:v>
      </x:c>
      <x:c r="F435" s="20" t="n">
        <x:f>$E$370</x:f>
        <x:v>30131.1</x:v>
      </x:c>
      <x:c r="G435" s="22" t="n">
        <x:f>100*E435/F435</x:f>
        <x:v>103.96611253267653</x:v>
      </x:c>
      <x:c r="H435" s="24" t="n">
        <x:f>G435/100-1</x:f>
        <x:v>0.039661125326765356</x:v>
      </x:c>
      <x:c r="I435" s="26" t="n">
        <x:v>4</x:v>
      </x:c>
      <x:c r="J435" s="26" t="n">
        <x:v>3</x:v>
      </x:c>
      <x:c r="K435" s="7" t="b">
        <x:v>0</x:v>
      </x:c>
      <x:c r="L435" s="2" t="str">
        <x:v>April 2026</x:v>
      </x:c>
      <x:c r="M435" s="2" t="str">
        <x:v>https://datawrapper.dwcdn.net/wQR5S/23/dataset.csv</x:v>
      </x:c>
    </x:row>
    <x:row r="436" ht="24" customHeight="1">
      <x:c r="A436" s="2" t="str">
        <x:v>Ramp</x:v>
      </x:c>
      <x:c r="B436" s="2" t="str">
        <x:v>Quintiles</x:v>
      </x:c>
      <x:c r="C436" s="2" t="str">
        <x:v>Q2</x:v>
      </x:c>
      <x:c r="D436" s="2" t="str">
        <x:v>2026Q2</x:v>
      </x:c>
      <x:c r="E436" s="20" t="n">
        <x:v>32883.0666666667</x:v>
      </x:c>
      <x:c r="F436" s="20" t="n">
        <x:f>$E$371</x:f>
        <x:v>30200.9333333333</x:v>
      </x:c>
      <x:c r="G436" s="22" t="n">
        <x:f>100*E436/F436</x:f>
        <x:v>108.88096173628212</x:v>
      </x:c>
      <x:c r="H436" s="24" t="n">
        <x:f>G436/100-1</x:f>
        <x:v>0.08880961736282122</x:v>
      </x:c>
      <x:c r="I436" s="26" t="n">
        <x:v>3</x:v>
      </x:c>
      <x:c r="J436" s="26" t="n">
        <x:v>3</x:v>
      </x:c>
      <x:c r="K436" s="7" t="b">
        <x:v>0</x:v>
      </x:c>
      <x:c r="L436" s="2" t="str">
        <x:v>April 2026</x:v>
      </x:c>
      <x:c r="M436" s="2" t="str">
        <x:v>https://datawrapper.dwcdn.net/wQR5S/23/dataset.csv</x:v>
      </x:c>
    </x:row>
    <x:row r="437" ht="24" customHeight="1">
      <x:c r="A437" s="2" t="str">
        <x:v>Ramp</x:v>
      </x:c>
      <x:c r="B437" s="2" t="str">
        <x:v>Quintiles</x:v>
      </x:c>
      <x:c r="C437" s="2" t="str">
        <x:v>Q3</x:v>
      </x:c>
      <x:c r="D437" s="2" t="str">
        <x:v>2026Q2</x:v>
      </x:c>
      <x:c r="E437" s="20" t="n">
        <x:v>31131.8</x:v>
      </x:c>
      <x:c r="F437" s="20" t="n">
        <x:f>$E$372</x:f>
        <x:v>31749.8333333333</x:v>
      </x:c>
      <x:c r="G437" s="22" t="n">
        <x:f>100*E437/F437</x:f>
        <x:v>98.05342810198489</x:v>
      </x:c>
      <x:c r="H437" s="24" t="n">
        <x:f>G437/100-1</x:f>
        <x:v>-0.019465718980151037</x:v>
      </x:c>
      <x:c r="I437" s="26" t="n">
        <x:v>4</x:v>
      </x:c>
      <x:c r="J437" s="26" t="n">
        <x:v>3</x:v>
      </x:c>
      <x:c r="K437" s="7" t="b">
        <x:v>0</x:v>
      </x:c>
      <x:c r="L437" s="2" t="str">
        <x:v>April 2026</x:v>
      </x:c>
      <x:c r="M437" s="2" t="str">
        <x:v>https://datawrapper.dwcdn.net/wQR5S/23/dataset.csv</x:v>
      </x:c>
    </x:row>
    <x:row r="438" ht="24" customHeight="1">
      <x:c r="A438" s="2" t="str">
        <x:v>Ramp</x:v>
      </x:c>
      <x:c r="B438" s="2" t="str">
        <x:v>Quintiles</x:v>
      </x:c>
      <x:c r="C438" s="2" t="str">
        <x:v>Q4</x:v>
      </x:c>
      <x:c r="D438" s="2" t="str">
        <x:v>2026Q2</x:v>
      </x:c>
      <x:c r="E438" s="20" t="n">
        <x:v>19257.4666666667</x:v>
      </x:c>
      <x:c r="F438" s="20" t="n">
        <x:f>$E$373</x:f>
        <x:v>19279.9666666667</x:v>
      </x:c>
      <x:c r="G438" s="22" t="n">
        <x:f>100*E438/F438</x:f>
        <x:v>99.88329855342073</x:v>
      </x:c>
      <x:c r="H438" s="24" t="n">
        <x:f>G438/100-1</x:f>
        <x:v>-0.001167014465792704</x:v>
      </x:c>
      <x:c r="I438" s="26" t="n">
        <x:v>3</x:v>
      </x:c>
      <x:c r="J438" s="26" t="n">
        <x:v>3</x:v>
      </x:c>
      <x:c r="K438" s="7" t="b">
        <x:v>0</x:v>
      </x:c>
      <x:c r="L438" s="2" t="str">
        <x:v>April 2026</x:v>
      </x:c>
      <x:c r="M438" s="2" t="str">
        <x:v>https://datawrapper.dwcdn.net/wQR5S/23/dataset.csv</x:v>
      </x:c>
    </x:row>
    <x:row r="439" ht="24" customHeight="1">
      <x:c r="A439" s="2" t="str">
        <x:v>Ramp</x:v>
      </x:c>
      <x:c r="B439" s="2" t="str">
        <x:v>Quintiles</x:v>
      </x:c>
      <x:c r="C439" s="2" t="str">
        <x:v>Q5</x:v>
      </x:c>
      <x:c r="D439" s="2" t="str">
        <x:v>2026Q2</x:v>
      </x:c>
      <x:c r="E439" s="20" t="n">
        <x:v>20878.4666666667</x:v>
      </x:c>
      <x:c r="F439" s="20" t="n">
        <x:f>$E$374</x:f>
        <x:v>21051</x:v>
      </x:c>
      <x:c r="G439" s="22" t="n">
        <x:f>100*E439/F439</x:f>
        <x:v>99.1804031479108</x:v>
      </x:c>
      <x:c r="H439" s="24" t="n">
        <x:f>G439/100-1</x:f>
        <x:v>-0.008195968520892105</x:v>
      </x:c>
      <x:c r="I439" s="26" t="n">
        <x:v>4</x:v>
      </x:c>
      <x:c r="J439" s="26" t="n">
        <x:v>3</x:v>
      </x:c>
      <x:c r="K439" s="7" t="b">
        <x:v>0</x:v>
      </x:c>
      <x:c r="L439" s="2" t="str">
        <x:v>April 2026</x:v>
      </x:c>
      <x:c r="M439" s="2" t="str">
        <x:v>https://datawrapper.dwcdn.net/wQR5S/23/dataset.csv</x:v>
      </x:c>
    </x:row>
    <x:row r="440" ht="24" customHeight="1">
      <x:c r="A440" s="2" t="str">
        <x:v>Ramp</x:v>
      </x:c>
      <x:c r="B440" s="2" t="str">
        <x:v>Halves</x:v>
      </x:c>
      <x:c r="C440" s="2" t="str">
        <x:v>Lower half</x:v>
      </x:c>
      <x:c r="D440" s="2" t="str">
        <x:v>2023Q1</x:v>
      </x:c>
      <x:c r="E440" s="20" t="n">
        <x:v>76493.2</x:v>
      </x:c>
      <x:c r="F440" s="20" t="n">
        <x:f>$E$440</x:f>
        <x:v>76493.2</x:v>
      </x:c>
      <x:c r="G440" s="22" t="n">
        <x:f>100*E440/F440</x:f>
        <x:v>100</x:v>
      </x:c>
      <x:c r="H440" s="24" t="n">
        <x:f>G440/100-1</x:f>
        <x:v>0</x:v>
      </x:c>
      <x:c r="I440" s="26" t="n">
        <x:v>9</x:v>
      </x:c>
      <x:c r="J440" s="26" t="n">
        <x:v>3</x:v>
      </x:c>
      <x:c r="K440" s="7" t="b">
        <x:v>0</x:v>
      </x:c>
      <x:c r="L440" s="2" t="str">
        <x:v>April 2026</x:v>
      </x:c>
      <x:c r="M440" s="2" t="str">
        <x:v>https://datawrapper.dwcdn.net/wQR5S/23/dataset.csv</x:v>
      </x:c>
    </x:row>
    <x:row r="441" ht="24" customHeight="1">
      <x:c r="A441" s="2" t="str">
        <x:v>Ramp</x:v>
      </x:c>
      <x:c r="B441" s="2" t="str">
        <x:v>Halves</x:v>
      </x:c>
      <x:c r="C441" s="2" t="str">
        <x:v>Higher half</x:v>
      </x:c>
      <x:c r="D441" s="2" t="str">
        <x:v>2023Q1</x:v>
      </x:c>
      <x:c r="E441" s="20" t="n">
        <x:v>55919.6333333333</x:v>
      </x:c>
      <x:c r="F441" s="20" t="n">
        <x:f>$E$441</x:f>
        <x:v>55919.6333333333</x:v>
      </x:c>
      <x:c r="G441" s="22" t="n">
        <x:f>100*E441/F441</x:f>
        <x:v>100</x:v>
      </x:c>
      <x:c r="H441" s="24" t="n">
        <x:f>G441/100-1</x:f>
        <x:v>0</x:v>
      </x:c>
      <x:c r="I441" s="26" t="n">
        <x:v>9</x:v>
      </x:c>
      <x:c r="J441" s="26" t="n">
        <x:v>3</x:v>
      </x:c>
      <x:c r="K441" s="7" t="b">
        <x:v>0</x:v>
      </x:c>
      <x:c r="L441" s="2" t="str">
        <x:v>April 2026</x:v>
      </x:c>
      <x:c r="M441" s="2" t="str">
        <x:v>https://datawrapper.dwcdn.net/wQR5S/23/dataset.csv</x:v>
      </x:c>
    </x:row>
    <x:row r="442" ht="24" customHeight="1">
      <x:c r="A442" s="2" t="str">
        <x:v>Ramp</x:v>
      </x:c>
      <x:c r="B442" s="2" t="str">
        <x:v>Halves</x:v>
      </x:c>
      <x:c r="C442" s="2" t="str">
        <x:v>Lower half</x:v>
      </x:c>
      <x:c r="D442" s="2" t="str">
        <x:v>2023Q2</x:v>
      </x:c>
      <x:c r="E442" s="20" t="n">
        <x:v>76898.6</x:v>
      </x:c>
      <x:c r="F442" s="20" t="n">
        <x:f>$E$440</x:f>
        <x:v>76493.2</x:v>
      </x:c>
      <x:c r="G442" s="22" t="n">
        <x:f>100*E442/F442</x:f>
        <x:v>100.52998175001179</x:v>
      </x:c>
      <x:c r="H442" s="24" t="n">
        <x:f>G442/100-1</x:f>
        <x:v>0.005299817500117765</x:v>
      </x:c>
      <x:c r="I442" s="26" t="n">
        <x:v>9</x:v>
      </x:c>
      <x:c r="J442" s="26" t="n">
        <x:v>3</x:v>
      </x:c>
      <x:c r="K442" s="7" t="b">
        <x:v>0</x:v>
      </x:c>
      <x:c r="L442" s="2" t="str">
        <x:v>April 2026</x:v>
      </x:c>
      <x:c r="M442" s="2" t="str">
        <x:v>https://datawrapper.dwcdn.net/wQR5S/23/dataset.csv</x:v>
      </x:c>
    </x:row>
    <x:row r="443" ht="24" customHeight="1">
      <x:c r="A443" s="2" t="str">
        <x:v>Ramp</x:v>
      </x:c>
      <x:c r="B443" s="2" t="str">
        <x:v>Halves</x:v>
      </x:c>
      <x:c r="C443" s="2" t="str">
        <x:v>Higher half</x:v>
      </x:c>
      <x:c r="D443" s="2" t="str">
        <x:v>2023Q2</x:v>
      </x:c>
      <x:c r="E443" s="20" t="n">
        <x:v>55973.8</x:v>
      </x:c>
      <x:c r="F443" s="20" t="n">
        <x:f>$E$441</x:f>
        <x:v>55919.6333333333</x:v>
      </x:c>
      <x:c r="G443" s="22" t="n">
        <x:f>100*E443/F443</x:f>
        <x:v>100.09686520357495</x:v>
      </x:c>
      <x:c r="H443" s="24" t="n">
        <x:f>G443/100-1</x:f>
        <x:v>0.0009686520357494732</x:v>
      </x:c>
      <x:c r="I443" s="26" t="n">
        <x:v>9</x:v>
      </x:c>
      <x:c r="J443" s="26" t="n">
        <x:v>3</x:v>
      </x:c>
      <x:c r="K443" s="7" t="b">
        <x:v>0</x:v>
      </x:c>
      <x:c r="L443" s="2" t="str">
        <x:v>April 2026</x:v>
      </x:c>
      <x:c r="M443" s="2" t="str">
        <x:v>https://datawrapper.dwcdn.net/wQR5S/23/dataset.csv</x:v>
      </x:c>
    </x:row>
    <x:row r="444" ht="24" customHeight="1">
      <x:c r="A444" s="2" t="str">
        <x:v>Ramp</x:v>
      </x:c>
      <x:c r="B444" s="2" t="str">
        <x:v>Halves</x:v>
      </x:c>
      <x:c r="C444" s="2" t="str">
        <x:v>Lower half</x:v>
      </x:c>
      <x:c r="D444" s="2" t="str">
        <x:v>2023Q3</x:v>
      </x:c>
      <x:c r="E444" s="20" t="n">
        <x:v>77392.6333333333</x:v>
      </x:c>
      <x:c r="F444" s="20" t="n">
        <x:f>$E$440</x:f>
        <x:v>76493.2</x:v>
      </x:c>
      <x:c r="G444" s="22" t="n">
        <x:f>100*E444/F444</x:f>
        <x:v>101.17583436610484</x:v>
      </x:c>
      <x:c r="H444" s="24" t="n">
        <x:f>G444/100-1</x:f>
        <x:v>0.011758343661048443</x:v>
      </x:c>
      <x:c r="I444" s="26" t="n">
        <x:v>9</x:v>
      </x:c>
      <x:c r="J444" s="26" t="n">
        <x:v>3</x:v>
      </x:c>
      <x:c r="K444" s="7" t="b">
        <x:v>0</x:v>
      </x:c>
      <x:c r="L444" s="2" t="str">
        <x:v>April 2026</x:v>
      </x:c>
      <x:c r="M444" s="2" t="str">
        <x:v>https://datawrapper.dwcdn.net/wQR5S/23/dataset.csv</x:v>
      </x:c>
    </x:row>
    <x:row r="445" ht="24" customHeight="1">
      <x:c r="A445" s="2" t="str">
        <x:v>Ramp</x:v>
      </x:c>
      <x:c r="B445" s="2" t="str">
        <x:v>Halves</x:v>
      </x:c>
      <x:c r="C445" s="2" t="str">
        <x:v>Higher half</x:v>
      </x:c>
      <x:c r="D445" s="2" t="str">
        <x:v>2023Q3</x:v>
      </x:c>
      <x:c r="E445" s="20" t="n">
        <x:v>55904.2666666667</x:v>
      </x:c>
      <x:c r="F445" s="20" t="n">
        <x:f>$E$441</x:f>
        <x:v>55919.6333333333</x:v>
      </x:c>
      <x:c r="G445" s="22" t="n">
        <x:f>100*E445/F445</x:f>
        <x:v>99.97252008686286</x:v>
      </x:c>
      <x:c r="H445" s="24" t="n">
        <x:f>G445/100-1</x:f>
        <x:v>-0.000274799131371406</x:v>
      </x:c>
      <x:c r="I445" s="26" t="n">
        <x:v>9</x:v>
      </x:c>
      <x:c r="J445" s="26" t="n">
        <x:v>3</x:v>
      </x:c>
      <x:c r="K445" s="7" t="b">
        <x:v>0</x:v>
      </x:c>
      <x:c r="L445" s="2" t="str">
        <x:v>April 2026</x:v>
      </x:c>
      <x:c r="M445" s="2" t="str">
        <x:v>https://datawrapper.dwcdn.net/wQR5S/23/dataset.csv</x:v>
      </x:c>
    </x:row>
    <x:row r="446" ht="24" customHeight="1">
      <x:c r="A446" s="2" t="str">
        <x:v>Ramp</x:v>
      </x:c>
      <x:c r="B446" s="2" t="str">
        <x:v>Halves</x:v>
      </x:c>
      <x:c r="C446" s="2" t="str">
        <x:v>Lower half</x:v>
      </x:c>
      <x:c r="D446" s="2" t="str">
        <x:v>2023Q4</x:v>
      </x:c>
      <x:c r="E446" s="20" t="n">
        <x:v>77812.6</x:v>
      </x:c>
      <x:c r="F446" s="20" t="n">
        <x:f>$E$440</x:f>
        <x:v>76493.2</x:v>
      </x:c>
      <x:c r="G446" s="22" t="n">
        <x:f>100*E446/F446</x:f>
        <x:v>101.72485920317102</x:v>
      </x:c>
      <x:c r="H446" s="24" t="n">
        <x:f>G446/100-1</x:f>
        <x:v>0.017248592031710253</x:v>
      </x:c>
      <x:c r="I446" s="26" t="n">
        <x:v>9</x:v>
      </x:c>
      <x:c r="J446" s="26" t="n">
        <x:v>3</x:v>
      </x:c>
      <x:c r="K446" s="7" t="b">
        <x:v>0</x:v>
      </x:c>
      <x:c r="L446" s="2" t="str">
        <x:v>April 2026</x:v>
      </x:c>
      <x:c r="M446" s="2" t="str">
        <x:v>https://datawrapper.dwcdn.net/wQR5S/23/dataset.csv</x:v>
      </x:c>
    </x:row>
    <x:row r="447" ht="24" customHeight="1">
      <x:c r="A447" s="2" t="str">
        <x:v>Ramp</x:v>
      </x:c>
      <x:c r="B447" s="2" t="str">
        <x:v>Halves</x:v>
      </x:c>
      <x:c r="C447" s="2" t="str">
        <x:v>Higher half</x:v>
      </x:c>
      <x:c r="D447" s="2" t="str">
        <x:v>2023Q4</x:v>
      </x:c>
      <x:c r="E447" s="20" t="n">
        <x:v>55814.7666666667</x:v>
      </x:c>
      <x:c r="F447" s="20" t="n">
        <x:f>$E$441</x:f>
        <x:v>55919.6333333333</x:v>
      </x:c>
      <x:c r="G447" s="22" t="n">
        <x:f>100*E447/F447</x:f>
        <x:v>99.81246896587912</x:v>
      </x:c>
      <x:c r="H447" s="24" t="n">
        <x:f>G447/100-1</x:f>
        <x:v>-0.0018753103412088024</x:v>
      </x:c>
      <x:c r="I447" s="26" t="n">
        <x:v>9</x:v>
      </x:c>
      <x:c r="J447" s="26" t="n">
        <x:v>3</x:v>
      </x:c>
      <x:c r="K447" s="7" t="b">
        <x:v>0</x:v>
      </x:c>
      <x:c r="L447" s="2" t="str">
        <x:v>April 2026</x:v>
      </x:c>
      <x:c r="M447" s="2" t="str">
        <x:v>https://datawrapper.dwcdn.net/wQR5S/23/dataset.csv</x:v>
      </x:c>
    </x:row>
    <x:row r="448" ht="24" customHeight="1">
      <x:c r="A448" s="2" t="str">
        <x:v>Ramp</x:v>
      </x:c>
      <x:c r="B448" s="2" t="str">
        <x:v>Halves</x:v>
      </x:c>
      <x:c r="C448" s="2" t="str">
        <x:v>Lower half</x:v>
      </x:c>
      <x:c r="D448" s="2" t="str">
        <x:v>2024Q1</x:v>
      </x:c>
      <x:c r="E448" s="20" t="n">
        <x:v>78178.0666666667</x:v>
      </x:c>
      <x:c r="F448" s="20" t="n">
        <x:f>$E$440</x:f>
        <x:v>76493.2</x:v>
      </x:c>
      <x:c r="G448" s="22" t="n">
        <x:f>100*E448/F448</x:f>
        <x:v>102.20263587700175</x:v>
      </x:c>
      <x:c r="H448" s="24" t="n">
        <x:f>G448/100-1</x:f>
        <x:v>0.022026358770017573</x:v>
      </x:c>
      <x:c r="I448" s="26" t="n">
        <x:v>9</x:v>
      </x:c>
      <x:c r="J448" s="26" t="n">
        <x:v>3</x:v>
      </x:c>
      <x:c r="K448" s="7" t="b">
        <x:v>0</x:v>
      </x:c>
      <x:c r="L448" s="2" t="str">
        <x:v>April 2026</x:v>
      </x:c>
      <x:c r="M448" s="2" t="str">
        <x:v>https://datawrapper.dwcdn.net/wQR5S/23/dataset.csv</x:v>
      </x:c>
    </x:row>
    <x:row r="449" ht="24" customHeight="1">
      <x:c r="A449" s="2" t="str">
        <x:v>Ramp</x:v>
      </x:c>
      <x:c r="B449" s="2" t="str">
        <x:v>Halves</x:v>
      </x:c>
      <x:c r="C449" s="2" t="str">
        <x:v>Higher half</x:v>
      </x:c>
      <x:c r="D449" s="2" t="str">
        <x:v>2024Q1</x:v>
      </x:c>
      <x:c r="E449" s="20" t="n">
        <x:v>55808.9333333333</x:v>
      </x:c>
      <x:c r="F449" s="20" t="n">
        <x:f>$E$441</x:f>
        <x:v>55919.6333333333</x:v>
      </x:c>
      <x:c r="G449" s="22" t="n">
        <x:f>100*E449/F449</x:f>
        <x:v>99.80203732857095</x:v>
      </x:c>
      <x:c r="H449" s="24" t="n">
        <x:f>G449/100-1</x:f>
        <x:v>-0.0019796267142905277</x:v>
      </x:c>
      <x:c r="I449" s="26" t="n">
        <x:v>9</x:v>
      </x:c>
      <x:c r="J449" s="26" t="n">
        <x:v>3</x:v>
      </x:c>
      <x:c r="K449" s="7" t="b">
        <x:v>0</x:v>
      </x:c>
      <x:c r="L449" s="2" t="str">
        <x:v>April 2026</x:v>
      </x:c>
      <x:c r="M449" s="2" t="str">
        <x:v>https://datawrapper.dwcdn.net/wQR5S/23/dataset.csv</x:v>
      </x:c>
    </x:row>
    <x:row r="450" ht="24" customHeight="1">
      <x:c r="A450" s="2" t="str">
        <x:v>Ramp</x:v>
      </x:c>
      <x:c r="B450" s="2" t="str">
        <x:v>Halves</x:v>
      </x:c>
      <x:c r="C450" s="2" t="str">
        <x:v>Lower half</x:v>
      </x:c>
      <x:c r="D450" s="2" t="str">
        <x:v>2024Q2</x:v>
      </x:c>
      <x:c r="E450" s="20" t="n">
        <x:v>78503.3</x:v>
      </x:c>
      <x:c r="F450" s="20" t="n">
        <x:f>$E$440</x:f>
        <x:v>76493.2</x:v>
      </x:c>
      <x:c r="G450" s="22" t="n">
        <x:f>100*E450/F450</x:f>
        <x:v>102.62781528292712</x:v>
      </x:c>
      <x:c r="H450" s="24" t="n">
        <x:f>G450/100-1</x:f>
        <x:v>0.026278152829271262</x:v>
      </x:c>
      <x:c r="I450" s="26" t="n">
        <x:v>9</x:v>
      </x:c>
      <x:c r="J450" s="26" t="n">
        <x:v>3</x:v>
      </x:c>
      <x:c r="K450" s="7" t="b">
        <x:v>0</x:v>
      </x:c>
      <x:c r="L450" s="2" t="str">
        <x:v>April 2026</x:v>
      </x:c>
      <x:c r="M450" s="2" t="str">
        <x:v>https://datawrapper.dwcdn.net/wQR5S/23/dataset.csv</x:v>
      </x:c>
    </x:row>
    <x:row r="451" ht="24" customHeight="1">
      <x:c r="A451" s="2" t="str">
        <x:v>Ramp</x:v>
      </x:c>
      <x:c r="B451" s="2" t="str">
        <x:v>Halves</x:v>
      </x:c>
      <x:c r="C451" s="2" t="str">
        <x:v>Higher half</x:v>
      </x:c>
      <x:c r="D451" s="2" t="str">
        <x:v>2024Q2</x:v>
      </x:c>
      <x:c r="E451" s="20" t="n">
        <x:v>55745.9</x:v>
      </x:c>
      <x:c r="F451" s="20" t="n">
        <x:f>$E$441</x:f>
        <x:v>55919.6333333333</x:v>
      </x:c>
      <x:c r="G451" s="22" t="n">
        <x:f>100*E451/F451</x:f>
        <x:v>99.68931603628785</x:v>
      </x:c>
      <x:c r="H451" s="24" t="n">
        <x:f>G451/100-1</x:f>
        <x:v>-0.00310683963712155</x:v>
      </x:c>
      <x:c r="I451" s="26" t="n">
        <x:v>9</x:v>
      </x:c>
      <x:c r="J451" s="26" t="n">
        <x:v>3</x:v>
      </x:c>
      <x:c r="K451" s="7" t="b">
        <x:v>0</x:v>
      </x:c>
      <x:c r="L451" s="2" t="str">
        <x:v>April 2026</x:v>
      </x:c>
      <x:c r="M451" s="2" t="str">
        <x:v>https://datawrapper.dwcdn.net/wQR5S/23/dataset.csv</x:v>
      </x:c>
    </x:row>
    <x:row r="452" ht="24" customHeight="1">
      <x:c r="A452" s="2" t="str">
        <x:v>Ramp</x:v>
      </x:c>
      <x:c r="B452" s="2" t="str">
        <x:v>Halves</x:v>
      </x:c>
      <x:c r="C452" s="2" t="str">
        <x:v>Lower half</x:v>
      </x:c>
      <x:c r="D452" s="2" t="str">
        <x:v>2024Q3</x:v>
      </x:c>
      <x:c r="E452" s="20" t="n">
        <x:v>78697.5333333333</x:v>
      </x:c>
      <x:c r="F452" s="20" t="n">
        <x:f>$E$440</x:f>
        <x:v>76493.2</x:v>
      </x:c>
      <x:c r="G452" s="22" t="n">
        <x:f>100*E452/F452</x:f>
        <x:v>102.88173763593797</x:v>
      </x:c>
      <x:c r="H452" s="24" t="n">
        <x:f>G452/100-1</x:f>
        <x:v>0.028817376359379754</x:v>
      </x:c>
      <x:c r="I452" s="26" t="n">
        <x:v>9</x:v>
      </x:c>
      <x:c r="J452" s="26" t="n">
        <x:v>3</x:v>
      </x:c>
      <x:c r="K452" s="7" t="b">
        <x:v>0</x:v>
      </x:c>
      <x:c r="L452" s="2" t="str">
        <x:v>April 2026</x:v>
      </x:c>
      <x:c r="M452" s="2" t="str">
        <x:v>https://datawrapper.dwcdn.net/wQR5S/23/dataset.csv</x:v>
      </x:c>
    </x:row>
    <x:row r="453" ht="24" customHeight="1">
      <x:c r="A453" s="2" t="str">
        <x:v>Ramp</x:v>
      </x:c>
      <x:c r="B453" s="2" t="str">
        <x:v>Halves</x:v>
      </x:c>
      <x:c r="C453" s="2" t="str">
        <x:v>Higher half</x:v>
      </x:c>
      <x:c r="D453" s="2" t="str">
        <x:v>2024Q3</x:v>
      </x:c>
      <x:c r="E453" s="20" t="n">
        <x:v>55639.7333333333</x:v>
      </x:c>
      <x:c r="F453" s="20" t="n">
        <x:f>$E$441</x:f>
        <x:v>55919.6333333333</x:v>
      </x:c>
      <x:c r="G453" s="22" t="n">
        <x:f>100*E453/F453</x:f>
        <x:v>99.499460237281</x:v>
      </x:c>
      <x:c r="H453" s="24" t="n">
        <x:f>G453/100-1</x:f>
        <x:v>-0.005005397627189989</x:v>
      </x:c>
      <x:c r="I453" s="26" t="n">
        <x:v>9</x:v>
      </x:c>
      <x:c r="J453" s="26" t="n">
        <x:v>3</x:v>
      </x:c>
      <x:c r="K453" s="7" t="b">
        <x:v>0</x:v>
      </x:c>
      <x:c r="L453" s="2" t="str">
        <x:v>April 2026</x:v>
      </x:c>
      <x:c r="M453" s="2" t="str">
        <x:v>https://datawrapper.dwcdn.net/wQR5S/23/dataset.csv</x:v>
      </x:c>
    </x:row>
    <x:row r="454" ht="24" customHeight="1">
      <x:c r="A454" s="2" t="str">
        <x:v>Ramp</x:v>
      </x:c>
      <x:c r="B454" s="2" t="str">
        <x:v>Halves</x:v>
      </x:c>
      <x:c r="C454" s="2" t="str">
        <x:v>Lower half</x:v>
      </x:c>
      <x:c r="D454" s="2" t="str">
        <x:v>2024Q4</x:v>
      </x:c>
      <x:c r="E454" s="20" t="n">
        <x:v>79028.4333333333</x:v>
      </x:c>
      <x:c r="F454" s="20" t="n">
        <x:f>$E$440</x:f>
        <x:v>76493.2</x:v>
      </x:c>
      <x:c r="G454" s="22" t="n">
        <x:f>100*E454/F454</x:f>
        <x:v>103.31432510776554</x:v>
      </x:c>
      <x:c r="H454" s="24" t="n">
        <x:f>G454/100-1</x:f>
        <x:v>0.03314325107765548</x:v>
      </x:c>
      <x:c r="I454" s="26" t="n">
        <x:v>9</x:v>
      </x:c>
      <x:c r="J454" s="26" t="n">
        <x:v>3</x:v>
      </x:c>
      <x:c r="K454" s="7" t="b">
        <x:v>0</x:v>
      </x:c>
      <x:c r="L454" s="2" t="str">
        <x:v>April 2026</x:v>
      </x:c>
      <x:c r="M454" s="2" t="str">
        <x:v>https://datawrapper.dwcdn.net/wQR5S/23/dataset.csv</x:v>
      </x:c>
    </x:row>
    <x:row r="455" ht="24" customHeight="1">
      <x:c r="A455" s="2" t="str">
        <x:v>Ramp</x:v>
      </x:c>
      <x:c r="B455" s="2" t="str">
        <x:v>Halves</x:v>
      </x:c>
      <x:c r="C455" s="2" t="str">
        <x:v>Higher half</x:v>
      </x:c>
      <x:c r="D455" s="2" t="str">
        <x:v>2024Q4</x:v>
      </x:c>
      <x:c r="E455" s="20" t="n">
        <x:v>55537.7333333333</x:v>
      </x:c>
      <x:c r="F455" s="20" t="n">
        <x:f>$E$441</x:f>
        <x:v>55919.6333333333</x:v>
      </x:c>
      <x:c r="G455" s="22" t="n">
        <x:f>100*E455/F455</x:f>
        <x:v>99.31705560777998</x:v>
      </x:c>
      <x:c r="H455" s="24" t="n">
        <x:f>G455/100-1</x:f>
        <x:v>-0.006829443922200196</x:v>
      </x:c>
      <x:c r="I455" s="26" t="n">
        <x:v>9</x:v>
      </x:c>
      <x:c r="J455" s="26" t="n">
        <x:v>3</x:v>
      </x:c>
      <x:c r="K455" s="7" t="b">
        <x:v>0</x:v>
      </x:c>
      <x:c r="L455" s="2" t="str">
        <x:v>April 2026</x:v>
      </x:c>
      <x:c r="M455" s="2" t="str">
        <x:v>https://datawrapper.dwcdn.net/wQR5S/23/dataset.csv</x:v>
      </x:c>
    </x:row>
    <x:row r="456" ht="24" customHeight="1">
      <x:c r="A456" s="2" t="str">
        <x:v>Ramp</x:v>
      </x:c>
      <x:c r="B456" s="2" t="str">
        <x:v>Halves</x:v>
      </x:c>
      <x:c r="C456" s="2" t="str">
        <x:v>Lower half</x:v>
      </x:c>
      <x:c r="D456" s="2" t="str">
        <x:v>2025Q1</x:v>
      </x:c>
      <x:c r="E456" s="20" t="n">
        <x:v>79245.6666666667</x:v>
      </x:c>
      <x:c r="F456" s="20" t="n">
        <x:f>$E$440</x:f>
        <x:v>76493.2</x:v>
      </x:c>
      <x:c r="G456" s="22" t="n">
        <x:f>100*E456/F456</x:f>
        <x:v>103.59831549296761</x:v>
      </x:c>
      <x:c r="H456" s="24" t="n">
        <x:f>G456/100-1</x:f>
        <x:v>0.035983154929676076</x:v>
      </x:c>
      <x:c r="I456" s="26" t="n">
        <x:v>9</x:v>
      </x:c>
      <x:c r="J456" s="26" t="n">
        <x:v>3</x:v>
      </x:c>
      <x:c r="K456" s="7" t="b">
        <x:v>0</x:v>
      </x:c>
      <x:c r="L456" s="2" t="str">
        <x:v>April 2026</x:v>
      </x:c>
      <x:c r="M456" s="2" t="str">
        <x:v>https://datawrapper.dwcdn.net/wQR5S/23/dataset.csv</x:v>
      </x:c>
    </x:row>
    <x:row r="457" ht="24" customHeight="1">
      <x:c r="A457" s="2" t="str">
        <x:v>Ramp</x:v>
      </x:c>
      <x:c r="B457" s="2" t="str">
        <x:v>Halves</x:v>
      </x:c>
      <x:c r="C457" s="2" t="str">
        <x:v>Higher half</x:v>
      </x:c>
      <x:c r="D457" s="2" t="str">
        <x:v>2025Q1</x:v>
      </x:c>
      <x:c r="E457" s="20" t="n">
        <x:v>55472.5666666667</x:v>
      </x:c>
      <x:c r="F457" s="20" t="n">
        <x:f>$E$441</x:f>
        <x:v>55919.6333333333</x:v>
      </x:c>
      <x:c r="G457" s="22" t="n">
        <x:f>100*E457/F457</x:f>
        <x:v>99.20051931670999</x:v>
      </x:c>
      <x:c r="H457" s="24" t="n">
        <x:f>G457/100-1</x:f>
        <x:v>-0.007994806832900103</x:v>
      </x:c>
      <x:c r="I457" s="26" t="n">
        <x:v>9</x:v>
      </x:c>
      <x:c r="J457" s="26" t="n">
        <x:v>3</x:v>
      </x:c>
      <x:c r="K457" s="7" t="b">
        <x:v>0</x:v>
      </x:c>
      <x:c r="L457" s="2" t="str">
        <x:v>April 2026</x:v>
      </x:c>
      <x:c r="M457" s="2" t="str">
        <x:v>https://datawrapper.dwcdn.net/wQR5S/23/dataset.csv</x:v>
      </x:c>
    </x:row>
    <x:row r="458" ht="24" customHeight="1">
      <x:c r="A458" s="2" t="str">
        <x:v>Ramp</x:v>
      </x:c>
      <x:c r="B458" s="2" t="str">
        <x:v>Halves</x:v>
      </x:c>
      <x:c r="C458" s="2" t="str">
        <x:v>Lower half</x:v>
      </x:c>
      <x:c r="D458" s="2" t="str">
        <x:v>2025Q2</x:v>
      </x:c>
      <x:c r="E458" s="20" t="n">
        <x:v>79449.3333333333</x:v>
      </x:c>
      <x:c r="F458" s="20" t="n">
        <x:f>$E$440</x:f>
        <x:v>76493.2</x:v>
      </x:c>
      <x:c r="G458" s="22" t="n">
        <x:f>100*E458/F458</x:f>
        <x:v>103.86457009686261</x:v>
      </x:c>
      <x:c r="H458" s="24" t="n">
        <x:f>G458/100-1</x:f>
        <x:v>0.03864570096862607</x:v>
      </x:c>
      <x:c r="I458" s="26" t="n">
        <x:v>9</x:v>
      </x:c>
      <x:c r="J458" s="26" t="n">
        <x:v>3</x:v>
      </x:c>
      <x:c r="K458" s="7" t="b">
        <x:v>0</x:v>
      </x:c>
      <x:c r="L458" s="2" t="str">
        <x:v>April 2026</x:v>
      </x:c>
      <x:c r="M458" s="2" t="str">
        <x:v>https://datawrapper.dwcdn.net/wQR5S/23/dataset.csv</x:v>
      </x:c>
    </x:row>
    <x:row r="459" ht="24" customHeight="1">
      <x:c r="A459" s="2" t="str">
        <x:v>Ramp</x:v>
      </x:c>
      <x:c r="B459" s="2" t="str">
        <x:v>Halves</x:v>
      </x:c>
      <x:c r="C459" s="2" t="str">
        <x:v>Higher half</x:v>
      </x:c>
      <x:c r="D459" s="2" t="str">
        <x:v>2025Q2</x:v>
      </x:c>
      <x:c r="E459" s="20" t="n">
        <x:v>55423.7333333333</x:v>
      </x:c>
      <x:c r="F459" s="20" t="n">
        <x:f>$E$441</x:f>
        <x:v>55919.6333333333</x:v>
      </x:c>
      <x:c r="G459" s="22" t="n">
        <x:f>100*E459/F459</x:f>
        <x:v>99.11319161010235</x:v>
      </x:c>
      <x:c r="H459" s="24" t="n">
        <x:f>G459/100-1</x:f>
        <x:v>-0.008868083898976531</x:v>
      </x:c>
      <x:c r="I459" s="26" t="n">
        <x:v>9</x:v>
      </x:c>
      <x:c r="J459" s="26" t="n">
        <x:v>3</x:v>
      </x:c>
      <x:c r="K459" s="7" t="b">
        <x:v>0</x:v>
      </x:c>
      <x:c r="L459" s="2" t="str">
        <x:v>April 2026</x:v>
      </x:c>
      <x:c r="M459" s="2" t="str">
        <x:v>https://datawrapper.dwcdn.net/wQR5S/23/dataset.csv</x:v>
      </x:c>
    </x:row>
    <x:row r="460" ht="24" customHeight="1">
      <x:c r="A460" s="2" t="str">
        <x:v>Ramp</x:v>
      </x:c>
      <x:c r="B460" s="2" t="str">
        <x:v>Halves</x:v>
      </x:c>
      <x:c r="C460" s="2" t="str">
        <x:v>Lower half</x:v>
      </x:c>
      <x:c r="D460" s="2" t="str">
        <x:v>2025Q3</x:v>
      </x:c>
      <x:c r="E460" s="20" t="n">
        <x:v>79628.4</x:v>
      </x:c>
      <x:c r="F460" s="20" t="n">
        <x:f>$E$440</x:f>
        <x:v>76493.2</x:v>
      </x:c>
      <x:c r="G460" s="22" t="n">
        <x:f>100*E460/F460</x:f>
        <x:v>104.09866497937071</x:v>
      </x:c>
      <x:c r="H460" s="24" t="n">
        <x:f>G460/100-1</x:f>
        <x:v>0.04098664979370703</x:v>
      </x:c>
      <x:c r="I460" s="26" t="n">
        <x:v>9</x:v>
      </x:c>
      <x:c r="J460" s="26" t="n">
        <x:v>3</x:v>
      </x:c>
      <x:c r="K460" s="7" t="b">
        <x:v>0</x:v>
      </x:c>
      <x:c r="L460" s="2" t="str">
        <x:v>April 2026</x:v>
      </x:c>
      <x:c r="M460" s="2" t="str">
        <x:v>https://datawrapper.dwcdn.net/wQR5S/23/dataset.csv</x:v>
      </x:c>
    </x:row>
    <x:row r="461" ht="24" customHeight="1">
      <x:c r="A461" s="2" t="str">
        <x:v>Ramp</x:v>
      </x:c>
      <x:c r="B461" s="2" t="str">
        <x:v>Halves</x:v>
      </x:c>
      <x:c r="C461" s="2" t="str">
        <x:v>Higher half</x:v>
      </x:c>
      <x:c r="D461" s="2" t="str">
        <x:v>2025Q3</x:v>
      </x:c>
      <x:c r="E461" s="20" t="n">
        <x:v>55297.5666666667</x:v>
      </x:c>
      <x:c r="F461" s="20" t="n">
        <x:f>$E$441</x:f>
        <x:v>55919.6333333333</x:v>
      </x:c>
      <x:c r="G461" s="22" t="n">
        <x:f>100*E461/F461</x:f>
        <x:v>98.88757019746802</x:v>
      </x:c>
      <x:c r="H461" s="24" t="n">
        <x:f>G461/100-1</x:f>
        <x:v>-0.011124298025319779</x:v>
      </x:c>
      <x:c r="I461" s="26" t="n">
        <x:v>9</x:v>
      </x:c>
      <x:c r="J461" s="26" t="n">
        <x:v>3</x:v>
      </x:c>
      <x:c r="K461" s="7" t="b">
        <x:v>0</x:v>
      </x:c>
      <x:c r="L461" s="2" t="str">
        <x:v>April 2026</x:v>
      </x:c>
      <x:c r="M461" s="2" t="str">
        <x:v>https://datawrapper.dwcdn.net/wQR5S/23/dataset.csv</x:v>
      </x:c>
    </x:row>
    <x:row r="462" ht="24" customHeight="1">
      <x:c r="A462" s="2" t="str">
        <x:v>Ramp</x:v>
      </x:c>
      <x:c r="B462" s="2" t="str">
        <x:v>Halves</x:v>
      </x:c>
      <x:c r="C462" s="2" t="str">
        <x:v>Lower half</x:v>
      </x:c>
      <x:c r="D462" s="2" t="str">
        <x:v>2025Q4</x:v>
      </x:c>
      <x:c r="E462" s="20" t="n">
        <x:v>79789</x:v>
      </x:c>
      <x:c r="F462" s="20" t="n">
        <x:f>$E$440</x:f>
        <x:v>76493.2</x:v>
      </x:c>
      <x:c r="G462" s="22" t="n">
        <x:f>100*E462/F462</x:f>
        <x:v>104.30861828240943</x:v>
      </x:c>
      <x:c r="H462" s="24" t="n">
        <x:f>G462/100-1</x:f>
        <x:v>0.043086182824094266</x:v>
      </x:c>
      <x:c r="I462" s="26" t="n">
        <x:v>9</x:v>
      </x:c>
      <x:c r="J462" s="26" t="n">
        <x:v>3</x:v>
      </x:c>
      <x:c r="K462" s="7" t="b">
        <x:v>0</x:v>
      </x:c>
      <x:c r="L462" s="2" t="str">
        <x:v>April 2026</x:v>
      </x:c>
      <x:c r="M462" s="2" t="str">
        <x:v>https://datawrapper.dwcdn.net/wQR5S/23/dataset.csv</x:v>
      </x:c>
    </x:row>
    <x:row r="463" ht="24" customHeight="1">
      <x:c r="A463" s="2" t="str">
        <x:v>Ramp</x:v>
      </x:c>
      <x:c r="B463" s="2" t="str">
        <x:v>Halves</x:v>
      </x:c>
      <x:c r="C463" s="2" t="str">
        <x:v>Higher half</x:v>
      </x:c>
      <x:c r="D463" s="2" t="str">
        <x:v>2025Q4</x:v>
      </x:c>
      <x:c r="E463" s="20" t="n">
        <x:v>55236.5</x:v>
      </x:c>
      <x:c r="F463" s="20" t="n">
        <x:f>$E$441</x:f>
        <x:v>55919.6333333333</x:v>
      </x:c>
      <x:c r="G463" s="22" t="n">
        <x:f>100*E463/F463</x:f>
        <x:v>98.77836585719153</x:v>
      </x:c>
      <x:c r="H463" s="24" t="n">
        <x:f>G463/100-1</x:f>
        <x:v>-0.012216341428084698</x:v>
      </x:c>
      <x:c r="I463" s="26" t="n">
        <x:v>9</x:v>
      </x:c>
      <x:c r="J463" s="26" t="n">
        <x:v>3</x:v>
      </x:c>
      <x:c r="K463" s="7" t="b">
        <x:v>0</x:v>
      </x:c>
      <x:c r="L463" s="2" t="str">
        <x:v>April 2026</x:v>
      </x:c>
      <x:c r="M463" s="2" t="str">
        <x:v>https://datawrapper.dwcdn.net/wQR5S/23/dataset.csv</x:v>
      </x:c>
    </x:row>
    <x:row r="464" ht="24" customHeight="1">
      <x:c r="A464" s="2" t="str">
        <x:v>Ramp</x:v>
      </x:c>
      <x:c r="B464" s="2" t="str">
        <x:v>Halves</x:v>
      </x:c>
      <x:c r="C464" s="2" t="str">
        <x:v>Lower half</x:v>
      </x:c>
      <x:c r="D464" s="2" t="str">
        <x:v>2026Q1</x:v>
      </x:c>
      <x:c r="E464" s="20" t="n">
        <x:v>79989.3666666667</x:v>
      </x:c>
      <x:c r="F464" s="20" t="n">
        <x:f>$E$440</x:f>
        <x:v>76493.2</x:v>
      </x:c>
      <x:c r="G464" s="22" t="n">
        <x:f>100*E464/F464</x:f>
        <x:v>104.570558777338</x:v>
      </x:c>
      <x:c r="H464" s="24" t="n">
        <x:f>G464/100-1</x:f>
        <x:v>0.04570558777337985</x:v>
      </x:c>
      <x:c r="I464" s="26" t="n">
        <x:v>9</x:v>
      </x:c>
      <x:c r="J464" s="26" t="n">
        <x:v>3</x:v>
      </x:c>
      <x:c r="K464" s="7" t="b">
        <x:v>0</x:v>
      </x:c>
      <x:c r="L464" s="2" t="str">
        <x:v>April 2026</x:v>
      </x:c>
      <x:c r="M464" s="2" t="str">
        <x:v>https://datawrapper.dwcdn.net/wQR5S/23/dataset.csv</x:v>
      </x:c>
    </x:row>
    <x:row r="465" ht="24" customHeight="1">
      <x:c r="A465" s="2" t="str">
        <x:v>Ramp</x:v>
      </x:c>
      <x:c r="B465" s="2" t="str">
        <x:v>Halves</x:v>
      </x:c>
      <x:c r="C465" s="2" t="str">
        <x:v>Higher half</x:v>
      </x:c>
      <x:c r="D465" s="2" t="str">
        <x:v>2026Q1</x:v>
      </x:c>
      <x:c r="E465" s="20" t="n">
        <x:v>55205.4</x:v>
      </x:c>
      <x:c r="F465" s="20" t="n">
        <x:f>$E$441</x:f>
        <x:v>55919.6333333333</x:v>
      </x:c>
      <x:c r="G465" s="22" t="n">
        <x:f>100*E465/F465</x:f>
        <x:v>98.72275032800053</x:v>
      </x:c>
      <x:c r="H465" s="24" t="n">
        <x:f>G465/100-1</x:f>
        <x:v>-0.012772496719994697</x:v>
      </x:c>
      <x:c r="I465" s="26" t="n">
        <x:v>9</x:v>
      </x:c>
      <x:c r="J465" s="26" t="n">
        <x:v>3</x:v>
      </x:c>
      <x:c r="K465" s="7" t="b">
        <x:v>0</x:v>
      </x:c>
      <x:c r="L465" s="2" t="str">
        <x:v>April 2026</x:v>
      </x:c>
      <x:c r="M465" s="2" t="str">
        <x:v>https://datawrapper.dwcdn.net/wQR5S/23/dataset.csv</x:v>
      </x:c>
    </x:row>
    <x:row r="466" ht="24" customHeight="1">
      <x:c r="A466" s="2" t="str">
        <x:v>Ramp</x:v>
      </x:c>
      <x:c r="B466" s="2" t="str">
        <x:v>Halves</x:v>
      </x:c>
      <x:c r="C466" s="2" t="str">
        <x:v>Lower half</x:v>
      </x:c>
      <x:c r="D466" s="2" t="str">
        <x:v>2026Q2</x:v>
      </x:c>
      <x:c r="E466" s="20" t="n">
        <x:v>80245.2333333333</x:v>
      </x:c>
      <x:c r="F466" s="20" t="n">
        <x:f>$E$440</x:f>
        <x:v>76493.2</x:v>
      </x:c>
      <x:c r="G466" s="22" t="n">
        <x:f>100*E466/F466</x:f>
        <x:v>104.90505474124929</x:v>
      </x:c>
      <x:c r="H466" s="24" t="n">
        <x:f>G466/100-1</x:f>
        <x:v>0.04905054741249293</x:v>
      </x:c>
      <x:c r="I466" s="26" t="n">
        <x:v>9</x:v>
      </x:c>
      <x:c r="J466" s="26" t="n">
        <x:v>3</x:v>
      </x:c>
      <x:c r="K466" s="7" t="b">
        <x:v>0</x:v>
      </x:c>
      <x:c r="L466" s="2" t="str">
        <x:v>April 2026</x:v>
      </x:c>
      <x:c r="M466" s="2" t="str">
        <x:v>https://datawrapper.dwcdn.net/wQR5S/23/dataset.csv</x:v>
      </x:c>
    </x:row>
    <x:row r="467" ht="24" customHeight="1">
      <x:c r="A467" s="2" t="str">
        <x:v>Ramp</x:v>
      </x:c>
      <x:c r="B467" s="2" t="str">
        <x:v>Halves</x:v>
      </x:c>
      <x:c r="C467" s="2" t="str">
        <x:v>Higher half</x:v>
      </x:c>
      <x:c r="D467" s="2" t="str">
        <x:v>2026Q2</x:v>
      </x:c>
      <x:c r="E467" s="20" t="n">
        <x:v>55231.7</x:v>
      </x:c>
      <x:c r="F467" s="20" t="n">
        <x:f>$E$441</x:f>
        <x:v>55919.6333333333</x:v>
      </x:c>
      <x:c r="G467" s="22" t="n">
        <x:f>100*E467/F467</x:f>
        <x:v>98.7697821099209</x:v>
      </x:c>
      <x:c r="H467" s="24" t="n">
        <x:f>G467/100-1</x:f>
        <x:v>-0.012302178900790994</x:v>
      </x:c>
      <x:c r="I467" s="26" t="n">
        <x:v>9</x:v>
      </x:c>
      <x:c r="J467" s="26" t="n">
        <x:v>3</x:v>
      </x:c>
      <x:c r="K467" s="7" t="b">
        <x:v>0</x:v>
      </x:c>
      <x:c r="L467" s="2" t="str">
        <x:v>April 2026</x:v>
      </x:c>
      <x:c r="M467" s="2" t="str">
        <x:v>https://datawrapper.dwcdn.net/wQR5S/23/dataset.csv</x:v>
      </x:c>
    </x:row>
  </x:sheetData>
  <x:pageMargins left="0.7" right="0.7" top="0.75" bottom="0.75" header="0.3" footer="0.3"/>
  <x:tableParts count="1">
    <x:tablePart xmlns:r="http://schemas.openxmlformats.org/officeDocument/2006/relationships" r:id="Rff45e9826e4f4cd8"/>
  </x:tableParts>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8" hidden="0" customWidth="1"/>
    <x:col min="2" max="2" width="16" hidden="0" customWidth="1"/>
    <x:col min="3" max="3" width="16" hidden="0" customWidth="1"/>
    <x:col min="4" max="4" width="15" hidden="0" customWidth="1"/>
    <x:col min="5" max="5" width="13" hidden="0" customWidth="1"/>
    <x:col min="6" max="6" width="22" hidden="0" customWidth="1"/>
    <x:col min="7" max="7" width="23" hidden="0" customWidth="1"/>
    <x:col min="8" max="8" width="18" hidden="0" customWidth="1"/>
    <x:col min="9" max="9" width="24" hidden="0" customWidth="1"/>
    <x:col min="10" max="10" width="12" hidden="0" customWidth="1"/>
    <x:col min="11" max="11" width="14" hidden="0" customWidth="1"/>
    <x:col min="12" max="12" width="26" hidden="0" customWidth="1"/>
    <x:col min="13" max="13" width="64" hidden="0" customWidth="1"/>
  </x:cols>
  <x:sheetData>
    <x:row r="1" ht="30" customHeight="1">
      <x:c r="A1" s="4" t="str">
        <x:v>Monthly data</x:v>
      </x:c>
      <x:c r="B1" s="5"/>
      <x:c r="C1" s="5"/>
      <x:c r="D1" s="5"/>
      <x:c r="E1" s="5"/>
      <x:c r="F1" s="5"/>
      <x:c r="G1" s="5"/>
      <x:c r="H1" s="5"/>
      <x:c r="I1" s="5"/>
      <x:c r="J1" s="5"/>
      <x:c r="K1" s="5"/>
      <x:c r="L1" s="5"/>
      <x:c r="M1" s="5"/>
    </x:row>
    <x:row r="2" ht="24" customHeight="1">
      <x:c r="A2" s="6" t="str">
        <x:v>January 2023–August 2026. Monthly indexes use the 2023 Q1 average as their denominator.</x:v>
      </x:c>
      <x:c r="B2" s="2"/>
      <x:c r="C2" s="2"/>
      <x:c r="D2" s="2"/>
      <x:c r="E2" s="2"/>
      <x:c r="F2" s="2"/>
      <x:c r="G2" s="2"/>
      <x:c r="H2" s="2"/>
      <x:c r="I2" s="2"/>
      <x:c r="J2" s="2"/>
      <x:c r="K2" s="2"/>
      <x:c r="L2" s="2"/>
      <x:c r="M2" s="2"/>
    </x:row>
    <x:row r="3" ht="24" customHeight="1">
      <x:c r="A3" s="2"/>
      <x:c r="B3" s="2"/>
      <x:c r="C3" s="2"/>
      <x:c r="D3" s="2"/>
      <x:c r="E3" s="2"/>
      <x:c r="F3" s="2"/>
      <x:c r="G3" s="2"/>
      <x:c r="H3" s="2"/>
      <x:c r="I3" s="2"/>
      <x:c r="J3" s="2"/>
      <x:c r="K3" s="2"/>
      <x:c r="L3" s="2"/>
      <x:c r="M3" s="2"/>
    </x:row>
    <x:row r="4" ht="24" customHeight="1">
      <x:c r="A4" s="2"/>
      <x:c r="B4" s="2"/>
      <x:c r="C4" s="2"/>
      <x:c r="D4" s="2"/>
      <x:c r="E4" s="2"/>
      <x:c r="F4" s="2"/>
      <x:c r="G4" s="2"/>
      <x:c r="H4" s="2"/>
      <x:c r="I4" s="2"/>
      <x:c r="J4" s="2"/>
      <x:c r="K4" s="2"/>
      <x:c r="L4" s="2"/>
      <x:c r="M4" s="2"/>
    </x:row>
    <x:row r="5" ht="44" customHeight="1">
      <x:c r="A5" s="16" t="str">
        <x:v>Source</x:v>
      </x:c>
      <x:c r="B5" s="17" t="str">
        <x:v>Grouping</x:v>
      </x:c>
      <x:c r="C5" s="17" t="str">
        <x:v>AI group</x:v>
      </x:c>
      <x:c r="D5" s="17" t="str">
        <x:v>Month</x:v>
      </x:c>
      <x:c r="E5" s="17" t="str">
        <x:v>Quarter</x:v>
      </x:c>
      <x:c r="F5" s="17" t="str">
        <x:v>Payroll jobs (thousands)</x:v>
      </x:c>
      <x:c r="G5" s="17" t="str">
        <x:v>2023 Q1 jobs (thousands)</x:v>
      </x:c>
      <x:c r="H5" s="17" t="str">
        <x:v>Employment index</x:v>
      </x:c>
      <x:c r="I5" s="17" t="str">
        <x:v>Growth vs 2023 Q1 average</x:v>
      </x:c>
      <x:c r="J5" s="17" t="str">
        <x:v>Industries</x:v>
      </x:c>
      <x:c r="K5" s="17" t="str">
        <x:v>Preliminary</x:v>
      </x:c>
      <x:c r="L5" s="17" t="str">
        <x:v>Adoption ranking date</x:v>
      </x:c>
      <x:c r="M5" s="18" t="str">
        <x:v>Adoption source URL</x:v>
      </x:c>
    </x:row>
    <x:row r="6" ht="24" customHeight="1">
      <x:c r="A6" s="2" t="str">
        <x:v>Census BTOS</x:v>
      </x:c>
      <x:c r="B6" s="2" t="str">
        <x:v>Quartiles</x:v>
      </x:c>
      <x:c r="C6" s="2" t="str">
        <x:v>Q1</x:v>
      </x:c>
      <x:c r="D6" s="28" t="n">
        <x:v>44927</x:v>
      </x:c>
      <x:c r="E6" s="2" t="str">
        <x:v>2023Q1</x:v>
      </x:c>
      <x:c r="F6" s="20" t="n">
        <x:v>42468.5</x:v>
      </x:c>
      <x:c r="G6" s="20" t="n">
        <x:f>'Quarterly data'!$E$6</x:f>
        <x:v>42506.2333333333</x:v>
      </x:c>
      <x:c r="H6" s="22" t="n">
        <x:f>100*F6/G6</x:f>
        <x:v>99.91122870606436</x:v>
      </x:c>
      <x:c r="I6" s="24" t="n">
        <x:f>H6/100-1</x:f>
        <x:v>-0.0008877129393564109</x:v>
      </x:c>
      <x:c r="J6" s="26" t="n">
        <x:v>5</x:v>
      </x:c>
      <x:c r="K6" s="7" t="b">
        <x:v>0</x:v>
      </x:c>
      <x:c r="L6" s="2" t="str">
        <x:v>Aug 10–23, 2026</x:v>
      </x:c>
      <x:c r="M6" s="2" t="str">
        <x:v>https://www.census.gov/hfp/btos/downloads/Sector.xlsx</x:v>
      </x:c>
    </x:row>
    <x:row r="7" ht="24" customHeight="1">
      <x:c r="A7" s="2" t="str">
        <x:v>Census BTOS</x:v>
      </x:c>
      <x:c r="B7" s="2" t="str">
        <x:v>Quartiles</x:v>
      </x:c>
      <x:c r="C7" s="2" t="str">
        <x:v>Q2</x:v>
      </x:c>
      <x:c r="D7" s="28" t="n">
        <x:v>44927</x:v>
      </x:c>
      <x:c r="E7" s="2" t="str">
        <x:v>2023Q1</x:v>
      </x:c>
      <x:c r="F7" s="20" t="n">
        <x:v>16996.1</x:v>
      </x:c>
      <x:c r="G7" s="20" t="n">
        <x:f>'Quarterly data'!$E$7</x:f>
        <x:v>17032.1</x:v>
      </x:c>
      <x:c r="H7" s="22" t="n">
        <x:f>100*F7/G7</x:f>
        <x:v>99.78863440209956</x:v>
      </x:c>
      <x:c r="I7" s="24" t="n">
        <x:f>H7/100-1</x:f>
        <x:v>-0.0021136559790043696</x:v>
      </x:c>
      <x:c r="J7" s="26" t="n">
        <x:v>4</x:v>
      </x:c>
      <x:c r="K7" s="7" t="b">
        <x:v>0</x:v>
      </x:c>
      <x:c r="L7" s="2" t="str">
        <x:v>Aug 10–23, 2026</x:v>
      </x:c>
      <x:c r="M7" s="2" t="str">
        <x:v>https://www.census.gov/hfp/btos/downloads/Sector.xlsx</x:v>
      </x:c>
    </x:row>
    <x:row r="8" ht="24" customHeight="1">
      <x:c r="A8" s="2" t="str">
        <x:v>Census BTOS</x:v>
      </x:c>
      <x:c r="B8" s="2" t="str">
        <x:v>Quartiles</x:v>
      </x:c>
      <x:c r="C8" s="2" t="str">
        <x:v>Q3</x:v>
      </x:c>
      <x:c r="D8" s="28" t="n">
        <x:v>44927</x:v>
      </x:c>
      <x:c r="E8" s="2" t="str">
        <x:v>2023Q1</x:v>
      </x:c>
      <x:c r="F8" s="20" t="n">
        <x:v>45937.4</x:v>
      </x:c>
      <x:c r="G8" s="20" t="n">
        <x:f>'Quarterly data'!$E$8</x:f>
        <x:v>46008.9333333333</x:v>
      </x:c>
      <x:c r="H8" s="22" t="n">
        <x:f>100*F8/G8</x:f>
        <x:v>99.84452294771748</x:v>
      </x:c>
      <x:c r="I8" s="24" t="n">
        <x:f>H8/100-1</x:f>
        <x:v>-0.0015547705228251552</x:v>
      </x:c>
      <x:c r="J8" s="26" t="n">
        <x:v>4</x:v>
      </x:c>
      <x:c r="K8" s="7" t="b">
        <x:v>0</x:v>
      </x:c>
      <x:c r="L8" s="2" t="str">
        <x:v>Aug 10–23, 2026</x:v>
      </x:c>
      <x:c r="M8" s="2" t="str">
        <x:v>https://www.census.gov/hfp/btos/downloads/Sector.xlsx</x:v>
      </x:c>
    </x:row>
    <x:row r="9" ht="24" customHeight="1">
      <x:c r="A9" s="2" t="str">
        <x:v>Census BTOS</x:v>
      </x:c>
      <x:c r="B9" s="2" t="str">
        <x:v>Quartiles</x:v>
      </x:c>
      <x:c r="C9" s="2" t="str">
        <x:v>Q4</x:v>
      </x:c>
      <x:c r="D9" s="28" t="n">
        <x:v>44927</x:v>
      </x:c>
      <x:c r="E9" s="2" t="str">
        <x:v>2023Q1</x:v>
      </x:c>
      <x:c r="F9" s="20" t="n">
        <x:v>26843.5</x:v>
      </x:c>
      <x:c r="G9" s="20" t="n">
        <x:f>'Quarterly data'!$E$9</x:f>
        <x:v>26865.5666666667</x:v>
      </x:c>
      <x:c r="H9" s="22" t="n">
        <x:f>100*F9/G9</x:f>
        <x:v>99.91786264201872</x:v>
      </x:c>
      <x:c r="I9" s="24" t="n">
        <x:f>H9/100-1</x:f>
        <x:v>-0.000821373579812823</x:v>
      </x:c>
      <x:c r="J9" s="26" t="n">
        <x:v>5</x:v>
      </x:c>
      <x:c r="K9" s="7" t="b">
        <x:v>0</x:v>
      </x:c>
      <x:c r="L9" s="2" t="str">
        <x:v>Aug 10–23, 2026</x:v>
      </x:c>
      <x:c r="M9" s="2" t="str">
        <x:v>https://www.census.gov/hfp/btos/downloads/Sector.xlsx</x:v>
      </x:c>
    </x:row>
    <x:row r="10" ht="24" customHeight="1">
      <x:c r="A10" s="2" t="str">
        <x:v>Census BTOS</x:v>
      </x:c>
      <x:c r="B10" s="2" t="str">
        <x:v>Quartiles</x:v>
      </x:c>
      <x:c r="C10" s="2" t="str">
        <x:v>Q1</x:v>
      </x:c>
      <x:c r="D10" s="28" t="n">
        <x:v>44958</x:v>
      </x:c>
      <x:c r="E10" s="2" t="str">
        <x:v>2023Q1</x:v>
      </x:c>
      <x:c r="F10" s="20" t="n">
        <x:v>42542.7</x:v>
      </x:c>
      <x:c r="G10" s="20" t="n">
        <x:f>'Quarterly data'!$E$6</x:f>
        <x:v>42506.2333333333</x:v>
      </x:c>
      <x:c r="H10" s="22" t="n">
        <x:f>100*F10/G10</x:f>
        <x:v>100.085791338839</x:v>
      </x:c>
      <x:c r="I10" s="24" t="n">
        <x:f>H10/100-1</x:f>
        <x:v>0.0008579133883899193</x:v>
      </x:c>
      <x:c r="J10" s="26" t="n">
        <x:v>5</x:v>
      </x:c>
      <x:c r="K10" s="7" t="b">
        <x:v>0</x:v>
      </x:c>
      <x:c r="L10" s="2" t="str">
        <x:v>Aug 10–23, 2026</x:v>
      </x:c>
      <x:c r="M10" s="2" t="str">
        <x:v>https://www.census.gov/hfp/btos/downloads/Sector.xlsx</x:v>
      </x:c>
    </x:row>
    <x:row r="11" ht="24" customHeight="1">
      <x:c r="A11" s="2" t="str">
        <x:v>Census BTOS</x:v>
      </x:c>
      <x:c r="B11" s="2" t="str">
        <x:v>Quartiles</x:v>
      </x:c>
      <x:c r="C11" s="2" t="str">
        <x:v>Q2</x:v>
      </x:c>
      <x:c r="D11" s="28" t="n">
        <x:v>44958</x:v>
      </x:c>
      <x:c r="E11" s="2" t="str">
        <x:v>2023Q1</x:v>
      </x:c>
      <x:c r="F11" s="20" t="n">
        <x:v>17050.7</x:v>
      </x:c>
      <x:c r="G11" s="20" t="n">
        <x:f>'Quarterly data'!$E$7</x:f>
        <x:v>17032.1</x:v>
      </x:c>
      <x:c r="H11" s="22" t="n">
        <x:f>100*F11/G11</x:f>
        <x:v>100.10920555891524</x:v>
      </x:c>
      <x:c r="I11" s="24" t="n">
        <x:f>H11/100-1</x:f>
        <x:v>0.0010920555891522632</x:v>
      </x:c>
      <x:c r="J11" s="26" t="n">
        <x:v>4</x:v>
      </x:c>
      <x:c r="K11" s="7" t="b">
        <x:v>0</x:v>
      </x:c>
      <x:c r="L11" s="2" t="str">
        <x:v>Aug 10–23, 2026</x:v>
      </x:c>
      <x:c r="M11" s="2" t="str">
        <x:v>https://www.census.gov/hfp/btos/downloads/Sector.xlsx</x:v>
      </x:c>
    </x:row>
    <x:row r="12" ht="24" customHeight="1">
      <x:c r="A12" s="2" t="str">
        <x:v>Census BTOS</x:v>
      </x:c>
      <x:c r="B12" s="2" t="str">
        <x:v>Quartiles</x:v>
      </x:c>
      <x:c r="C12" s="2" t="str">
        <x:v>Q3</x:v>
      </x:c>
      <x:c r="D12" s="28" t="n">
        <x:v>44958</x:v>
      </x:c>
      <x:c r="E12" s="2" t="str">
        <x:v>2023Q1</x:v>
      </x:c>
      <x:c r="F12" s="20" t="n">
        <x:v>46027.2</x:v>
      </x:c>
      <x:c r="G12" s="20" t="n">
        <x:f>'Quarterly data'!$E$8</x:f>
        <x:v>46008.9333333333</x:v>
      </x:c>
      <x:c r="H12" s="22" t="n">
        <x:f>100*F12/G12</x:f>
        <x:v>100.03970243459973</x:v>
      </x:c>
      <x:c r="I12" s="24" t="n">
        <x:f>H12/100-1</x:f>
        <x:v>0.000397024345997421</x:v>
      </x:c>
      <x:c r="J12" s="26" t="n">
        <x:v>4</x:v>
      </x:c>
      <x:c r="K12" s="7" t="b">
        <x:v>0</x:v>
      </x:c>
      <x:c r="L12" s="2" t="str">
        <x:v>Aug 10–23, 2026</x:v>
      </x:c>
      <x:c r="M12" s="2" t="str">
        <x:v>https://www.census.gov/hfp/btos/downloads/Sector.xlsx</x:v>
      </x:c>
    </x:row>
    <x:row r="13" ht="24" customHeight="1">
      <x:c r="A13" s="2" t="str">
        <x:v>Census BTOS</x:v>
      </x:c>
      <x:c r="B13" s="2" t="str">
        <x:v>Quartiles</x:v>
      </x:c>
      <x:c r="C13" s="2" t="str">
        <x:v>Q4</x:v>
      </x:c>
      <x:c r="D13" s="28" t="n">
        <x:v>44958</x:v>
      </x:c>
      <x:c r="E13" s="2" t="str">
        <x:v>2023Q1</x:v>
      </x:c>
      <x:c r="F13" s="20" t="n">
        <x:v>26862.9</x:v>
      </x:c>
      <x:c r="G13" s="20" t="n">
        <x:f>'Quarterly data'!$E$9</x:f>
        <x:v>26865.5666666667</x:v>
      </x:c>
      <x:c r="H13" s="22" t="n">
        <x:f>100*F13/G13</x:f>
        <x:v>99.99007403528917</x:v>
      </x:c>
      <x:c r="I13" s="24" t="n">
        <x:f>H13/100-1</x:f>
        <x:v>-0.00009925964710832957</x:v>
      </x:c>
      <x:c r="J13" s="26" t="n">
        <x:v>5</x:v>
      </x:c>
      <x:c r="K13" s="7" t="b">
        <x:v>0</x:v>
      </x:c>
      <x:c r="L13" s="2" t="str">
        <x:v>Aug 10–23, 2026</x:v>
      </x:c>
      <x:c r="M13" s="2" t="str">
        <x:v>https://www.census.gov/hfp/btos/downloads/Sector.xlsx</x:v>
      </x:c>
    </x:row>
    <x:row r="14" ht="24" customHeight="1">
      <x:c r="A14" s="2" t="str">
        <x:v>Census BTOS</x:v>
      </x:c>
      <x:c r="B14" s="2" t="str">
        <x:v>Quartiles</x:v>
      </x:c>
      <x:c r="C14" s="2" t="str">
        <x:v>Q1</x:v>
      </x:c>
      <x:c r="D14" s="28" t="n">
        <x:v>44986</x:v>
      </x:c>
      <x:c r="E14" s="2" t="str">
        <x:v>2023Q1</x:v>
      </x:c>
      <x:c r="F14" s="20" t="n">
        <x:v>42507.5</x:v>
      </x:c>
      <x:c r="G14" s="20" t="n">
        <x:f>'Quarterly data'!$E$6</x:f>
        <x:v>42506.2333333333</x:v>
      </x:c>
      <x:c r="H14" s="22" t="n">
        <x:f>100*F14/G14</x:f>
        <x:v>100.00297995509686</x:v>
      </x:c>
      <x:c r="I14" s="24" t="n">
        <x:f>H14/100-1</x:f>
        <x:v>0.000029799550968601096</x:v>
      </x:c>
      <x:c r="J14" s="26" t="n">
        <x:v>5</x:v>
      </x:c>
      <x:c r="K14" s="7" t="b">
        <x:v>0</x:v>
      </x:c>
      <x:c r="L14" s="2" t="str">
        <x:v>Aug 10–23, 2026</x:v>
      </x:c>
      <x:c r="M14" s="2" t="str">
        <x:v>https://www.census.gov/hfp/btos/downloads/Sector.xlsx</x:v>
      </x:c>
    </x:row>
    <x:row r="15" ht="24" customHeight="1">
      <x:c r="A15" s="2" t="str">
        <x:v>Census BTOS</x:v>
      </x:c>
      <x:c r="B15" s="2" t="str">
        <x:v>Quartiles</x:v>
      </x:c>
      <x:c r="C15" s="2" t="str">
        <x:v>Q2</x:v>
      </x:c>
      <x:c r="D15" s="28" t="n">
        <x:v>44986</x:v>
      </x:c>
      <x:c r="E15" s="2" t="str">
        <x:v>2023Q1</x:v>
      </x:c>
      <x:c r="F15" s="20" t="n">
        <x:v>17049.5</x:v>
      </x:c>
      <x:c r="G15" s="20" t="n">
        <x:f>'Quarterly data'!$E$7</x:f>
        <x:v>17032.1</x:v>
      </x:c>
      <x:c r="H15" s="22" t="n">
        <x:f>100*F15/G15</x:f>
        <x:v>100.10216003898522</x:v>
      </x:c>
      <x:c r="I15" s="24" t="n">
        <x:f>H15/100-1</x:f>
        <x:v>0.0010216003898522175</x:v>
      </x:c>
      <x:c r="J15" s="26" t="n">
        <x:v>4</x:v>
      </x:c>
      <x:c r="K15" s="7" t="b">
        <x:v>0</x:v>
      </x:c>
      <x:c r="L15" s="2" t="str">
        <x:v>Aug 10–23, 2026</x:v>
      </x:c>
      <x:c r="M15" s="2" t="str">
        <x:v>https://www.census.gov/hfp/btos/downloads/Sector.xlsx</x:v>
      </x:c>
    </x:row>
    <x:row r="16" ht="24" customHeight="1">
      <x:c r="A16" s="2" t="str">
        <x:v>Census BTOS</x:v>
      </x:c>
      <x:c r="B16" s="2" t="str">
        <x:v>Quartiles</x:v>
      </x:c>
      <x:c r="C16" s="2" t="str">
        <x:v>Q3</x:v>
      </x:c>
      <x:c r="D16" s="28" t="n">
        <x:v>44986</x:v>
      </x:c>
      <x:c r="E16" s="2" t="str">
        <x:v>2023Q1</x:v>
      </x:c>
      <x:c r="F16" s="20" t="n">
        <x:v>46062.2</x:v>
      </x:c>
      <x:c r="G16" s="20" t="n">
        <x:f>'Quarterly data'!$E$8</x:f>
        <x:v>46008.9333333333</x:v>
      </x:c>
      <x:c r="H16" s="22" t="n">
        <x:f>100*F16/G16</x:f>
        <x:v>100.11577461768302</x:v>
      </x:c>
      <x:c r="I16" s="24" t="n">
        <x:f>H16/100-1</x:f>
        <x:v>0.0011577461768301767</x:v>
      </x:c>
      <x:c r="J16" s="26" t="n">
        <x:v>4</x:v>
      </x:c>
      <x:c r="K16" s="7" t="b">
        <x:v>0</x:v>
      </x:c>
      <x:c r="L16" s="2" t="str">
        <x:v>Aug 10–23, 2026</x:v>
      </x:c>
      <x:c r="M16" s="2" t="str">
        <x:v>https://www.census.gov/hfp/btos/downloads/Sector.xlsx</x:v>
      </x:c>
    </x:row>
    <x:row r="17" ht="24" customHeight="1">
      <x:c r="A17" s="2" t="str">
        <x:v>Census BTOS</x:v>
      </x:c>
      <x:c r="B17" s="2" t="str">
        <x:v>Quartiles</x:v>
      </x:c>
      <x:c r="C17" s="2" t="str">
        <x:v>Q4</x:v>
      </x:c>
      <x:c r="D17" s="28" t="n">
        <x:v>44986</x:v>
      </x:c>
      <x:c r="E17" s="2" t="str">
        <x:v>2023Q1</x:v>
      </x:c>
      <x:c r="F17" s="20" t="n">
        <x:v>26890.3</x:v>
      </x:c>
      <x:c r="G17" s="20" t="n">
        <x:f>'Quarterly data'!$E$9</x:f>
        <x:v>26865.5666666667</x:v>
      </x:c>
      <x:c r="H17" s="22" t="n">
        <x:f>100*F17/G17</x:f>
        <x:v>100.09206332269176</x:v>
      </x:c>
      <x:c r="I17" s="24" t="n">
        <x:f>H17/100-1</x:f>
        <x:v>0.0009206332269175999</x:v>
      </x:c>
      <x:c r="J17" s="26" t="n">
        <x:v>5</x:v>
      </x:c>
      <x:c r="K17" s="7" t="b">
        <x:v>0</x:v>
      </x:c>
      <x:c r="L17" s="2" t="str">
        <x:v>Aug 10–23, 2026</x:v>
      </x:c>
      <x:c r="M17" s="2" t="str">
        <x:v>https://www.census.gov/hfp/btos/downloads/Sector.xlsx</x:v>
      </x:c>
    </x:row>
    <x:row r="18" ht="24" customHeight="1">
      <x:c r="A18" s="2" t="str">
        <x:v>Census BTOS</x:v>
      </x:c>
      <x:c r="B18" s="2" t="str">
        <x:v>Quartiles</x:v>
      </x:c>
      <x:c r="C18" s="2" t="str">
        <x:v>Q1</x:v>
      </x:c>
      <x:c r="D18" s="28" t="n">
        <x:v>45017</x:v>
      </x:c>
      <x:c r="E18" s="2" t="str">
        <x:v>2023Q2</x:v>
      </x:c>
      <x:c r="F18" s="20" t="n">
        <x:v>42516.8</x:v>
      </x:c>
      <x:c r="G18" s="20" t="n">
        <x:f>'Quarterly data'!$E$6</x:f>
        <x:v>42506.2333333333</x:v>
      </x:c>
      <x:c r="H18" s="22" t="n">
        <x:f>100*F18/G18</x:f>
        <x:v>100.02485909909691</x:v>
      </x:c>
      <x:c r="I18" s="24" t="n">
        <x:f>H18/100-1</x:f>
        <x:v>0.00024859099096907755</x:v>
      </x:c>
      <x:c r="J18" s="26" t="n">
        <x:v>5</x:v>
      </x:c>
      <x:c r="K18" s="7" t="b">
        <x:v>0</x:v>
      </x:c>
      <x:c r="L18" s="2" t="str">
        <x:v>Aug 10–23, 2026</x:v>
      </x:c>
      <x:c r="M18" s="2" t="str">
        <x:v>https://www.census.gov/hfp/btos/downloads/Sector.xlsx</x:v>
      </x:c>
    </x:row>
    <x:row r="19" ht="24" customHeight="1">
      <x:c r="A19" s="2" t="str">
        <x:v>Census BTOS</x:v>
      </x:c>
      <x:c r="B19" s="2" t="str">
        <x:v>Quartiles</x:v>
      </x:c>
      <x:c r="C19" s="2" t="str">
        <x:v>Q2</x:v>
      </x:c>
      <x:c r="D19" s="28" t="n">
        <x:v>45017</x:v>
      </x:c>
      <x:c r="E19" s="2" t="str">
        <x:v>2023Q2</x:v>
      </x:c>
      <x:c r="F19" s="20" t="n">
        <x:v>17114.2</x:v>
      </x:c>
      <x:c r="G19" s="20" t="n">
        <x:f>'Quarterly data'!$E$7</x:f>
        <x:v>17032.1</x:v>
      </x:c>
      <x:c r="H19" s="22" t="n">
        <x:f>100*F19/G19</x:f>
        <x:v>100.48203098854516</x:v>
      </x:c>
      <x:c r="I19" s="24" t="n">
        <x:f>H19/100-1</x:f>
        <x:v>0.004820309885451568</x:v>
      </x:c>
      <x:c r="J19" s="26" t="n">
        <x:v>4</x:v>
      </x:c>
      <x:c r="K19" s="7" t="b">
        <x:v>0</x:v>
      </x:c>
      <x:c r="L19" s="2" t="str">
        <x:v>Aug 10–23, 2026</x:v>
      </x:c>
      <x:c r="M19" s="2" t="str">
        <x:v>https://www.census.gov/hfp/btos/downloads/Sector.xlsx</x:v>
      </x:c>
    </x:row>
    <x:row r="20" ht="24" customHeight="1">
      <x:c r="A20" s="2" t="str">
        <x:v>Census BTOS</x:v>
      </x:c>
      <x:c r="B20" s="2" t="str">
        <x:v>Quartiles</x:v>
      </x:c>
      <x:c r="C20" s="2" t="str">
        <x:v>Q3</x:v>
      </x:c>
      <x:c r="D20" s="28" t="n">
        <x:v>45017</x:v>
      </x:c>
      <x:c r="E20" s="2" t="str">
        <x:v>2023Q2</x:v>
      </x:c>
      <x:c r="F20" s="20" t="n">
        <x:v>46125.9</x:v>
      </x:c>
      <x:c r="G20" s="20" t="n">
        <x:f>'Quarterly data'!$E$8</x:f>
        <x:v>46008.9333333333</x:v>
      </x:c>
      <x:c r="H20" s="22" t="n">
        <x:f>100*F20/G20</x:f>
        <x:v>100.2542259908946</x:v>
      </x:c>
      <x:c r="I20" s="24" t="n">
        <x:f>H20/100-1</x:f>
        <x:v>0.002542259908945965</x:v>
      </x:c>
      <x:c r="J20" s="26" t="n">
        <x:v>4</x:v>
      </x:c>
      <x:c r="K20" s="7" t="b">
        <x:v>0</x:v>
      </x:c>
      <x:c r="L20" s="2" t="str">
        <x:v>Aug 10–23, 2026</x:v>
      </x:c>
      <x:c r="M20" s="2" t="str">
        <x:v>https://www.census.gov/hfp/btos/downloads/Sector.xlsx</x:v>
      </x:c>
    </x:row>
    <x:row r="21" ht="24" customHeight="1">
      <x:c r="A21" s="2" t="str">
        <x:v>Census BTOS</x:v>
      </x:c>
      <x:c r="B21" s="2" t="str">
        <x:v>Quartiles</x:v>
      </x:c>
      <x:c r="C21" s="2" t="str">
        <x:v>Q4</x:v>
      </x:c>
      <x:c r="D21" s="28" t="n">
        <x:v>45017</x:v>
      </x:c>
      <x:c r="E21" s="2" t="str">
        <x:v>2023Q2</x:v>
      </x:c>
      <x:c r="F21" s="20" t="n">
        <x:v>26930.1</x:v>
      </x:c>
      <x:c r="G21" s="20" t="n">
        <x:f>'Quarterly data'!$E$9</x:f>
        <x:v>26865.5666666667</x:v>
      </x:c>
      <x:c r="H21" s="22" t="n">
        <x:f>100*F21/G21</x:f>
        <x:v>100.24020834599916</x:v>
      </x:c>
      <x:c r="I21" s="24" t="n">
        <x:f>H21/100-1</x:f>
        <x:v>0.0024020834599915997</x:v>
      </x:c>
      <x:c r="J21" s="26" t="n">
        <x:v>5</x:v>
      </x:c>
      <x:c r="K21" s="7" t="b">
        <x:v>0</x:v>
      </x:c>
      <x:c r="L21" s="2" t="str">
        <x:v>Aug 10–23, 2026</x:v>
      </x:c>
      <x:c r="M21" s="2" t="str">
        <x:v>https://www.census.gov/hfp/btos/downloads/Sector.xlsx</x:v>
      </x:c>
    </x:row>
    <x:row r="22" ht="24" customHeight="1">
      <x:c r="A22" s="2" t="str">
        <x:v>Census BTOS</x:v>
      </x:c>
      <x:c r="B22" s="2" t="str">
        <x:v>Quartiles</x:v>
      </x:c>
      <x:c r="C22" s="2" t="str">
        <x:v>Q1</x:v>
      </x:c>
      <x:c r="D22" s="28" t="n">
        <x:v>45047</x:v>
      </x:c>
      <x:c r="E22" s="2" t="str">
        <x:v>2023Q2</x:v>
      </x:c>
      <x:c r="F22" s="20" t="n">
        <x:v>42597.6</x:v>
      </x:c>
      <x:c r="G22" s="20" t="n">
        <x:f>'Quarterly data'!$E$6</x:f>
        <x:v>42506.2333333333</x:v>
      </x:c>
      <x:c r="H22" s="22" t="n">
        <x:f>100*F22/G22</x:f>
        <x:v>100.21494886632321</x:v>
      </x:c>
      <x:c r="I22" s="24" t="n">
        <x:f>H22/100-1</x:f>
        <x:v>0.0021494886632320576</x:v>
      </x:c>
      <x:c r="J22" s="26" t="n">
        <x:v>5</x:v>
      </x:c>
      <x:c r="K22" s="7" t="b">
        <x:v>0</x:v>
      </x:c>
      <x:c r="L22" s="2" t="str">
        <x:v>Aug 10–23, 2026</x:v>
      </x:c>
      <x:c r="M22" s="2" t="str">
        <x:v>https://www.census.gov/hfp/btos/downloads/Sector.xlsx</x:v>
      </x:c>
    </x:row>
    <x:row r="23" ht="24" customHeight="1">
      <x:c r="A23" s="2" t="str">
        <x:v>Census BTOS</x:v>
      </x:c>
      <x:c r="B23" s="2" t="str">
        <x:v>Quartiles</x:v>
      </x:c>
      <x:c r="C23" s="2" t="str">
        <x:v>Q2</x:v>
      </x:c>
      <x:c r="D23" s="28" t="n">
        <x:v>45047</x:v>
      </x:c>
      <x:c r="E23" s="2" t="str">
        <x:v>2023Q2</x:v>
      </x:c>
      <x:c r="F23" s="20" t="n">
        <x:v>17141.3</x:v>
      </x:c>
      <x:c r="G23" s="20" t="n">
        <x:f>'Quarterly data'!$E$7</x:f>
        <x:v>17032.1</x:v>
      </x:c>
      <x:c r="H23" s="22" t="n">
        <x:f>100*F23/G23</x:f>
        <x:v>100.64114231363133</x:v>
      </x:c>
      <x:c r="I23" s="24" t="n">
        <x:f>H23/100-1</x:f>
        <x:v>0.006411423136313266</x:v>
      </x:c>
      <x:c r="J23" s="26" t="n">
        <x:v>4</x:v>
      </x:c>
      <x:c r="K23" s="7" t="b">
        <x:v>0</x:v>
      </x:c>
      <x:c r="L23" s="2" t="str">
        <x:v>Aug 10–23, 2026</x:v>
      </x:c>
      <x:c r="M23" s="2" t="str">
        <x:v>https://www.census.gov/hfp/btos/downloads/Sector.xlsx</x:v>
      </x:c>
    </x:row>
    <x:row r="24" ht="24" customHeight="1">
      <x:c r="A24" s="2" t="str">
        <x:v>Census BTOS</x:v>
      </x:c>
      <x:c r="B24" s="2" t="str">
        <x:v>Quartiles</x:v>
      </x:c>
      <x:c r="C24" s="2" t="str">
        <x:v>Q3</x:v>
      </x:c>
      <x:c r="D24" s="28" t="n">
        <x:v>45047</x:v>
      </x:c>
      <x:c r="E24" s="2" t="str">
        <x:v>2023Q2</x:v>
      </x:c>
      <x:c r="F24" s="20" t="n">
        <x:v>46164.6</x:v>
      </x:c>
      <x:c r="G24" s="20" t="n">
        <x:f>'Quarterly data'!$E$8</x:f>
        <x:v>46008.9333333333</x:v>
      </x:c>
      <x:c r="H24" s="22" t="n">
        <x:f>100*F24/G24</x:f>
        <x:v>100.33834009047526</x:v>
      </x:c>
      <x:c r="I24" s="24" t="n">
        <x:f>H24/100-1</x:f>
        <x:v>0.0033834009047526425</x:v>
      </x:c>
      <x:c r="J24" s="26" t="n">
        <x:v>4</x:v>
      </x:c>
      <x:c r="K24" s="7" t="b">
        <x:v>0</x:v>
      </x:c>
      <x:c r="L24" s="2" t="str">
        <x:v>Aug 10–23, 2026</x:v>
      </x:c>
      <x:c r="M24" s="2" t="str">
        <x:v>https://www.census.gov/hfp/btos/downloads/Sector.xlsx</x:v>
      </x:c>
    </x:row>
    <x:row r="25" ht="24" customHeight="1">
      <x:c r="A25" s="2" t="str">
        <x:v>Census BTOS</x:v>
      </x:c>
      <x:c r="B25" s="2" t="str">
        <x:v>Quartiles</x:v>
      </x:c>
      <x:c r="C25" s="2" t="str">
        <x:v>Q4</x:v>
      </x:c>
      <x:c r="D25" s="28" t="n">
        <x:v>45047</x:v>
      </x:c>
      <x:c r="E25" s="2" t="str">
        <x:v>2023Q2</x:v>
      </x:c>
      <x:c r="F25" s="20" t="n">
        <x:v>26983.6</x:v>
      </x:c>
      <x:c r="G25" s="20" t="n">
        <x:f>'Quarterly data'!$E$9</x:f>
        <x:v>26865.5666666667</x:v>
      </x:c>
      <x:c r="H25" s="22" t="n">
        <x:f>100*F25/G25</x:f>
        <x:v>100.43934801300786</x:v>
      </x:c>
      <x:c r="I25" s="24" t="n">
        <x:f>H25/100-1</x:f>
        <x:v>0.004393480130078675</x:v>
      </x:c>
      <x:c r="J25" s="26" t="n">
        <x:v>5</x:v>
      </x:c>
      <x:c r="K25" s="7" t="b">
        <x:v>0</x:v>
      </x:c>
      <x:c r="L25" s="2" t="str">
        <x:v>Aug 10–23, 2026</x:v>
      </x:c>
      <x:c r="M25" s="2" t="str">
        <x:v>https://www.census.gov/hfp/btos/downloads/Sector.xlsx</x:v>
      </x:c>
    </x:row>
    <x:row r="26" ht="24" customHeight="1">
      <x:c r="A26" s="2" t="str">
        <x:v>Census BTOS</x:v>
      </x:c>
      <x:c r="B26" s="2" t="str">
        <x:v>Quartiles</x:v>
      </x:c>
      <x:c r="C26" s="2" t="str">
        <x:v>Q1</x:v>
      </x:c>
      <x:c r="D26" s="28" t="n">
        <x:v>45078</x:v>
      </x:c>
      <x:c r="E26" s="2" t="str">
        <x:v>2023Q2</x:v>
      </x:c>
      <x:c r="F26" s="20" t="n">
        <x:v>42625.7</x:v>
      </x:c>
      <x:c r="G26" s="20" t="n">
        <x:f>'Quarterly data'!$E$6</x:f>
        <x:v>42506.2333333333</x:v>
      </x:c>
      <x:c r="H26" s="22" t="n">
        <x:f>100*F26/G26</x:f>
        <x:v>100.28105681754919</x:v>
      </x:c>
      <x:c r="I26" s="24" t="n">
        <x:f>H26/100-1</x:f>
        <x:v>0.0028105681754917455</x:v>
      </x:c>
      <x:c r="J26" s="26" t="n">
        <x:v>5</x:v>
      </x:c>
      <x:c r="K26" s="7" t="b">
        <x:v>0</x:v>
      </x:c>
      <x:c r="L26" s="2" t="str">
        <x:v>Aug 10–23, 2026</x:v>
      </x:c>
      <x:c r="M26" s="2" t="str">
        <x:v>https://www.census.gov/hfp/btos/downloads/Sector.xlsx</x:v>
      </x:c>
    </x:row>
    <x:row r="27" ht="24" customHeight="1">
      <x:c r="A27" s="2" t="str">
        <x:v>Census BTOS</x:v>
      </x:c>
      <x:c r="B27" s="2" t="str">
        <x:v>Quartiles</x:v>
      </x:c>
      <x:c r="C27" s="2" t="str">
        <x:v>Q2</x:v>
      </x:c>
      <x:c r="D27" s="28" t="n">
        <x:v>45078</x:v>
      </x:c>
      <x:c r="E27" s="2" t="str">
        <x:v>2023Q2</x:v>
      </x:c>
      <x:c r="F27" s="20" t="n">
        <x:v>17200</x:v>
      </x:c>
      <x:c r="G27" s="20" t="n">
        <x:f>'Quarterly data'!$E$7</x:f>
        <x:v>17032.1</x:v>
      </x:c>
      <x:c r="H27" s="22" t="n">
        <x:f>100*F27/G27</x:f>
        <x:v>100.98578566354121</x:v>
      </x:c>
      <x:c r="I27" s="24" t="n">
        <x:f>H27/100-1</x:f>
        <x:v>0.009857856635412166</x:v>
      </x:c>
      <x:c r="J27" s="26" t="n">
        <x:v>4</x:v>
      </x:c>
      <x:c r="K27" s="7" t="b">
        <x:v>0</x:v>
      </x:c>
      <x:c r="L27" s="2" t="str">
        <x:v>Aug 10–23, 2026</x:v>
      </x:c>
      <x:c r="M27" s="2" t="str">
        <x:v>https://www.census.gov/hfp/btos/downloads/Sector.xlsx</x:v>
      </x:c>
    </x:row>
    <x:row r="28" ht="24" customHeight="1">
      <x:c r="A28" s="2" t="str">
        <x:v>Census BTOS</x:v>
      </x:c>
      <x:c r="B28" s="2" t="str">
        <x:v>Quartiles</x:v>
      </x:c>
      <x:c r="C28" s="2" t="str">
        <x:v>Q3</x:v>
      </x:c>
      <x:c r="D28" s="28" t="n">
        <x:v>45078</x:v>
      </x:c>
      <x:c r="E28" s="2" t="str">
        <x:v>2023Q2</x:v>
      </x:c>
      <x:c r="F28" s="20" t="n">
        <x:v>46232.5</x:v>
      </x:c>
      <x:c r="G28" s="20" t="n">
        <x:f>'Quarterly data'!$E$8</x:f>
        <x:v>46008.9333333333</x:v>
      </x:c>
      <x:c r="H28" s="22" t="n">
        <x:f>100*F28/G28</x:f>
        <x:v>100.48592012565683</x:v>
      </x:c>
      <x:c r="I28" s="24" t="n">
        <x:f>H28/100-1</x:f>
        <x:v>0.004859201256568246</x:v>
      </x:c>
      <x:c r="J28" s="26" t="n">
        <x:v>4</x:v>
      </x:c>
      <x:c r="K28" s="7" t="b">
        <x:v>0</x:v>
      </x:c>
      <x:c r="L28" s="2" t="str">
        <x:v>Aug 10–23, 2026</x:v>
      </x:c>
      <x:c r="M28" s="2" t="str">
        <x:v>https://www.census.gov/hfp/btos/downloads/Sector.xlsx</x:v>
      </x:c>
    </x:row>
    <x:row r="29" ht="24" customHeight="1">
      <x:c r="A29" s="2" t="str">
        <x:v>Census BTOS</x:v>
      </x:c>
      <x:c r="B29" s="2" t="str">
        <x:v>Quartiles</x:v>
      </x:c>
      <x:c r="C29" s="2" t="str">
        <x:v>Q4</x:v>
      </x:c>
      <x:c r="D29" s="28" t="n">
        <x:v>45078</x:v>
      </x:c>
      <x:c r="E29" s="2" t="str">
        <x:v>2023Q2</x:v>
      </x:c>
      <x:c r="F29" s="20" t="n">
        <x:v>26984.9</x:v>
      </x:c>
      <x:c r="G29" s="20" t="n">
        <x:f>'Quarterly data'!$E$9</x:f>
        <x:v>26865.5666666667</x:v>
      </x:c>
      <x:c r="H29" s="22" t="n">
        <x:f>100*F29/G29</x:f>
        <x:v>100.44418692080433</x:v>
      </x:c>
      <x:c r="I29" s="24" t="n">
        <x:f>H29/100-1</x:f>
        <x:v>0.0044418692080432365</x:v>
      </x:c>
      <x:c r="J29" s="26" t="n">
        <x:v>5</x:v>
      </x:c>
      <x:c r="K29" s="7" t="b">
        <x:v>0</x:v>
      </x:c>
      <x:c r="L29" s="2" t="str">
        <x:v>Aug 10–23, 2026</x:v>
      </x:c>
      <x:c r="M29" s="2" t="str">
        <x:v>https://www.census.gov/hfp/btos/downloads/Sector.xlsx</x:v>
      </x:c>
    </x:row>
    <x:row r="30" ht="24" customHeight="1">
      <x:c r="A30" s="2" t="str">
        <x:v>Census BTOS</x:v>
      </x:c>
      <x:c r="B30" s="2" t="str">
        <x:v>Quartiles</x:v>
      </x:c>
      <x:c r="C30" s="2" t="str">
        <x:v>Q1</x:v>
      </x:c>
      <x:c r="D30" s="28" t="n">
        <x:v>45108</x:v>
      </x:c>
      <x:c r="E30" s="2" t="str">
        <x:v>2023Q3</x:v>
      </x:c>
      <x:c r="F30" s="20" t="n">
        <x:v>42668</x:v>
      </x:c>
      <x:c r="G30" s="20" t="n">
        <x:f>'Quarterly data'!$E$6</x:f>
        <x:v>42506.2333333333</x:v>
      </x:c>
      <x:c r="H30" s="22" t="n">
        <x:f>100*F30/G30</x:f>
        <x:v>100.3805716338075</x:v>
      </x:c>
      <x:c r="I30" s="24" t="n">
        <x:f>H30/100-1</x:f>
        <x:v>0.003805716338075138</x:v>
      </x:c>
      <x:c r="J30" s="26" t="n">
        <x:v>5</x:v>
      </x:c>
      <x:c r="K30" s="7" t="b">
        <x:v>0</x:v>
      </x:c>
      <x:c r="L30" s="2" t="str">
        <x:v>Aug 10–23, 2026</x:v>
      </x:c>
      <x:c r="M30" s="2" t="str">
        <x:v>https://www.census.gov/hfp/btos/downloads/Sector.xlsx</x:v>
      </x:c>
    </x:row>
    <x:row r="31" ht="24" customHeight="1">
      <x:c r="A31" s="2" t="str">
        <x:v>Census BTOS</x:v>
      </x:c>
      <x:c r="B31" s="2" t="str">
        <x:v>Quartiles</x:v>
      </x:c>
      <x:c r="C31" s="2" t="str">
        <x:v>Q2</x:v>
      </x:c>
      <x:c r="D31" s="28" t="n">
        <x:v>45108</x:v>
      </x:c>
      <x:c r="E31" s="2" t="str">
        <x:v>2023Q3</x:v>
      </x:c>
      <x:c r="F31" s="20" t="n">
        <x:v>17221.5</x:v>
      </x:c>
      <x:c r="G31" s="20" t="n">
        <x:f>'Quarterly data'!$E$7</x:f>
        <x:v>17032.1</x:v>
      </x:c>
      <x:c r="H31" s="22" t="n">
        <x:f>100*F31/G31</x:f>
        <x:v>101.11201789562062</x:v>
      </x:c>
      <x:c r="I31" s="24" t="n">
        <x:f>H31/100-1</x:f>
        <x:v>0.011120178956206317</x:v>
      </x:c>
      <x:c r="J31" s="26" t="n">
        <x:v>4</x:v>
      </x:c>
      <x:c r="K31" s="7" t="b">
        <x:v>0</x:v>
      </x:c>
      <x:c r="L31" s="2" t="str">
        <x:v>Aug 10–23, 2026</x:v>
      </x:c>
      <x:c r="M31" s="2" t="str">
        <x:v>https://www.census.gov/hfp/btos/downloads/Sector.xlsx</x:v>
      </x:c>
    </x:row>
    <x:row r="32" ht="24" customHeight="1">
      <x:c r="A32" s="2" t="str">
        <x:v>Census BTOS</x:v>
      </x:c>
      <x:c r="B32" s="2" t="str">
        <x:v>Quartiles</x:v>
      </x:c>
      <x:c r="C32" s="2" t="str">
        <x:v>Q3</x:v>
      </x:c>
      <x:c r="D32" s="28" t="n">
        <x:v>45108</x:v>
      </x:c>
      <x:c r="E32" s="2" t="str">
        <x:v>2023Q3</x:v>
      </x:c>
      <x:c r="F32" s="20" t="n">
        <x:v>46290</x:v>
      </x:c>
      <x:c r="G32" s="20" t="n">
        <x:f>'Quarterly data'!$E$8</x:f>
        <x:v>46008.9333333333</x:v>
      </x:c>
      <x:c r="H32" s="22" t="n">
        <x:f>100*F32/G32</x:f>
        <x:v>100.61089585500794</x:v>
      </x:c>
      <x:c r="I32" s="24" t="n">
        <x:f>H32/100-1</x:f>
        <x:v>0.006108958550079313</x:v>
      </x:c>
      <x:c r="J32" s="26" t="n">
        <x:v>4</x:v>
      </x:c>
      <x:c r="K32" s="7" t="b">
        <x:v>0</x:v>
      </x:c>
      <x:c r="L32" s="2" t="str">
        <x:v>Aug 10–23, 2026</x:v>
      </x:c>
      <x:c r="M32" s="2" t="str">
        <x:v>https://www.census.gov/hfp/btos/downloads/Sector.xlsx</x:v>
      </x:c>
    </x:row>
    <x:row r="33" ht="24" customHeight="1">
      <x:c r="A33" s="2" t="str">
        <x:v>Census BTOS</x:v>
      </x:c>
      <x:c r="B33" s="2" t="str">
        <x:v>Quartiles</x:v>
      </x:c>
      <x:c r="C33" s="2" t="str">
        <x:v>Q4</x:v>
      </x:c>
      <x:c r="D33" s="28" t="n">
        <x:v>45108</x:v>
      </x:c>
      <x:c r="E33" s="2" t="str">
        <x:v>2023Q3</x:v>
      </x:c>
      <x:c r="F33" s="20" t="n">
        <x:v>26979.7</x:v>
      </x:c>
      <x:c r="G33" s="20" t="n">
        <x:f>'Quarterly data'!$E$9</x:f>
        <x:v>26865.5666666667</x:v>
      </x:c>
      <x:c r="H33" s="22" t="n">
        <x:f>100*F33/G33</x:f>
        <x:v>100.42483128961844</x:v>
      </x:c>
      <x:c r="I33" s="24" t="n">
        <x:f>H33/100-1</x:f>
        <x:v>0.004248312896184325</x:v>
      </x:c>
      <x:c r="J33" s="26" t="n">
        <x:v>5</x:v>
      </x:c>
      <x:c r="K33" s="7" t="b">
        <x:v>0</x:v>
      </x:c>
      <x:c r="L33" s="2" t="str">
        <x:v>Aug 10–23, 2026</x:v>
      </x:c>
      <x:c r="M33" s="2" t="str">
        <x:v>https://www.census.gov/hfp/btos/downloads/Sector.xlsx</x:v>
      </x:c>
    </x:row>
    <x:row r="34" ht="24" customHeight="1">
      <x:c r="A34" s="2" t="str">
        <x:v>Census BTOS</x:v>
      </x:c>
      <x:c r="B34" s="2" t="str">
        <x:v>Quartiles</x:v>
      </x:c>
      <x:c r="C34" s="2" t="str">
        <x:v>Q1</x:v>
      </x:c>
      <x:c r="D34" s="28" t="n">
        <x:v>45139</x:v>
      </x:c>
      <x:c r="E34" s="2" t="str">
        <x:v>2023Q3</x:v>
      </x:c>
      <x:c r="F34" s="20" t="n">
        <x:v>42699.9</x:v>
      </x:c>
      <x:c r="G34" s="20" t="n">
        <x:f>'Quarterly data'!$E$6</x:f>
        <x:v>42506.2333333333</x:v>
      </x:c>
      <x:c r="H34" s="22" t="n">
        <x:f>100*F34/G34</x:f>
        <x:v>100.45561945032384</x:v>
      </x:c>
      <x:c r="I34" s="24" t="n">
        <x:f>H34/100-1</x:f>
        <x:v>0.004556194503238409</x:v>
      </x:c>
      <x:c r="J34" s="26" t="n">
        <x:v>5</x:v>
      </x:c>
      <x:c r="K34" s="7" t="b">
        <x:v>0</x:v>
      </x:c>
      <x:c r="L34" s="2" t="str">
        <x:v>Aug 10–23, 2026</x:v>
      </x:c>
      <x:c r="M34" s="2" t="str">
        <x:v>https://www.census.gov/hfp/btos/downloads/Sector.xlsx</x:v>
      </x:c>
    </x:row>
    <x:row r="35" ht="24" customHeight="1">
      <x:c r="A35" s="2" t="str">
        <x:v>Census BTOS</x:v>
      </x:c>
      <x:c r="B35" s="2" t="str">
        <x:v>Quartiles</x:v>
      </x:c>
      <x:c r="C35" s="2" t="str">
        <x:v>Q2</x:v>
      </x:c>
      <x:c r="D35" s="28" t="n">
        <x:v>45139</x:v>
      </x:c>
      <x:c r="E35" s="2" t="str">
        <x:v>2023Q3</x:v>
      </x:c>
      <x:c r="F35" s="20" t="n">
        <x:v>17261.8</x:v>
      </x:c>
      <x:c r="G35" s="20" t="n">
        <x:f>'Quarterly data'!$E$7</x:f>
        <x:v>17032.1</x:v>
      </x:c>
      <x:c r="H35" s="22" t="n">
        <x:f>100*F35/G35</x:f>
        <x:v>101.34862993993696</x:v>
      </x:c>
      <x:c r="I35" s="24" t="n">
        <x:f>H35/100-1</x:f>
        <x:v>0.013486299399369628</x:v>
      </x:c>
      <x:c r="J35" s="26" t="n">
        <x:v>4</x:v>
      </x:c>
      <x:c r="K35" s="7" t="b">
        <x:v>0</x:v>
      </x:c>
      <x:c r="L35" s="2" t="str">
        <x:v>Aug 10–23, 2026</x:v>
      </x:c>
      <x:c r="M35" s="2" t="str">
        <x:v>https://www.census.gov/hfp/btos/downloads/Sector.xlsx</x:v>
      </x:c>
    </x:row>
    <x:row r="36" ht="24" customHeight="1">
      <x:c r="A36" s="2" t="str">
        <x:v>Census BTOS</x:v>
      </x:c>
      <x:c r="B36" s="2" t="str">
        <x:v>Quartiles</x:v>
      </x:c>
      <x:c r="C36" s="2" t="str">
        <x:v>Q3</x:v>
      </x:c>
      <x:c r="D36" s="28" t="n">
        <x:v>45139</x:v>
      </x:c>
      <x:c r="E36" s="2" t="str">
        <x:v>2023Q3</x:v>
      </x:c>
      <x:c r="F36" s="20" t="n">
        <x:v>46365.2</x:v>
      </x:c>
      <x:c r="G36" s="20" t="n">
        <x:f>'Quarterly data'!$E$8</x:f>
        <x:v>46008.9333333333</x:v>
      </x:c>
      <x:c r="H36" s="22" t="n">
        <x:f>100*F36/G36</x:f>
        <x:v>100.77434237408974</x:v>
      </x:c>
      <x:c r="I36" s="24" t="n">
        <x:f>H36/100-1</x:f>
        <x:v>0.007743423740897315</x:v>
      </x:c>
      <x:c r="J36" s="26" t="n">
        <x:v>4</x:v>
      </x:c>
      <x:c r="K36" s="7" t="b">
        <x:v>0</x:v>
      </x:c>
      <x:c r="L36" s="2" t="str">
        <x:v>Aug 10–23, 2026</x:v>
      </x:c>
      <x:c r="M36" s="2" t="str">
        <x:v>https://www.census.gov/hfp/btos/downloads/Sector.xlsx</x:v>
      </x:c>
    </x:row>
    <x:row r="37" ht="24" customHeight="1">
      <x:c r="A37" s="2" t="str">
        <x:v>Census BTOS</x:v>
      </x:c>
      <x:c r="B37" s="2" t="str">
        <x:v>Quartiles</x:v>
      </x:c>
      <x:c r="C37" s="2" t="str">
        <x:v>Q4</x:v>
      </x:c>
      <x:c r="D37" s="28" t="n">
        <x:v>45139</x:v>
      </x:c>
      <x:c r="E37" s="2" t="str">
        <x:v>2023Q3</x:v>
      </x:c>
      <x:c r="F37" s="20" t="n">
        <x:v>26981.9</x:v>
      </x:c>
      <x:c r="G37" s="20" t="n">
        <x:f>'Quarterly data'!$E$9</x:f>
        <x:v>26865.5666666667</x:v>
      </x:c>
      <x:c r="H37" s="22" t="n">
        <x:f>100*F37/G37</x:f>
        <x:v>100.43302021050478</x:v>
      </x:c>
      <x:c r="I37" s="24" t="n">
        <x:f>H37/100-1</x:f>
        <x:v>0.0043302021050477535</x:v>
      </x:c>
      <x:c r="J37" s="26" t="n">
        <x:v>5</x:v>
      </x:c>
      <x:c r="K37" s="7" t="b">
        <x:v>0</x:v>
      </x:c>
      <x:c r="L37" s="2" t="str">
        <x:v>Aug 10–23, 2026</x:v>
      </x:c>
      <x:c r="M37" s="2" t="str">
        <x:v>https://www.census.gov/hfp/btos/downloads/Sector.xlsx</x:v>
      </x:c>
    </x:row>
    <x:row r="38" ht="24" customHeight="1">
      <x:c r="A38" s="2" t="str">
        <x:v>Census BTOS</x:v>
      </x:c>
      <x:c r="B38" s="2" t="str">
        <x:v>Quartiles</x:v>
      </x:c>
      <x:c r="C38" s="2" t="str">
        <x:v>Q1</x:v>
      </x:c>
      <x:c r="D38" s="28" t="n">
        <x:v>45170</x:v>
      </x:c>
      <x:c r="E38" s="2" t="str">
        <x:v>2023Q3</x:v>
      </x:c>
      <x:c r="F38" s="20" t="n">
        <x:v>42737.3</x:v>
      </x:c>
      <x:c r="G38" s="20" t="n">
        <x:f>'Quarterly data'!$E$6</x:f>
        <x:v>42506.2333333333</x:v>
      </x:c>
      <x:c r="H38" s="22" t="n">
        <x:f>100*F38/G38</x:f>
        <x:v>100.54360654554986</x:v>
      </x:c>
      <x:c r="I38" s="24" t="n">
        <x:f>H38/100-1</x:f>
        <x:v>0.005436065455498573</x:v>
      </x:c>
      <x:c r="J38" s="26" t="n">
        <x:v>5</x:v>
      </x:c>
      <x:c r="K38" s="7" t="b">
        <x:v>0</x:v>
      </x:c>
      <x:c r="L38" s="2" t="str">
        <x:v>Aug 10–23, 2026</x:v>
      </x:c>
      <x:c r="M38" s="2" t="str">
        <x:v>https://www.census.gov/hfp/btos/downloads/Sector.xlsx</x:v>
      </x:c>
    </x:row>
    <x:row r="39" ht="24" customHeight="1">
      <x:c r="A39" s="2" t="str">
        <x:v>Census BTOS</x:v>
      </x:c>
      <x:c r="B39" s="2" t="str">
        <x:v>Quartiles</x:v>
      </x:c>
      <x:c r="C39" s="2" t="str">
        <x:v>Q2</x:v>
      </x:c>
      <x:c r="D39" s="28" t="n">
        <x:v>45170</x:v>
      </x:c>
      <x:c r="E39" s="2" t="str">
        <x:v>2023Q3</x:v>
      </x:c>
      <x:c r="F39" s="20" t="n">
        <x:v>17268.8</x:v>
      </x:c>
      <x:c r="G39" s="20" t="n">
        <x:f>'Quarterly data'!$E$7</x:f>
        <x:v>17032.1</x:v>
      </x:c>
      <x:c r="H39" s="22" t="n">
        <x:f>100*F39/G39</x:f>
        <x:v>101.38972880619536</x:v>
      </x:c>
      <x:c r="I39" s="24" t="n">
        <x:f>H39/100-1</x:f>
        <x:v>0.013897288061953672</x:v>
      </x:c>
      <x:c r="J39" s="26" t="n">
        <x:v>4</x:v>
      </x:c>
      <x:c r="K39" s="7" t="b">
        <x:v>0</x:v>
      </x:c>
      <x:c r="L39" s="2" t="str">
        <x:v>Aug 10–23, 2026</x:v>
      </x:c>
      <x:c r="M39" s="2" t="str">
        <x:v>https://www.census.gov/hfp/btos/downloads/Sector.xlsx</x:v>
      </x:c>
    </x:row>
    <x:row r="40" ht="24" customHeight="1">
      <x:c r="A40" s="2" t="str">
        <x:v>Census BTOS</x:v>
      </x:c>
      <x:c r="B40" s="2" t="str">
        <x:v>Quartiles</x:v>
      </x:c>
      <x:c r="C40" s="2" t="str">
        <x:v>Q3</x:v>
      </x:c>
      <x:c r="D40" s="28" t="n">
        <x:v>45170</x:v>
      </x:c>
      <x:c r="E40" s="2" t="str">
        <x:v>2023Q3</x:v>
      </x:c>
      <x:c r="F40" s="20" t="n">
        <x:v>46441.2</x:v>
      </x:c>
      <x:c r="G40" s="20" t="n">
        <x:f>'Quarterly data'!$E$8</x:f>
        <x:v>46008.9333333333</x:v>
      </x:c>
      <x:c r="H40" s="22" t="n">
        <x:f>100*F40/G40</x:f>
        <x:v>100.93952768592774</x:v>
      </x:c>
      <x:c r="I40" s="24" t="n">
        <x:f>H40/100-1</x:f>
        <x:v>0.009395276859277324</x:v>
      </x:c>
      <x:c r="J40" s="26" t="n">
        <x:v>4</x:v>
      </x:c>
      <x:c r="K40" s="7" t="b">
        <x:v>0</x:v>
      </x:c>
      <x:c r="L40" s="2" t="str">
        <x:v>Aug 10–23, 2026</x:v>
      </x:c>
      <x:c r="M40" s="2" t="str">
        <x:v>https://www.census.gov/hfp/btos/downloads/Sector.xlsx</x:v>
      </x:c>
    </x:row>
    <x:row r="41" ht="24" customHeight="1">
      <x:c r="A41" s="2" t="str">
        <x:v>Census BTOS</x:v>
      </x:c>
      <x:c r="B41" s="2" t="str">
        <x:v>Quartiles</x:v>
      </x:c>
      <x:c r="C41" s="2" t="str">
        <x:v>Q4</x:v>
      </x:c>
      <x:c r="D41" s="28" t="n">
        <x:v>45170</x:v>
      </x:c>
      <x:c r="E41" s="2" t="str">
        <x:v>2023Q3</x:v>
      </x:c>
      <x:c r="F41" s="20" t="n">
        <x:v>26975.4</x:v>
      </x:c>
      <x:c r="G41" s="20" t="n">
        <x:f>'Quarterly data'!$E$9</x:f>
        <x:v>26865.5666666667</x:v>
      </x:c>
      <x:c r="H41" s="22" t="n">
        <x:f>100*F41/G41</x:f>
        <x:v>100.40882567152241</x:v>
      </x:c>
      <x:c r="I41" s="24" t="n">
        <x:f>H41/100-1</x:f>
        <x:v>0.004088256715224059</x:v>
      </x:c>
      <x:c r="J41" s="26" t="n">
        <x:v>5</x:v>
      </x:c>
      <x:c r="K41" s="7" t="b">
        <x:v>0</x:v>
      </x:c>
      <x:c r="L41" s="2" t="str">
        <x:v>Aug 10–23, 2026</x:v>
      </x:c>
      <x:c r="M41" s="2" t="str">
        <x:v>https://www.census.gov/hfp/btos/downloads/Sector.xlsx</x:v>
      </x:c>
    </x:row>
    <x:row r="42" ht="24" customHeight="1">
      <x:c r="A42" s="2" t="str">
        <x:v>Census BTOS</x:v>
      </x:c>
      <x:c r="B42" s="2" t="str">
        <x:v>Quartiles</x:v>
      </x:c>
      <x:c r="C42" s="2" t="str">
        <x:v>Q1</x:v>
      </x:c>
      <x:c r="D42" s="28" t="n">
        <x:v>45200</x:v>
      </x:c>
      <x:c r="E42" s="2" t="str">
        <x:v>2023Q4</x:v>
      </x:c>
      <x:c r="F42" s="20" t="n">
        <x:v>42775.1</x:v>
      </x:c>
      <x:c r="G42" s="20" t="n">
        <x:f>'Quarterly data'!$E$6</x:f>
        <x:v>42506.2333333333</x:v>
      </x:c>
      <x:c r="H42" s="22" t="n">
        <x:f>100*F42/G42</x:f>
        <x:v>100.63253467922752</x:v>
      </x:c>
      <x:c r="I42" s="24" t="n">
        <x:f>H42/100-1</x:f>
        <x:v>0.006325346792275255</x:v>
      </x:c>
      <x:c r="J42" s="26" t="n">
        <x:v>5</x:v>
      </x:c>
      <x:c r="K42" s="7" t="b">
        <x:v>0</x:v>
      </x:c>
      <x:c r="L42" s="2" t="str">
        <x:v>Aug 10–23, 2026</x:v>
      </x:c>
      <x:c r="M42" s="2" t="str">
        <x:v>https://www.census.gov/hfp/btos/downloads/Sector.xlsx</x:v>
      </x:c>
    </x:row>
    <x:row r="43" ht="24" customHeight="1">
      <x:c r="A43" s="2" t="str">
        <x:v>Census BTOS</x:v>
      </x:c>
      <x:c r="B43" s="2" t="str">
        <x:v>Quartiles</x:v>
      </x:c>
      <x:c r="C43" s="2" t="str">
        <x:v>Q2</x:v>
      </x:c>
      <x:c r="D43" s="28" t="n">
        <x:v>45200</x:v>
      </x:c>
      <x:c r="E43" s="2" t="str">
        <x:v>2023Q4</x:v>
      </x:c>
      <x:c r="F43" s="20" t="n">
        <x:v>17344.8</x:v>
      </x:c>
      <x:c r="G43" s="20" t="n">
        <x:f>'Quarterly data'!$E$7</x:f>
        <x:v>17032.1</x:v>
      </x:c>
      <x:c r="H43" s="22" t="n">
        <x:f>100*F43/G43</x:f>
        <x:v>101.83594506842962</x:v>
      </x:c>
      <x:c r="I43" s="24" t="n">
        <x:f>H43/100-1</x:f>
        <x:v>0.01835945068429634</x:v>
      </x:c>
      <x:c r="J43" s="26" t="n">
        <x:v>4</x:v>
      </x:c>
      <x:c r="K43" s="7" t="b">
        <x:v>0</x:v>
      </x:c>
      <x:c r="L43" s="2" t="str">
        <x:v>Aug 10–23, 2026</x:v>
      </x:c>
      <x:c r="M43" s="2" t="str">
        <x:v>https://www.census.gov/hfp/btos/downloads/Sector.xlsx</x:v>
      </x:c>
    </x:row>
    <x:row r="44" ht="24" customHeight="1">
      <x:c r="A44" s="2" t="str">
        <x:v>Census BTOS</x:v>
      </x:c>
      <x:c r="B44" s="2" t="str">
        <x:v>Quartiles</x:v>
      </x:c>
      <x:c r="C44" s="2" t="str">
        <x:v>Q3</x:v>
      </x:c>
      <x:c r="D44" s="28" t="n">
        <x:v>45200</x:v>
      </x:c>
      <x:c r="E44" s="2" t="str">
        <x:v>2023Q4</x:v>
      </x:c>
      <x:c r="F44" s="20" t="n">
        <x:v>46459.6</x:v>
      </x:c>
      <x:c r="G44" s="20" t="n">
        <x:f>'Quarterly data'!$E$8</x:f>
        <x:v>46008.9333333333</x:v>
      </x:c>
      <x:c r="H44" s="22" t="n">
        <x:f>100*F44/G44</x:f>
        <x:v>100.9795199193201</x:v>
      </x:c>
      <x:c r="I44" s="24" t="n">
        <x:f>H44/100-1</x:f>
        <x:v>0.009795199193201043</x:v>
      </x:c>
      <x:c r="J44" s="26" t="n">
        <x:v>4</x:v>
      </x:c>
      <x:c r="K44" s="7" t="b">
        <x:v>0</x:v>
      </x:c>
      <x:c r="L44" s="2" t="str">
        <x:v>Aug 10–23, 2026</x:v>
      </x:c>
      <x:c r="M44" s="2" t="str">
        <x:v>https://www.census.gov/hfp/btos/downloads/Sector.xlsx</x:v>
      </x:c>
    </x:row>
    <x:row r="45" ht="24" customHeight="1">
      <x:c r="A45" s="2" t="str">
        <x:v>Census BTOS</x:v>
      </x:c>
      <x:c r="B45" s="2" t="str">
        <x:v>Quartiles</x:v>
      </x:c>
      <x:c r="C45" s="2" t="str">
        <x:v>Q4</x:v>
      </x:c>
      <x:c r="D45" s="28" t="n">
        <x:v>45200</x:v>
      </x:c>
      <x:c r="E45" s="2" t="str">
        <x:v>2023Q4</x:v>
      </x:c>
      <x:c r="F45" s="20" t="n">
        <x:v>26956.8</x:v>
      </x:c>
      <x:c r="G45" s="20" t="n">
        <x:f>'Quarterly data'!$E$9</x:f>
        <x:v>26865.5666666667</x:v>
      </x:c>
      <x:c r="H45" s="22" t="n">
        <x:f>100*F45/G45</x:f>
        <x:v>100.33959206766518</x:v>
      </x:c>
      <x:c r="I45" s="24" t="n">
        <x:f>H45/100-1</x:f>
        <x:v>0.0033959206766518424</x:v>
      </x:c>
      <x:c r="J45" s="26" t="n">
        <x:v>5</x:v>
      </x:c>
      <x:c r="K45" s="7" t="b">
        <x:v>0</x:v>
      </x:c>
      <x:c r="L45" s="2" t="str">
        <x:v>Aug 10–23, 2026</x:v>
      </x:c>
      <x:c r="M45" s="2" t="str">
        <x:v>https://www.census.gov/hfp/btos/downloads/Sector.xlsx</x:v>
      </x:c>
    </x:row>
    <x:row r="46" ht="24" customHeight="1">
      <x:c r="A46" s="2" t="str">
        <x:v>Census BTOS</x:v>
      </x:c>
      <x:c r="B46" s="2" t="str">
        <x:v>Quartiles</x:v>
      </x:c>
      <x:c r="C46" s="2" t="str">
        <x:v>Q1</x:v>
      </x:c>
      <x:c r="D46" s="28" t="n">
        <x:v>45231</x:v>
      </x:c>
      <x:c r="E46" s="2" t="str">
        <x:v>2023Q4</x:v>
      </x:c>
      <x:c r="F46" s="20" t="n">
        <x:v>42759.1</x:v>
      </x:c>
      <x:c r="G46" s="20" t="n">
        <x:f>'Quarterly data'!$E$6</x:f>
        <x:v>42506.2333333333</x:v>
      </x:c>
      <x:c r="H46" s="22" t="n">
        <x:f>100*F46/G46</x:f>
        <x:v>100.5948931411629</x:v>
      </x:c>
      <x:c r="I46" s="24" t="n">
        <x:f>H46/100-1</x:f>
        <x:v>0.005948931411628999</x:v>
      </x:c>
      <x:c r="J46" s="26" t="n">
        <x:v>5</x:v>
      </x:c>
      <x:c r="K46" s="7" t="b">
        <x:v>0</x:v>
      </x:c>
      <x:c r="L46" s="2" t="str">
        <x:v>Aug 10–23, 2026</x:v>
      </x:c>
      <x:c r="M46" s="2" t="str">
        <x:v>https://www.census.gov/hfp/btos/downloads/Sector.xlsx</x:v>
      </x:c>
    </x:row>
    <x:row r="47" ht="24" customHeight="1">
      <x:c r="A47" s="2" t="str">
        <x:v>Census BTOS</x:v>
      </x:c>
      <x:c r="B47" s="2" t="str">
        <x:v>Quartiles</x:v>
      </x:c>
      <x:c r="C47" s="2" t="str">
        <x:v>Q2</x:v>
      </x:c>
      <x:c r="D47" s="28" t="n">
        <x:v>45231</x:v>
      </x:c>
      <x:c r="E47" s="2" t="str">
        <x:v>2023Q4</x:v>
      </x:c>
      <x:c r="F47" s="20" t="n">
        <x:v>17357.1</x:v>
      </x:c>
      <x:c r="G47" s="20" t="n">
        <x:f>'Quarterly data'!$E$7</x:f>
        <x:v>17032.1</x:v>
      </x:c>
      <x:c r="H47" s="22" t="n">
        <x:f>100*F47/G47</x:f>
        <x:v>101.90816164771226</x:v>
      </x:c>
      <x:c r="I47" s="24" t="n">
        <x:f>H47/100-1</x:f>
        <x:v>0.019081616477122587</x:v>
      </x:c>
      <x:c r="J47" s="26" t="n">
        <x:v>4</x:v>
      </x:c>
      <x:c r="K47" s="7" t="b">
        <x:v>0</x:v>
      </x:c>
      <x:c r="L47" s="2" t="str">
        <x:v>Aug 10–23, 2026</x:v>
      </x:c>
      <x:c r="M47" s="2" t="str">
        <x:v>https://www.census.gov/hfp/btos/downloads/Sector.xlsx</x:v>
      </x:c>
    </x:row>
    <x:row r="48" ht="24" customHeight="1">
      <x:c r="A48" s="2" t="str">
        <x:v>Census BTOS</x:v>
      </x:c>
      <x:c r="B48" s="2" t="str">
        <x:v>Quartiles</x:v>
      </x:c>
      <x:c r="C48" s="2" t="str">
        <x:v>Q3</x:v>
      </x:c>
      <x:c r="D48" s="28" t="n">
        <x:v>45231</x:v>
      </x:c>
      <x:c r="E48" s="2" t="str">
        <x:v>2023Q4</x:v>
      </x:c>
      <x:c r="F48" s="20" t="n">
        <x:v>46540.2</x:v>
      </x:c>
      <x:c r="G48" s="20" t="n">
        <x:f>'Quarterly data'!$E$8</x:f>
        <x:v>46008.9333333333</x:v>
      </x:c>
      <x:c r="H48" s="22" t="n">
        <x:f>100*F48/G48</x:f>
        <x:v>101.15470328950617</x:v>
      </x:c>
      <x:c r="I48" s="24" t="n">
        <x:f>H48/100-1</x:f>
        <x:v>0.01154703289506176</x:v>
      </x:c>
      <x:c r="J48" s="26" t="n">
        <x:v>4</x:v>
      </x:c>
      <x:c r="K48" s="7" t="b">
        <x:v>0</x:v>
      </x:c>
      <x:c r="L48" s="2" t="str">
        <x:v>Aug 10–23, 2026</x:v>
      </x:c>
      <x:c r="M48" s="2" t="str">
        <x:v>https://www.census.gov/hfp/btos/downloads/Sector.xlsx</x:v>
      </x:c>
    </x:row>
    <x:row r="49" ht="24" customHeight="1">
      <x:c r="A49" s="2" t="str">
        <x:v>Census BTOS</x:v>
      </x:c>
      <x:c r="B49" s="2" t="str">
        <x:v>Quartiles</x:v>
      </x:c>
      <x:c r="C49" s="2" t="str">
        <x:v>Q4</x:v>
      </x:c>
      <x:c r="D49" s="28" t="n">
        <x:v>45231</x:v>
      </x:c>
      <x:c r="E49" s="2" t="str">
        <x:v>2023Q4</x:v>
      </x:c>
      <x:c r="F49" s="20" t="n">
        <x:v>26966.9</x:v>
      </x:c>
      <x:c r="G49" s="20" t="n">
        <x:f>'Quarterly data'!$E$9</x:f>
        <x:v>26865.5666666667</x:v>
      </x:c>
      <x:c r="H49" s="22" t="n">
        <x:f>100*F49/G49</x:f>
        <x:v>100.37718665900701</x:v>
      </x:c>
      <x:c r="I49" s="24" t="n">
        <x:f>H49/100-1</x:f>
        <x:v>0.0037718665900701165</x:v>
      </x:c>
      <x:c r="J49" s="26" t="n">
        <x:v>5</x:v>
      </x:c>
      <x:c r="K49" s="7" t="b">
        <x:v>0</x:v>
      </x:c>
      <x:c r="L49" s="2" t="str">
        <x:v>Aug 10–23, 2026</x:v>
      </x:c>
      <x:c r="M49" s="2" t="str">
        <x:v>https://www.census.gov/hfp/btos/downloads/Sector.xlsx</x:v>
      </x:c>
    </x:row>
    <x:row r="50" ht="24" customHeight="1">
      <x:c r="A50" s="2" t="str">
        <x:v>Census BTOS</x:v>
      </x:c>
      <x:c r="B50" s="2" t="str">
        <x:v>Quartiles</x:v>
      </x:c>
      <x:c r="C50" s="2" t="str">
        <x:v>Q1</x:v>
      </x:c>
      <x:c r="D50" s="28" t="n">
        <x:v>45261</x:v>
      </x:c>
      <x:c r="E50" s="2" t="str">
        <x:v>2023Q4</x:v>
      </x:c>
      <x:c r="F50" s="20" t="n">
        <x:v>42747.1</x:v>
      </x:c>
      <x:c r="G50" s="20" t="n">
        <x:f>'Quarterly data'!$E$6</x:f>
        <x:v>42506.2333333333</x:v>
      </x:c>
      <x:c r="H50" s="22" t="n">
        <x:f>100*F50/G50</x:f>
        <x:v>100.56666198761444</x:v>
      </x:c>
      <x:c r="I50" s="24" t="n">
        <x:f>H50/100-1</x:f>
        <x:v>0.005666619876144363</x:v>
      </x:c>
      <x:c r="J50" s="26" t="n">
        <x:v>5</x:v>
      </x:c>
      <x:c r="K50" s="7" t="b">
        <x:v>0</x:v>
      </x:c>
      <x:c r="L50" s="2" t="str">
        <x:v>Aug 10–23, 2026</x:v>
      </x:c>
      <x:c r="M50" s="2" t="str">
        <x:v>https://www.census.gov/hfp/btos/downloads/Sector.xlsx</x:v>
      </x:c>
    </x:row>
    <x:row r="51" ht="24" customHeight="1">
      <x:c r="A51" s="2" t="str">
        <x:v>Census BTOS</x:v>
      </x:c>
      <x:c r="B51" s="2" t="str">
        <x:v>Quartiles</x:v>
      </x:c>
      <x:c r="C51" s="2" t="str">
        <x:v>Q2</x:v>
      </x:c>
      <x:c r="D51" s="28" t="n">
        <x:v>45261</x:v>
      </x:c>
      <x:c r="E51" s="2" t="str">
        <x:v>2023Q4</x:v>
      </x:c>
      <x:c r="F51" s="20" t="n">
        <x:v>17386.8</x:v>
      </x:c>
      <x:c r="G51" s="20" t="n">
        <x:f>'Quarterly data'!$E$7</x:f>
        <x:v>17032.1</x:v>
      </x:c>
      <x:c r="H51" s="22" t="n">
        <x:f>100*F51/G51</x:f>
        <x:v>102.08253826598013</x:v>
      </x:c>
      <x:c r="I51" s="24" t="n">
        <x:f>H51/100-1</x:f>
        <x:v>0.020825382659801273</x:v>
      </x:c>
      <x:c r="J51" s="26" t="n">
        <x:v>4</x:v>
      </x:c>
      <x:c r="K51" s="7" t="b">
        <x:v>0</x:v>
      </x:c>
      <x:c r="L51" s="2" t="str">
        <x:v>Aug 10–23, 2026</x:v>
      </x:c>
      <x:c r="M51" s="2" t="str">
        <x:v>https://www.census.gov/hfp/btos/downloads/Sector.xlsx</x:v>
      </x:c>
    </x:row>
    <x:row r="52" ht="24" customHeight="1">
      <x:c r="A52" s="2" t="str">
        <x:v>Census BTOS</x:v>
      </x:c>
      <x:c r="B52" s="2" t="str">
        <x:v>Quartiles</x:v>
      </x:c>
      <x:c r="C52" s="2" t="str">
        <x:v>Q3</x:v>
      </x:c>
      <x:c r="D52" s="28" t="n">
        <x:v>45261</x:v>
      </x:c>
      <x:c r="E52" s="2" t="str">
        <x:v>2023Q4</x:v>
      </x:c>
      <x:c r="F52" s="20" t="n">
        <x:v>46590.9</x:v>
      </x:c>
      <x:c r="G52" s="20" t="n">
        <x:f>'Quarterly data'!$E$8</x:f>
        <x:v>46008.9333333333</x:v>
      </x:c>
      <x:c r="H52" s="22" t="n">
        <x:f>100*F52/G52</x:f>
        <x:v>101.26489928042967</x:v>
      </x:c>
      <x:c r="I52" s="24" t="n">
        <x:f>H52/100-1</x:f>
        <x:v>0.012648992804296766</x:v>
      </x:c>
      <x:c r="J52" s="26" t="n">
        <x:v>4</x:v>
      </x:c>
      <x:c r="K52" s="7" t="b">
        <x:v>0</x:v>
      </x:c>
      <x:c r="L52" s="2" t="str">
        <x:v>Aug 10–23, 2026</x:v>
      </x:c>
      <x:c r="M52" s="2" t="str">
        <x:v>https://www.census.gov/hfp/btos/downloads/Sector.xlsx</x:v>
      </x:c>
    </x:row>
    <x:row r="53" ht="24" customHeight="1">
      <x:c r="A53" s="2" t="str">
        <x:v>Census BTOS</x:v>
      </x:c>
      <x:c r="B53" s="2" t="str">
        <x:v>Quartiles</x:v>
      </x:c>
      <x:c r="C53" s="2" t="str">
        <x:v>Q4</x:v>
      </x:c>
      <x:c r="D53" s="28" t="n">
        <x:v>45261</x:v>
      </x:c>
      <x:c r="E53" s="2" t="str">
        <x:v>2023Q4</x:v>
      </x:c>
      <x:c r="F53" s="20" t="n">
        <x:v>26997.7</x:v>
      </x:c>
      <x:c r="G53" s="20" t="n">
        <x:f>'Quarterly data'!$E$9</x:f>
        <x:v>26865.5666666667</x:v>
      </x:c>
      <x:c r="H53" s="22" t="n">
        <x:f>100*F53/G53</x:f>
        <x:v>100.49183155141576</x:v>
      </x:c>
      <x:c r="I53" s="24" t="n">
        <x:f>H53/100-1</x:f>
        <x:v>0.004918315514157667</x:v>
      </x:c>
      <x:c r="J53" s="26" t="n">
        <x:v>5</x:v>
      </x:c>
      <x:c r="K53" s="7" t="b">
        <x:v>0</x:v>
      </x:c>
      <x:c r="L53" s="2" t="str">
        <x:v>Aug 10–23, 2026</x:v>
      </x:c>
      <x:c r="M53" s="2" t="str">
        <x:v>https://www.census.gov/hfp/btos/downloads/Sector.xlsx</x:v>
      </x:c>
    </x:row>
    <x:row r="54" ht="24" customHeight="1">
      <x:c r="A54" s="2" t="str">
        <x:v>Census BTOS</x:v>
      </x:c>
      <x:c r="B54" s="2" t="str">
        <x:v>Quartiles</x:v>
      </x:c>
      <x:c r="C54" s="2" t="str">
        <x:v>Q1</x:v>
      </x:c>
      <x:c r="D54" s="28" t="n">
        <x:v>45292</x:v>
      </x:c>
      <x:c r="E54" s="2" t="str">
        <x:v>2024Q1</x:v>
      </x:c>
      <x:c r="F54" s="20" t="n">
        <x:v>42721.1</x:v>
      </x:c>
      <x:c r="G54" s="20" t="n">
        <x:f>'Quarterly data'!$E$6</x:f>
        <x:v>42506.2333333333</x:v>
      </x:c>
      <x:c r="H54" s="22" t="n">
        <x:f>100*F54/G54</x:f>
        <x:v>100.50549448825944</x:v>
      </x:c>
      <x:c r="I54" s="24" t="n">
        <x:f>H54/100-1</x:f>
        <x:v>0.005054944882594503</x:v>
      </x:c>
      <x:c r="J54" s="26" t="n">
        <x:v>5</x:v>
      </x:c>
      <x:c r="K54" s="7" t="b">
        <x:v>0</x:v>
      </x:c>
      <x:c r="L54" s="2" t="str">
        <x:v>Aug 10–23, 2026</x:v>
      </x:c>
      <x:c r="M54" s="2" t="str">
        <x:v>https://www.census.gov/hfp/btos/downloads/Sector.xlsx</x:v>
      </x:c>
    </x:row>
    <x:row r="55" ht="24" customHeight="1">
      <x:c r="A55" s="2" t="str">
        <x:v>Census BTOS</x:v>
      </x:c>
      <x:c r="B55" s="2" t="str">
        <x:v>Quartiles</x:v>
      </x:c>
      <x:c r="C55" s="2" t="str">
        <x:v>Q2</x:v>
      </x:c>
      <x:c r="D55" s="28" t="n">
        <x:v>45292</x:v>
      </x:c>
      <x:c r="E55" s="2" t="str">
        <x:v>2024Q1</x:v>
      </x:c>
      <x:c r="F55" s="20" t="n">
        <x:v>17424</x:v>
      </x:c>
      <x:c r="G55" s="20" t="n">
        <x:f>'Quarterly data'!$E$7</x:f>
        <x:v>17032.1</x:v>
      </x:c>
      <x:c r="H55" s="22" t="n">
        <x:f>100*F55/G55</x:f>
        <x:v>102.30094938381058</x:v>
      </x:c>
      <x:c r="I55" s="24" t="n">
        <x:f>H55/100-1</x:f>
        <x:v>0.0230094938381058</x:v>
      </x:c>
      <x:c r="J55" s="26" t="n">
        <x:v>4</x:v>
      </x:c>
      <x:c r="K55" s="7" t="b">
        <x:v>0</x:v>
      </x:c>
      <x:c r="L55" s="2" t="str">
        <x:v>Aug 10–23, 2026</x:v>
      </x:c>
      <x:c r="M55" s="2" t="str">
        <x:v>https://www.census.gov/hfp/btos/downloads/Sector.xlsx</x:v>
      </x:c>
    </x:row>
    <x:row r="56" ht="24" customHeight="1">
      <x:c r="A56" s="2" t="str">
        <x:v>Census BTOS</x:v>
      </x:c>
      <x:c r="B56" s="2" t="str">
        <x:v>Quartiles</x:v>
      </x:c>
      <x:c r="C56" s="2" t="str">
        <x:v>Q3</x:v>
      </x:c>
      <x:c r="D56" s="28" t="n">
        <x:v>45292</x:v>
      </x:c>
      <x:c r="E56" s="2" t="str">
        <x:v>2024Q1</x:v>
      </x:c>
      <x:c r="F56" s="20" t="n">
        <x:v>46682.4</x:v>
      </x:c>
      <x:c r="G56" s="20" t="n">
        <x:f>'Quarterly data'!$E$8</x:f>
        <x:v>46008.9333333333</x:v>
      </x:c>
      <x:c r="H56" s="22" t="n">
        <x:f>100*F56/G56</x:f>
        <x:v>101.46377370191884</x:v>
      </x:c>
      <x:c r="I56" s="24" t="n">
        <x:f>H56/100-1</x:f>
        <x:v>0.014637737019188357</x:v>
      </x:c>
      <x:c r="J56" s="26" t="n">
        <x:v>4</x:v>
      </x:c>
      <x:c r="K56" s="7" t="b">
        <x:v>0</x:v>
      </x:c>
      <x:c r="L56" s="2" t="str">
        <x:v>Aug 10–23, 2026</x:v>
      </x:c>
      <x:c r="M56" s="2" t="str">
        <x:v>https://www.census.gov/hfp/btos/downloads/Sector.xlsx</x:v>
      </x:c>
    </x:row>
    <x:row r="57" ht="24" customHeight="1">
      <x:c r="A57" s="2" t="str">
        <x:v>Census BTOS</x:v>
      </x:c>
      <x:c r="B57" s="2" t="str">
        <x:v>Quartiles</x:v>
      </x:c>
      <x:c r="C57" s="2" t="str">
        <x:v>Q4</x:v>
      </x:c>
      <x:c r="D57" s="28" t="n">
        <x:v>45292</x:v>
      </x:c>
      <x:c r="E57" s="2" t="str">
        <x:v>2024Q1</x:v>
      </x:c>
      <x:c r="F57" s="20" t="n">
        <x:v>27021.2</x:v>
      </x:c>
      <x:c r="G57" s="20" t="n">
        <x:f>'Quarterly data'!$E$9</x:f>
        <x:v>26865.5666666667</x:v>
      </x:c>
      <x:c r="H57" s="22" t="n">
        <x:f>100*F57/G57</x:f>
        <x:v>100.57930411542893</x:v>
      </x:c>
      <x:c r="I57" s="24" t="n">
        <x:f>H57/100-1</x:f>
        <x:v>0.005793041154289247</x:v>
      </x:c>
      <x:c r="J57" s="26" t="n">
        <x:v>5</x:v>
      </x:c>
      <x:c r="K57" s="7" t="b">
        <x:v>0</x:v>
      </x:c>
      <x:c r="L57" s="2" t="str">
        <x:v>Aug 10–23, 2026</x:v>
      </x:c>
      <x:c r="M57" s="2" t="str">
        <x:v>https://www.census.gov/hfp/btos/downloads/Sector.xlsx</x:v>
      </x:c>
    </x:row>
    <x:row r="58" ht="24" customHeight="1">
      <x:c r="A58" s="2" t="str">
        <x:v>Census BTOS</x:v>
      </x:c>
      <x:c r="B58" s="2" t="str">
        <x:v>Quartiles</x:v>
      </x:c>
      <x:c r="C58" s="2" t="str">
        <x:v>Q1</x:v>
      </x:c>
      <x:c r="D58" s="28" t="n">
        <x:v>45323</x:v>
      </x:c>
      <x:c r="E58" s="2" t="str">
        <x:v>2024Q1</x:v>
      </x:c>
      <x:c r="F58" s="20" t="n">
        <x:v>42804.2</x:v>
      </x:c>
      <x:c r="G58" s="20" t="n">
        <x:f>'Quarterly data'!$E$6</x:f>
        <x:v>42506.2333333333</x:v>
      </x:c>
      <x:c r="H58" s="22" t="n">
        <x:f>100*F58/G58</x:f>
        <x:v>100.70099522658253</x:v>
      </x:c>
      <x:c r="I58" s="24" t="n">
        <x:f>H58/100-1</x:f>
        <x:v>0.007009952265825348</x:v>
      </x:c>
      <x:c r="J58" s="26" t="n">
        <x:v>5</x:v>
      </x:c>
      <x:c r="K58" s="7" t="b">
        <x:v>0</x:v>
      </x:c>
      <x:c r="L58" s="2" t="str">
        <x:v>Aug 10–23, 2026</x:v>
      </x:c>
      <x:c r="M58" s="2" t="str">
        <x:v>https://www.census.gov/hfp/btos/downloads/Sector.xlsx</x:v>
      </x:c>
    </x:row>
    <x:row r="59" ht="24" customHeight="1">
      <x:c r="A59" s="2" t="str">
        <x:v>Census BTOS</x:v>
      </x:c>
      <x:c r="B59" s="2" t="str">
        <x:v>Quartiles</x:v>
      </x:c>
      <x:c r="C59" s="2" t="str">
        <x:v>Q2</x:v>
      </x:c>
      <x:c r="D59" s="28" t="n">
        <x:v>45323</x:v>
      </x:c>
      <x:c r="E59" s="2" t="str">
        <x:v>2024Q1</x:v>
      </x:c>
      <x:c r="F59" s="20" t="n">
        <x:v>17431</x:v>
      </x:c>
      <x:c r="G59" s="20" t="n">
        <x:f>'Quarterly data'!$E$7</x:f>
        <x:v>17032.1</x:v>
      </x:c>
      <x:c r="H59" s="22" t="n">
        <x:f>100*F59/G59</x:f>
        <x:v>102.342048250069</x:v>
      </x:c>
      <x:c r="I59" s="24" t="n">
        <x:f>H59/100-1</x:f>
        <x:v>0.023420482500690065</x:v>
      </x:c>
      <x:c r="J59" s="26" t="n">
        <x:v>4</x:v>
      </x:c>
      <x:c r="K59" s="7" t="b">
        <x:v>0</x:v>
      </x:c>
      <x:c r="L59" s="2" t="str">
        <x:v>Aug 10–23, 2026</x:v>
      </x:c>
      <x:c r="M59" s="2" t="str">
        <x:v>https://www.census.gov/hfp/btos/downloads/Sector.xlsx</x:v>
      </x:c>
    </x:row>
    <x:row r="60" ht="24" customHeight="1">
      <x:c r="A60" s="2" t="str">
        <x:v>Census BTOS</x:v>
      </x:c>
      <x:c r="B60" s="2" t="str">
        <x:v>Quartiles</x:v>
      </x:c>
      <x:c r="C60" s="2" t="str">
        <x:v>Q3</x:v>
      </x:c>
      <x:c r="D60" s="28" t="n">
        <x:v>45323</x:v>
      </x:c>
      <x:c r="E60" s="2" t="str">
        <x:v>2024Q1</x:v>
      </x:c>
      <x:c r="F60" s="20" t="n">
        <x:v>46734.5</x:v>
      </x:c>
      <x:c r="G60" s="20" t="n">
        <x:f>'Quarterly data'!$E$8</x:f>
        <x:v>46008.9333333333</x:v>
      </x:c>
      <x:c r="H60" s="22" t="n">
        <x:f>100*F60/G60</x:f>
        <x:v>101.57701258016567</x:v>
      </x:c>
      <x:c r="I60" s="24" t="n">
        <x:f>H60/100-1</x:f>
        <x:v>0.01577012580165671</x:v>
      </x:c>
      <x:c r="J60" s="26" t="n">
        <x:v>4</x:v>
      </x:c>
      <x:c r="K60" s="7" t="b">
        <x:v>0</x:v>
      </x:c>
      <x:c r="L60" s="2" t="str">
        <x:v>Aug 10–23, 2026</x:v>
      </x:c>
      <x:c r="M60" s="2" t="str">
        <x:v>https://www.census.gov/hfp/btos/downloads/Sector.xlsx</x:v>
      </x:c>
    </x:row>
    <x:row r="61" ht="24" customHeight="1">
      <x:c r="A61" s="2" t="str">
        <x:v>Census BTOS</x:v>
      </x:c>
      <x:c r="B61" s="2" t="str">
        <x:v>Quartiles</x:v>
      </x:c>
      <x:c r="C61" s="2" t="str">
        <x:v>Q4</x:v>
      </x:c>
      <x:c r="D61" s="28" t="n">
        <x:v>45323</x:v>
      </x:c>
      <x:c r="E61" s="2" t="str">
        <x:v>2024Q1</x:v>
      </x:c>
      <x:c r="F61" s="20" t="n">
        <x:v>27014.6</x:v>
      </x:c>
      <x:c r="G61" s="20" t="n">
        <x:f>'Quarterly data'!$E$9</x:f>
        <x:v>26865.5666666667</x:v>
      </x:c>
      <x:c r="H61" s="22" t="n">
        <x:f>100*F61/G61</x:f>
        <x:v>100.5547373527699</x:v>
      </x:c>
      <x:c r="I61" s="24" t="n">
        <x:f>H61/100-1</x:f>
        <x:v>0.005547373527698962</x:v>
      </x:c>
      <x:c r="J61" s="26" t="n">
        <x:v>5</x:v>
      </x:c>
      <x:c r="K61" s="7" t="b">
        <x:v>0</x:v>
      </x:c>
      <x:c r="L61" s="2" t="str">
        <x:v>Aug 10–23, 2026</x:v>
      </x:c>
      <x:c r="M61" s="2" t="str">
        <x:v>https://www.census.gov/hfp/btos/downloads/Sector.xlsx</x:v>
      </x:c>
    </x:row>
    <x:row r="62" ht="24" customHeight="1">
      <x:c r="A62" s="2" t="str">
        <x:v>Census BTOS</x:v>
      </x:c>
      <x:c r="B62" s="2" t="str">
        <x:v>Quartiles</x:v>
      </x:c>
      <x:c r="C62" s="2" t="str">
        <x:v>Q1</x:v>
      </x:c>
      <x:c r="D62" s="28" t="n">
        <x:v>45352</x:v>
      </x:c>
      <x:c r="E62" s="2" t="str">
        <x:v>2024Q1</x:v>
      </x:c>
      <x:c r="F62" s="20" t="n">
        <x:v>42849.7</x:v>
      </x:c>
      <x:c r="G62" s="20" t="n">
        <x:f>'Quarterly data'!$E$6</x:f>
        <x:v>42506.2333333333</x:v>
      </x:c>
      <x:c r="H62" s="22" t="n">
        <x:f>100*F62/G62</x:f>
        <x:v>100.80803835045377</x:v>
      </x:c>
      <x:c r="I62" s="24" t="n">
        <x:f>H62/100-1</x:f>
        <x:v>0.00808038350453777</x:v>
      </x:c>
      <x:c r="J62" s="26" t="n">
        <x:v>5</x:v>
      </x:c>
      <x:c r="K62" s="7" t="b">
        <x:v>0</x:v>
      </x:c>
      <x:c r="L62" s="2" t="str">
        <x:v>Aug 10–23, 2026</x:v>
      </x:c>
      <x:c r="M62" s="2" t="str">
        <x:v>https://www.census.gov/hfp/btos/downloads/Sector.xlsx</x:v>
      </x:c>
    </x:row>
    <x:row r="63" ht="24" customHeight="1">
      <x:c r="A63" s="2" t="str">
        <x:v>Census BTOS</x:v>
      </x:c>
      <x:c r="B63" s="2" t="str">
        <x:v>Quartiles</x:v>
      </x:c>
      <x:c r="C63" s="2" t="str">
        <x:v>Q2</x:v>
      </x:c>
      <x:c r="D63" s="28" t="n">
        <x:v>45352</x:v>
      </x:c>
      <x:c r="E63" s="2" t="str">
        <x:v>2024Q1</x:v>
      </x:c>
      <x:c r="F63" s="20" t="n">
        <x:v>17486.2</x:v>
      </x:c>
      <x:c r="G63" s="20" t="n">
        <x:f>'Quarterly data'!$E$7</x:f>
        <x:v>17032.1</x:v>
      </x:c>
      <x:c r="H63" s="22" t="n">
        <x:f>100*F63/G63</x:f>
        <x:v>102.66614216684967</x:v>
      </x:c>
      <x:c r="I63" s="24" t="n">
        <x:f>H63/100-1</x:f>
        <x:v>0.02666142166849661</x:v>
      </x:c>
      <x:c r="J63" s="26" t="n">
        <x:v>4</x:v>
      </x:c>
      <x:c r="K63" s="7" t="b">
        <x:v>0</x:v>
      </x:c>
      <x:c r="L63" s="2" t="str">
        <x:v>Aug 10–23, 2026</x:v>
      </x:c>
      <x:c r="M63" s="2" t="str">
        <x:v>https://www.census.gov/hfp/btos/downloads/Sector.xlsx</x:v>
      </x:c>
    </x:row>
    <x:row r="64" ht="24" customHeight="1">
      <x:c r="A64" s="2" t="str">
        <x:v>Census BTOS</x:v>
      </x:c>
      <x:c r="B64" s="2" t="str">
        <x:v>Quartiles</x:v>
      </x:c>
      <x:c r="C64" s="2" t="str">
        <x:v>Q3</x:v>
      </x:c>
      <x:c r="D64" s="28" t="n">
        <x:v>45352</x:v>
      </x:c>
      <x:c r="E64" s="2" t="str">
        <x:v>2024Q1</x:v>
      </x:c>
      <x:c r="F64" s="20" t="n">
        <x:v>46799.9</x:v>
      </x:c>
      <x:c r="G64" s="20" t="n">
        <x:f>'Quarterly data'!$E$8</x:f>
        <x:v>46008.9333333333</x:v>
      </x:c>
      <x:c r="H64" s="22" t="n">
        <x:f>100*F64/G64</x:f>
        <x:v>101.71915888798415</x:v>
      </x:c>
      <x:c r="I64" s="24" t="n">
        <x:f>H64/100-1</x:f>
        <x:v>0.017191588879841513</x:v>
      </x:c>
      <x:c r="J64" s="26" t="n">
        <x:v>4</x:v>
      </x:c>
      <x:c r="K64" s="7" t="b">
        <x:v>0</x:v>
      </x:c>
      <x:c r="L64" s="2" t="str">
        <x:v>Aug 10–23, 2026</x:v>
      </x:c>
      <x:c r="M64" s="2" t="str">
        <x:v>https://www.census.gov/hfp/btos/downloads/Sector.xlsx</x:v>
      </x:c>
    </x:row>
    <x:row r="65" ht="24" customHeight="1">
      <x:c r="A65" s="2" t="str">
        <x:v>Census BTOS</x:v>
      </x:c>
      <x:c r="B65" s="2" t="str">
        <x:v>Quartiles</x:v>
      </x:c>
      <x:c r="C65" s="2" t="str">
        <x:v>Q4</x:v>
      </x:c>
      <x:c r="D65" s="28" t="n">
        <x:v>45352</x:v>
      </x:c>
      <x:c r="E65" s="2" t="str">
        <x:v>2024Q1</x:v>
      </x:c>
      <x:c r="F65" s="20" t="n">
        <x:v>26992.2</x:v>
      </x:c>
      <x:c r="G65" s="20" t="n">
        <x:f>'Quarterly data'!$E$9</x:f>
        <x:v>26865.5666666667</x:v>
      </x:c>
      <x:c r="H65" s="22" t="n">
        <x:f>100*F65/G65</x:f>
        <x:v>100.4713592491999</x:v>
      </x:c>
      <x:c r="I65" s="24" t="n">
        <x:f>H65/100-1</x:f>
        <x:v>0.004713592491998986</x:v>
      </x:c>
      <x:c r="J65" s="26" t="n">
        <x:v>5</x:v>
      </x:c>
      <x:c r="K65" s="7" t="b">
        <x:v>0</x:v>
      </x:c>
      <x:c r="L65" s="2" t="str">
        <x:v>Aug 10–23, 2026</x:v>
      </x:c>
      <x:c r="M65" s="2" t="str">
        <x:v>https://www.census.gov/hfp/btos/downloads/Sector.xlsx</x:v>
      </x:c>
    </x:row>
    <x:row r="66" ht="24" customHeight="1">
      <x:c r="A66" s="2" t="str">
        <x:v>Census BTOS</x:v>
      </x:c>
      <x:c r="B66" s="2" t="str">
        <x:v>Quartiles</x:v>
      </x:c>
      <x:c r="C66" s="2" t="str">
        <x:v>Q1</x:v>
      </x:c>
      <x:c r="D66" s="28" t="n">
        <x:v>45383</x:v>
      </x:c>
      <x:c r="E66" s="2" t="str">
        <x:v>2024Q2</x:v>
      </x:c>
      <x:c r="F66" s="20" t="n">
        <x:v>42852.2</x:v>
      </x:c>
      <x:c r="G66" s="20" t="n">
        <x:f>'Quarterly data'!$E$6</x:f>
        <x:v>42506.2333333333</x:v>
      </x:c>
      <x:c r="H66" s="22" t="n">
        <x:f>100*F66/G66</x:f>
        <x:v>100.81391984077636</x:v>
      </x:c>
      <x:c r="I66" s="24" t="n">
        <x:f>H66/100-1</x:f>
        <x:v>0.00813919840776367</x:v>
      </x:c>
      <x:c r="J66" s="26" t="n">
        <x:v>5</x:v>
      </x:c>
      <x:c r="K66" s="7" t="b">
        <x:v>0</x:v>
      </x:c>
      <x:c r="L66" s="2" t="str">
        <x:v>Aug 10–23, 2026</x:v>
      </x:c>
      <x:c r="M66" s="2" t="str">
        <x:v>https://www.census.gov/hfp/btos/downloads/Sector.xlsx</x:v>
      </x:c>
    </x:row>
    <x:row r="67" ht="24" customHeight="1">
      <x:c r="A67" s="2" t="str">
        <x:v>Census BTOS</x:v>
      </x:c>
      <x:c r="B67" s="2" t="str">
        <x:v>Quartiles</x:v>
      </x:c>
      <x:c r="C67" s="2" t="str">
        <x:v>Q2</x:v>
      </x:c>
      <x:c r="D67" s="28" t="n">
        <x:v>45383</x:v>
      </x:c>
      <x:c r="E67" s="2" t="str">
        <x:v>2024Q2</x:v>
      </x:c>
      <x:c r="F67" s="20" t="n">
        <x:v>17493.3</x:v>
      </x:c>
      <x:c r="G67" s="20" t="n">
        <x:f>'Quarterly data'!$E$7</x:f>
        <x:v>17032.1</x:v>
      </x:c>
      <x:c r="H67" s="22" t="n">
        <x:f>100*F67/G67</x:f>
        <x:v>102.70782815976892</x:v>
      </x:c>
      <x:c r="I67" s="24" t="n">
        <x:f>H67/100-1</x:f>
        <x:v>0.027078281597689324</x:v>
      </x:c>
      <x:c r="J67" s="26" t="n">
        <x:v>4</x:v>
      </x:c>
      <x:c r="K67" s="7" t="b">
        <x:v>0</x:v>
      </x:c>
      <x:c r="L67" s="2" t="str">
        <x:v>Aug 10–23, 2026</x:v>
      </x:c>
      <x:c r="M67" s="2" t="str">
        <x:v>https://www.census.gov/hfp/btos/downloads/Sector.xlsx</x:v>
      </x:c>
    </x:row>
    <x:row r="68" ht="24" customHeight="1">
      <x:c r="A68" s="2" t="str">
        <x:v>Census BTOS</x:v>
      </x:c>
      <x:c r="B68" s="2" t="str">
        <x:v>Quartiles</x:v>
      </x:c>
      <x:c r="C68" s="2" t="str">
        <x:v>Q3</x:v>
      </x:c>
      <x:c r="D68" s="28" t="n">
        <x:v>45383</x:v>
      </x:c>
      <x:c r="E68" s="2" t="str">
        <x:v>2024Q2</x:v>
      </x:c>
      <x:c r="F68" s="20" t="n">
        <x:v>46855.2</x:v>
      </x:c>
      <x:c r="G68" s="20" t="n">
        <x:f>'Quarterly data'!$E$8</x:f>
        <x:v>46008.9333333333</x:v>
      </x:c>
      <x:c r="H68" s="22" t="n">
        <x:f>100*F68/G68</x:f>
        <x:v>101.83935293725574</x:v>
      </x:c>
      <x:c r="I68" s="24" t="n">
        <x:f>H68/100-1</x:f>
        <x:v>0.01839352937255745</x:v>
      </x:c>
      <x:c r="J68" s="26" t="n">
        <x:v>4</x:v>
      </x:c>
      <x:c r="K68" s="7" t="b">
        <x:v>0</x:v>
      </x:c>
      <x:c r="L68" s="2" t="str">
        <x:v>Aug 10–23, 2026</x:v>
      </x:c>
      <x:c r="M68" s="2" t="str">
        <x:v>https://www.census.gov/hfp/btos/downloads/Sector.xlsx</x:v>
      </x:c>
    </x:row>
    <x:row r="69" ht="24" customHeight="1">
      <x:c r="A69" s="2" t="str">
        <x:v>Census BTOS</x:v>
      </x:c>
      <x:c r="B69" s="2" t="str">
        <x:v>Quartiles</x:v>
      </x:c>
      <x:c r="C69" s="2" t="str">
        <x:v>Q4</x:v>
      </x:c>
      <x:c r="D69" s="28" t="n">
        <x:v>45383</x:v>
      </x:c>
      <x:c r="E69" s="2" t="str">
        <x:v>2024Q2</x:v>
      </x:c>
      <x:c r="F69" s="20" t="n">
        <x:v>26991.2</x:v>
      </x:c>
      <x:c r="G69" s="20" t="n">
        <x:f>'Quarterly data'!$E$9</x:f>
        <x:v>26865.5666666667</x:v>
      </x:c>
      <x:c r="H69" s="22" t="n">
        <x:f>100*F69/G69</x:f>
        <x:v>100.46763701243339</x:v>
      </x:c>
      <x:c r="I69" s="24" t="n">
        <x:f>H69/100-1</x:f>
        <x:v>0.004676370124333751</x:v>
      </x:c>
      <x:c r="J69" s="26" t="n">
        <x:v>5</x:v>
      </x:c>
      <x:c r="K69" s="7" t="b">
        <x:v>0</x:v>
      </x:c>
      <x:c r="L69" s="2" t="str">
        <x:v>Aug 10–23, 2026</x:v>
      </x:c>
      <x:c r="M69" s="2" t="str">
        <x:v>https://www.census.gov/hfp/btos/downloads/Sector.xlsx</x:v>
      </x:c>
    </x:row>
    <x:row r="70" ht="24" customHeight="1">
      <x:c r="A70" s="2" t="str">
        <x:v>Census BTOS</x:v>
      </x:c>
      <x:c r="B70" s="2" t="str">
        <x:v>Quartiles</x:v>
      </x:c>
      <x:c r="C70" s="2" t="str">
        <x:v>Q1</x:v>
      </x:c>
      <x:c r="D70" s="28" t="n">
        <x:v>45413</x:v>
      </x:c>
      <x:c r="E70" s="2" t="str">
        <x:v>2024Q2</x:v>
      </x:c>
      <x:c r="F70" s="20" t="n">
        <x:v>42833.1</x:v>
      </x:c>
      <x:c r="G70" s="20" t="n">
        <x:f>'Quarterly data'!$E$6</x:f>
        <x:v>42506.2333333333</x:v>
      </x:c>
      <x:c r="H70" s="22" t="n">
        <x:f>100*F70/G70</x:f>
        <x:v>100.76898525471174</x:v>
      </x:c>
      <x:c r="I70" s="24" t="n">
        <x:f>H70/100-1</x:f>
        <x:v>0.007689852547117404</x:v>
      </x:c>
      <x:c r="J70" s="26" t="n">
        <x:v>5</x:v>
      </x:c>
      <x:c r="K70" s="7" t="b">
        <x:v>0</x:v>
      </x:c>
      <x:c r="L70" s="2" t="str">
        <x:v>Aug 10–23, 2026</x:v>
      </x:c>
      <x:c r="M70" s="2" t="str">
        <x:v>https://www.census.gov/hfp/btos/downloads/Sector.xlsx</x:v>
      </x:c>
    </x:row>
    <x:row r="71" ht="24" customHeight="1">
      <x:c r="A71" s="2" t="str">
        <x:v>Census BTOS</x:v>
      </x:c>
      <x:c r="B71" s="2" t="str">
        <x:v>Quartiles</x:v>
      </x:c>
      <x:c r="C71" s="2" t="str">
        <x:v>Q2</x:v>
      </x:c>
      <x:c r="D71" s="28" t="n">
        <x:v>45413</x:v>
      </x:c>
      <x:c r="E71" s="2" t="str">
        <x:v>2024Q2</x:v>
      </x:c>
      <x:c r="F71" s="20" t="n">
        <x:v>17487.2</x:v>
      </x:c>
      <x:c r="G71" s="20" t="n">
        <x:f>'Quarterly data'!$E$7</x:f>
        <x:v>17032.1</x:v>
      </x:c>
      <x:c r="H71" s="22" t="n">
        <x:f>100*F71/G71</x:f>
        <x:v>102.672013433458</x:v>
      </x:c>
      <x:c r="I71" s="24" t="n">
        <x:f>H71/100-1</x:f>
        <x:v>0.02672013433457998</x:v>
      </x:c>
      <x:c r="J71" s="26" t="n">
        <x:v>4</x:v>
      </x:c>
      <x:c r="K71" s="7" t="b">
        <x:v>0</x:v>
      </x:c>
      <x:c r="L71" s="2" t="str">
        <x:v>Aug 10–23, 2026</x:v>
      </x:c>
      <x:c r="M71" s="2" t="str">
        <x:v>https://www.census.gov/hfp/btos/downloads/Sector.xlsx</x:v>
      </x:c>
    </x:row>
    <x:row r="72" ht="24" customHeight="1">
      <x:c r="A72" s="2" t="str">
        <x:v>Census BTOS</x:v>
      </x:c>
      <x:c r="B72" s="2" t="str">
        <x:v>Quartiles</x:v>
      </x:c>
      <x:c r="C72" s="2" t="str">
        <x:v>Q3</x:v>
      </x:c>
      <x:c r="D72" s="28" t="n">
        <x:v>45413</x:v>
      </x:c>
      <x:c r="E72" s="2" t="str">
        <x:v>2024Q2</x:v>
      </x:c>
      <x:c r="F72" s="20" t="n">
        <x:v>46905.3</x:v>
      </x:c>
      <x:c r="G72" s="20" t="n">
        <x:f>'Quarterly data'!$E$8</x:f>
        <x:v>46008.9333333333</x:v>
      </x:c>
      <x:c r="H72" s="22" t="n">
        <x:f>100*F72/G72</x:f>
        <x:v>101.94824483361211</x:v>
      </x:c>
      <x:c r="I72" s="24" t="n">
        <x:f>H72/100-1</x:f>
        <x:v>0.019482448336121116</x:v>
      </x:c>
      <x:c r="J72" s="26" t="n">
        <x:v>4</x:v>
      </x:c>
      <x:c r="K72" s="7" t="b">
        <x:v>0</x:v>
      </x:c>
      <x:c r="L72" s="2" t="str">
        <x:v>Aug 10–23, 2026</x:v>
      </x:c>
      <x:c r="M72" s="2" t="str">
        <x:v>https://www.census.gov/hfp/btos/downloads/Sector.xlsx</x:v>
      </x:c>
    </x:row>
    <x:row r="73" ht="24" customHeight="1">
      <x:c r="A73" s="2" t="str">
        <x:v>Census BTOS</x:v>
      </x:c>
      <x:c r="B73" s="2" t="str">
        <x:v>Quartiles</x:v>
      </x:c>
      <x:c r="C73" s="2" t="str">
        <x:v>Q4</x:v>
      </x:c>
      <x:c r="D73" s="28" t="n">
        <x:v>45413</x:v>
      </x:c>
      <x:c r="E73" s="2" t="str">
        <x:v>2024Q2</x:v>
      </x:c>
      <x:c r="F73" s="20" t="n">
        <x:v>27012.9</x:v>
      </x:c>
      <x:c r="G73" s="20" t="n">
        <x:f>'Quarterly data'!$E$9</x:f>
        <x:v>26865.5666666667</x:v>
      </x:c>
      <x:c r="H73" s="22" t="n">
        <x:f>100*F73/G73</x:f>
        <x:v>100.54840955026683</x:v>
      </x:c>
      <x:c r="I73" s="24" t="n">
        <x:f>H73/100-1</x:f>
        <x:v>0.0054840955026682625</x:v>
      </x:c>
      <x:c r="J73" s="26" t="n">
        <x:v>5</x:v>
      </x:c>
      <x:c r="K73" s="7" t="b">
        <x:v>0</x:v>
      </x:c>
      <x:c r="L73" s="2" t="str">
        <x:v>Aug 10–23, 2026</x:v>
      </x:c>
      <x:c r="M73" s="2" t="str">
        <x:v>https://www.census.gov/hfp/btos/downloads/Sector.xlsx</x:v>
      </x:c>
    </x:row>
    <x:row r="74" ht="24" customHeight="1">
      <x:c r="A74" s="2" t="str">
        <x:v>Census BTOS</x:v>
      </x:c>
      <x:c r="B74" s="2" t="str">
        <x:v>Quartiles</x:v>
      </x:c>
      <x:c r="C74" s="2" t="str">
        <x:v>Q1</x:v>
      </x:c>
      <x:c r="D74" s="28" t="n">
        <x:v>45444</x:v>
      </x:c>
      <x:c r="E74" s="2" t="str">
        <x:v>2024Q2</x:v>
      </x:c>
      <x:c r="F74" s="20" t="n">
        <x:v>42816.4</x:v>
      </x:c>
      <x:c r="G74" s="20" t="n">
        <x:f>'Quarterly data'!$E$6</x:f>
        <x:v>42506.2333333333</x:v>
      </x:c>
      <x:c r="H74" s="22" t="n">
        <x:f>100*F74/G74</x:f>
        <x:v>100.7296968993568</x:v>
      </x:c>
      <x:c r="I74" s="24" t="n">
        <x:f>H74/100-1</x:f>
        <x:v>0.00729696899356802</x:v>
      </x:c>
      <x:c r="J74" s="26" t="n">
        <x:v>5</x:v>
      </x:c>
      <x:c r="K74" s="7" t="b">
        <x:v>0</x:v>
      </x:c>
      <x:c r="L74" s="2" t="str">
        <x:v>Aug 10–23, 2026</x:v>
      </x:c>
      <x:c r="M74" s="2" t="str">
        <x:v>https://www.census.gov/hfp/btos/downloads/Sector.xlsx</x:v>
      </x:c>
    </x:row>
    <x:row r="75" ht="24" customHeight="1">
      <x:c r="A75" s="2" t="str">
        <x:v>Census BTOS</x:v>
      </x:c>
      <x:c r="B75" s="2" t="str">
        <x:v>Quartiles</x:v>
      </x:c>
      <x:c r="C75" s="2" t="str">
        <x:v>Q2</x:v>
      </x:c>
      <x:c r="D75" s="28" t="n">
        <x:v>45444</x:v>
      </x:c>
      <x:c r="E75" s="2" t="str">
        <x:v>2024Q2</x:v>
      </x:c>
      <x:c r="F75" s="20" t="n">
        <x:v>17517.7</x:v>
      </x:c>
      <x:c r="G75" s="20" t="n">
        <x:f>'Quarterly data'!$E$7</x:f>
        <x:v>17032.1</x:v>
      </x:c>
      <x:c r="H75" s="22" t="n">
        <x:f>100*F75/G75</x:f>
        <x:v>102.85108706501255</x:v>
      </x:c>
      <x:c r="I75" s="24" t="n">
        <x:f>H75/100-1</x:f>
        <x:v>0.028510870650125586</x:v>
      </x:c>
      <x:c r="J75" s="26" t="n">
        <x:v>4</x:v>
      </x:c>
      <x:c r="K75" s="7" t="b">
        <x:v>0</x:v>
      </x:c>
      <x:c r="L75" s="2" t="str">
        <x:v>Aug 10–23, 2026</x:v>
      </x:c>
      <x:c r="M75" s="2" t="str">
        <x:v>https://www.census.gov/hfp/btos/downloads/Sector.xlsx</x:v>
      </x:c>
    </x:row>
    <x:row r="76" ht="24" customHeight="1">
      <x:c r="A76" s="2" t="str">
        <x:v>Census BTOS</x:v>
      </x:c>
      <x:c r="B76" s="2" t="str">
        <x:v>Quartiles</x:v>
      </x:c>
      <x:c r="C76" s="2" t="str">
        <x:v>Q3</x:v>
      </x:c>
      <x:c r="D76" s="28" t="n">
        <x:v>45444</x:v>
      </x:c>
      <x:c r="E76" s="2" t="str">
        <x:v>2024Q2</x:v>
      </x:c>
      <x:c r="F76" s="20" t="n">
        <x:v>46929.7</x:v>
      </x:c>
      <x:c r="G76" s="20" t="n">
        <x:f>'Quarterly data'!$E$8</x:f>
        <x:v>46008.9333333333</x:v>
      </x:c>
      <x:c r="H76" s="22" t="n">
        <x:f>100*F76/G76</x:f>
        <x:v>102.00127801267588</x:v>
      </x:c>
      <x:c r="I76" s="24" t="n">
        <x:f>H76/100-1</x:f>
        <x:v>0.02001278012675889</x:v>
      </x:c>
      <x:c r="J76" s="26" t="n">
        <x:v>4</x:v>
      </x:c>
      <x:c r="K76" s="7" t="b">
        <x:v>0</x:v>
      </x:c>
      <x:c r="L76" s="2" t="str">
        <x:v>Aug 10–23, 2026</x:v>
      </x:c>
      <x:c r="M76" s="2" t="str">
        <x:v>https://www.census.gov/hfp/btos/downloads/Sector.xlsx</x:v>
      </x:c>
    </x:row>
    <x:row r="77" ht="24" customHeight="1">
      <x:c r="A77" s="2" t="str">
        <x:v>Census BTOS</x:v>
      </x:c>
      <x:c r="B77" s="2" t="str">
        <x:v>Quartiles</x:v>
      </x:c>
      <x:c r="C77" s="2" t="str">
        <x:v>Q4</x:v>
      </x:c>
      <x:c r="D77" s="28" t="n">
        <x:v>45444</x:v>
      </x:c>
      <x:c r="E77" s="2" t="str">
        <x:v>2024Q2</x:v>
      </x:c>
      <x:c r="F77" s="20" t="n">
        <x:v>27053.4</x:v>
      </x:c>
      <x:c r="G77" s="20" t="n">
        <x:f>'Quarterly data'!$E$9</x:f>
        <x:v>26865.5666666667</x:v>
      </x:c>
      <x:c r="H77" s="22" t="n">
        <x:f>100*F77/G77</x:f>
        <x:v>100.69916013931079</x:v>
      </x:c>
      <x:c r="I77" s="24" t="n">
        <x:f>H77/100-1</x:f>
        <x:v>0.006991601393107949</x:v>
      </x:c>
      <x:c r="J77" s="26" t="n">
        <x:v>5</x:v>
      </x:c>
      <x:c r="K77" s="7" t="b">
        <x:v>0</x:v>
      </x:c>
      <x:c r="L77" s="2" t="str">
        <x:v>Aug 10–23, 2026</x:v>
      </x:c>
      <x:c r="M77" s="2" t="str">
        <x:v>https://www.census.gov/hfp/btos/downloads/Sector.xlsx</x:v>
      </x:c>
    </x:row>
    <x:row r="78" ht="24" customHeight="1">
      <x:c r="A78" s="2" t="str">
        <x:v>Census BTOS</x:v>
      </x:c>
      <x:c r="B78" s="2" t="str">
        <x:v>Quartiles</x:v>
      </x:c>
      <x:c r="C78" s="2" t="str">
        <x:v>Q1</x:v>
      </x:c>
      <x:c r="D78" s="28" t="n">
        <x:v>45474</x:v>
      </x:c>
      <x:c r="E78" s="2" t="str">
        <x:v>2024Q3</x:v>
      </x:c>
      <x:c r="F78" s="20" t="n">
        <x:v>42796.6</x:v>
      </x:c>
      <x:c r="G78" s="20" t="n">
        <x:f>'Quarterly data'!$E$6</x:f>
        <x:v>42506.2333333333</x:v>
      </x:c>
      <x:c r="H78" s="22" t="n">
        <x:f>100*F78/G78</x:f>
        <x:v>100.68311549600185</x:v>
      </x:c>
      <x:c r="I78" s="24" t="n">
        <x:f>H78/100-1</x:f>
        <x:v>0.006831154960018404</x:v>
      </x:c>
      <x:c r="J78" s="26" t="n">
        <x:v>5</x:v>
      </x:c>
      <x:c r="K78" s="7" t="b">
        <x:v>0</x:v>
      </x:c>
      <x:c r="L78" s="2" t="str">
        <x:v>Aug 10–23, 2026</x:v>
      </x:c>
      <x:c r="M78" s="2" t="str">
        <x:v>https://www.census.gov/hfp/btos/downloads/Sector.xlsx</x:v>
      </x:c>
    </x:row>
    <x:row r="79" ht="24" customHeight="1">
      <x:c r="A79" s="2" t="str">
        <x:v>Census BTOS</x:v>
      </x:c>
      <x:c r="B79" s="2" t="str">
        <x:v>Quartiles</x:v>
      </x:c>
      <x:c r="C79" s="2" t="str">
        <x:v>Q2</x:v>
      </x:c>
      <x:c r="D79" s="28" t="n">
        <x:v>45474</x:v>
      </x:c>
      <x:c r="E79" s="2" t="str">
        <x:v>2024Q3</x:v>
      </x:c>
      <x:c r="F79" s="20" t="n">
        <x:v>17535</x:v>
      </x:c>
      <x:c r="G79" s="20" t="n">
        <x:f>'Quarterly data'!$E$7</x:f>
        <x:v>17032.1</x:v>
      </x:c>
      <x:c r="H79" s="22" t="n">
        <x:f>100*F79/G79</x:f>
        <x:v>102.95265997733692</x:v>
      </x:c>
      <x:c r="I79" s="24" t="n">
        <x:f>H79/100-1</x:f>
        <x:v>0.029526599773369133</x:v>
      </x:c>
      <x:c r="J79" s="26" t="n">
        <x:v>4</x:v>
      </x:c>
      <x:c r="K79" s="7" t="b">
        <x:v>0</x:v>
      </x:c>
      <x:c r="L79" s="2" t="str">
        <x:v>Aug 10–23, 2026</x:v>
      </x:c>
      <x:c r="M79" s="2" t="str">
        <x:v>https://www.census.gov/hfp/btos/downloads/Sector.xlsx</x:v>
      </x:c>
    </x:row>
    <x:row r="80" ht="24" customHeight="1">
      <x:c r="A80" s="2" t="str">
        <x:v>Census BTOS</x:v>
      </x:c>
      <x:c r="B80" s="2" t="str">
        <x:v>Quartiles</x:v>
      </x:c>
      <x:c r="C80" s="2" t="str">
        <x:v>Q3</x:v>
      </x:c>
      <x:c r="D80" s="28" t="n">
        <x:v>45474</x:v>
      </x:c>
      <x:c r="E80" s="2" t="str">
        <x:v>2024Q3</x:v>
      </x:c>
      <x:c r="F80" s="20" t="n">
        <x:v>46958.9</x:v>
      </x:c>
      <x:c r="G80" s="20" t="n">
        <x:f>'Quarterly data'!$E$8</x:f>
        <x:v>46008.9333333333</x:v>
      </x:c>
      <x:c r="H80" s="22" t="n">
        <x:f>100*F80/G80</x:f>
        <x:v>102.06474394827679</x:v>
      </x:c>
      <x:c r="I80" s="24" t="n">
        <x:f>H80/100-1</x:f>
        <x:v>0.020647439482767815</x:v>
      </x:c>
      <x:c r="J80" s="26" t="n">
        <x:v>4</x:v>
      </x:c>
      <x:c r="K80" s="7" t="b">
        <x:v>0</x:v>
      </x:c>
      <x:c r="L80" s="2" t="str">
        <x:v>Aug 10–23, 2026</x:v>
      </x:c>
      <x:c r="M80" s="2" t="str">
        <x:v>https://www.census.gov/hfp/btos/downloads/Sector.xlsx</x:v>
      </x:c>
    </x:row>
    <x:row r="81" ht="24" customHeight="1">
      <x:c r="A81" s="2" t="str">
        <x:v>Census BTOS</x:v>
      </x:c>
      <x:c r="B81" s="2" t="str">
        <x:v>Quartiles</x:v>
      </x:c>
      <x:c r="C81" s="2" t="str">
        <x:v>Q4</x:v>
      </x:c>
      <x:c r="D81" s="28" t="n">
        <x:v>45474</x:v>
      </x:c>
      <x:c r="E81" s="2" t="str">
        <x:v>2024Q3</x:v>
      </x:c>
      <x:c r="F81" s="20" t="n">
        <x:v>27017.5</x:v>
      </x:c>
      <x:c r="G81" s="20" t="n">
        <x:f>'Quarterly data'!$E$9</x:f>
        <x:v>26865.5666666667</x:v>
      </x:c>
      <x:c r="H81" s="22" t="n">
        <x:f>100*F81/G81</x:f>
        <x:v>100.5655318393928</x:v>
      </x:c>
      <x:c r="I81" s="24" t="n">
        <x:f>H81/100-1</x:f>
        <x:v>0.005655318393928077</x:v>
      </x:c>
      <x:c r="J81" s="26" t="n">
        <x:v>5</x:v>
      </x:c>
      <x:c r="K81" s="7" t="b">
        <x:v>0</x:v>
      </x:c>
      <x:c r="L81" s="2" t="str">
        <x:v>Aug 10–23, 2026</x:v>
      </x:c>
      <x:c r="M81" s="2" t="str">
        <x:v>https://www.census.gov/hfp/btos/downloads/Sector.xlsx</x:v>
      </x:c>
    </x:row>
    <x:row r="82" ht="24" customHeight="1">
      <x:c r="A82" s="2" t="str">
        <x:v>Census BTOS</x:v>
      </x:c>
      <x:c r="B82" s="2" t="str">
        <x:v>Quartiles</x:v>
      </x:c>
      <x:c r="C82" s="2" t="str">
        <x:v>Q1</x:v>
      </x:c>
      <x:c r="D82" s="28" t="n">
        <x:v>45505</x:v>
      </x:c>
      <x:c r="E82" s="2" t="str">
        <x:v>2024Q3</x:v>
      </x:c>
      <x:c r="F82" s="20" t="n">
        <x:v>42753.7</x:v>
      </x:c>
      <x:c r="G82" s="20" t="n">
        <x:f>'Quarterly data'!$E$6</x:f>
        <x:v>42506.2333333333</x:v>
      </x:c>
      <x:c r="H82" s="22" t="n">
        <x:f>100*F82/G82</x:f>
        <x:v>100.5821891220661</x:v>
      </x:c>
      <x:c r="I82" s="24" t="n">
        <x:f>H82/100-1</x:f>
        <x:v>0.005821891220660902</x:v>
      </x:c>
      <x:c r="J82" s="26" t="n">
        <x:v>5</x:v>
      </x:c>
      <x:c r="K82" s="7" t="b">
        <x:v>0</x:v>
      </x:c>
      <x:c r="L82" s="2" t="str">
        <x:v>Aug 10–23, 2026</x:v>
      </x:c>
      <x:c r="M82" s="2" t="str">
        <x:v>https://www.census.gov/hfp/btos/downloads/Sector.xlsx</x:v>
      </x:c>
    </x:row>
    <x:row r="83" ht="24" customHeight="1">
      <x:c r="A83" s="2" t="str">
        <x:v>Census BTOS</x:v>
      </x:c>
      <x:c r="B83" s="2" t="str">
        <x:v>Quartiles</x:v>
      </x:c>
      <x:c r="C83" s="2" t="str">
        <x:v>Q2</x:v>
      </x:c>
      <x:c r="D83" s="28" t="n">
        <x:v>45505</x:v>
      </x:c>
      <x:c r="E83" s="2" t="str">
        <x:v>2024Q3</x:v>
      </x:c>
      <x:c r="F83" s="20" t="n">
        <x:v>17567.4</x:v>
      </x:c>
      <x:c r="G83" s="20" t="n">
        <x:f>'Quarterly data'!$E$7</x:f>
        <x:v>17032.1</x:v>
      </x:c>
      <x:c r="H83" s="22" t="n">
        <x:f>100*F83/G83</x:f>
        <x:v>103.14288901544732</x:v>
      </x:c>
      <x:c r="I83" s="24" t="n">
        <x:f>H83/100-1</x:f>
        <x:v>0.031428890154473255</x:v>
      </x:c>
      <x:c r="J83" s="26" t="n">
        <x:v>4</x:v>
      </x:c>
      <x:c r="K83" s="7" t="b">
        <x:v>0</x:v>
      </x:c>
      <x:c r="L83" s="2" t="str">
        <x:v>Aug 10–23, 2026</x:v>
      </x:c>
      <x:c r="M83" s="2" t="str">
        <x:v>https://www.census.gov/hfp/btos/downloads/Sector.xlsx</x:v>
      </x:c>
    </x:row>
    <x:row r="84" ht="24" customHeight="1">
      <x:c r="A84" s="2" t="str">
        <x:v>Census BTOS</x:v>
      </x:c>
      <x:c r="B84" s="2" t="str">
        <x:v>Quartiles</x:v>
      </x:c>
      <x:c r="C84" s="2" t="str">
        <x:v>Q3</x:v>
      </x:c>
      <x:c r="D84" s="28" t="n">
        <x:v>45505</x:v>
      </x:c>
      <x:c r="E84" s="2" t="str">
        <x:v>2024Q3</x:v>
      </x:c>
      <x:c r="F84" s="20" t="n">
        <x:v>46949</x:v>
      </x:c>
      <x:c r="G84" s="20" t="n">
        <x:f>'Quarterly data'!$E$8</x:f>
        <x:v>46008.9333333333</x:v>
      </x:c>
      <x:c r="H84" s="22" t="n">
        <x:f>100*F84/G84</x:f>
        <x:v>102.04322638791895</x:v>
      </x:c>
      <x:c r="I84" s="24" t="n">
        <x:f>H84/100-1</x:f>
        <x:v>0.020432263879189394</x:v>
      </x:c>
      <x:c r="J84" s="26" t="n">
        <x:v>4</x:v>
      </x:c>
      <x:c r="K84" s="7" t="b">
        <x:v>0</x:v>
      </x:c>
      <x:c r="L84" s="2" t="str">
        <x:v>Aug 10–23, 2026</x:v>
      </x:c>
      <x:c r="M84" s="2" t="str">
        <x:v>https://www.census.gov/hfp/btos/downloads/Sector.xlsx</x:v>
      </x:c>
    </x:row>
    <x:row r="85" ht="24" customHeight="1">
      <x:c r="A85" s="2" t="str">
        <x:v>Census BTOS</x:v>
      </x:c>
      <x:c r="B85" s="2" t="str">
        <x:v>Quartiles</x:v>
      </x:c>
      <x:c r="C85" s="2" t="str">
        <x:v>Q4</x:v>
      </x:c>
      <x:c r="D85" s="28" t="n">
        <x:v>45505</x:v>
      </x:c>
      <x:c r="E85" s="2" t="str">
        <x:v>2024Q3</x:v>
      </x:c>
      <x:c r="F85" s="20" t="n">
        <x:v>27011.4</x:v>
      </x:c>
      <x:c r="G85" s="20" t="n">
        <x:f>'Quarterly data'!$E$9</x:f>
        <x:v>26865.5666666667</x:v>
      </x:c>
      <x:c r="H85" s="22" t="n">
        <x:f>100*F85/G85</x:f>
        <x:v>100.54282619511704</x:v>
      </x:c>
      <x:c r="I85" s="24" t="n">
        <x:f>H85/100-1</x:f>
        <x:v>0.005428261951170521</x:v>
      </x:c>
      <x:c r="J85" s="26" t="n">
        <x:v>5</x:v>
      </x:c>
      <x:c r="K85" s="7" t="b">
        <x:v>0</x:v>
      </x:c>
      <x:c r="L85" s="2" t="str">
        <x:v>Aug 10–23, 2026</x:v>
      </x:c>
      <x:c r="M85" s="2" t="str">
        <x:v>https://www.census.gov/hfp/btos/downloads/Sector.xlsx</x:v>
      </x:c>
    </x:row>
    <x:row r="86" ht="24" customHeight="1">
      <x:c r="A86" s="2" t="str">
        <x:v>Census BTOS</x:v>
      </x:c>
      <x:c r="B86" s="2" t="str">
        <x:v>Quartiles</x:v>
      </x:c>
      <x:c r="C86" s="2" t="str">
        <x:v>Q1</x:v>
      </x:c>
      <x:c r="D86" s="28" t="n">
        <x:v>45536</x:v>
      </x:c>
      <x:c r="E86" s="2" t="str">
        <x:v>2024Q3</x:v>
      </x:c>
      <x:c r="F86" s="20" t="n">
        <x:v>42813.5</x:v>
      </x:c>
      <x:c r="G86" s="20" t="n">
        <x:f>'Quarterly data'!$E$6</x:f>
        <x:v>42506.2333333333</x:v>
      </x:c>
      <x:c r="H86" s="22" t="n">
        <x:f>100*F86/G86</x:f>
        <x:v>100.72287437058259</x:v>
      </x:c>
      <x:c r="I86" s="24" t="n">
        <x:f>H86/100-1</x:f>
        <x:v>0.007228743705825824</x:v>
      </x:c>
      <x:c r="J86" s="26" t="n">
        <x:v>5</x:v>
      </x:c>
      <x:c r="K86" s="7" t="b">
        <x:v>0</x:v>
      </x:c>
      <x:c r="L86" s="2" t="str">
        <x:v>Aug 10–23, 2026</x:v>
      </x:c>
      <x:c r="M86" s="2" t="str">
        <x:v>https://www.census.gov/hfp/btos/downloads/Sector.xlsx</x:v>
      </x:c>
    </x:row>
    <x:row r="87" ht="24" customHeight="1">
      <x:c r="A87" s="2" t="str">
        <x:v>Census BTOS</x:v>
      </x:c>
      <x:c r="B87" s="2" t="str">
        <x:v>Quartiles</x:v>
      </x:c>
      <x:c r="C87" s="2" t="str">
        <x:v>Q2</x:v>
      </x:c>
      <x:c r="D87" s="28" t="n">
        <x:v>45536</x:v>
      </x:c>
      <x:c r="E87" s="2" t="str">
        <x:v>2024Q3</x:v>
      </x:c>
      <x:c r="F87" s="20" t="n">
        <x:v>17569.8</x:v>
      </x:c>
      <x:c r="G87" s="20" t="n">
        <x:f>'Quarterly data'!$E$7</x:f>
        <x:v>17032.1</x:v>
      </x:c>
      <x:c r="H87" s="22" t="n">
        <x:f>100*F87/G87</x:f>
        <x:v>103.15698005530734</x:v>
      </x:c>
      <x:c r="I87" s="24" t="n">
        <x:f>H87/100-1</x:f>
        <x:v>0.031569800553073346</x:v>
      </x:c>
      <x:c r="J87" s="26" t="n">
        <x:v>4</x:v>
      </x:c>
      <x:c r="K87" s="7" t="b">
        <x:v>0</x:v>
      </x:c>
      <x:c r="L87" s="2" t="str">
        <x:v>Aug 10–23, 2026</x:v>
      </x:c>
      <x:c r="M87" s="2" t="str">
        <x:v>https://www.census.gov/hfp/btos/downloads/Sector.xlsx</x:v>
      </x:c>
    </x:row>
    <x:row r="88" ht="24" customHeight="1">
      <x:c r="A88" s="2" t="str">
        <x:v>Census BTOS</x:v>
      </x:c>
      <x:c r="B88" s="2" t="str">
        <x:v>Quartiles</x:v>
      </x:c>
      <x:c r="C88" s="2" t="str">
        <x:v>Q3</x:v>
      </x:c>
      <x:c r="D88" s="28" t="n">
        <x:v>45536</x:v>
      </x:c>
      <x:c r="E88" s="2" t="str">
        <x:v>2024Q3</x:v>
      </x:c>
      <x:c r="F88" s="20" t="n">
        <x:v>47000</x:v>
      </x:c>
      <x:c r="G88" s="20" t="n">
        <x:f>'Quarterly data'!$E$8</x:f>
        <x:v>46008.9333333333</x:v>
      </x:c>
      <x:c r="H88" s="22" t="n">
        <x:f>100*F88/G88</x:f>
        <x:v>102.15407442612602</x:v>
      </x:c>
      <x:c r="I88" s="24" t="n">
        <x:f>H88/100-1</x:f>
        <x:v>0.02154074426126007</x:v>
      </x:c>
      <x:c r="J88" s="26" t="n">
        <x:v>4</x:v>
      </x:c>
      <x:c r="K88" s="7" t="b">
        <x:v>0</x:v>
      </x:c>
      <x:c r="L88" s="2" t="str">
        <x:v>Aug 10–23, 2026</x:v>
      </x:c>
      <x:c r="M88" s="2" t="str">
        <x:v>https://www.census.gov/hfp/btos/downloads/Sector.xlsx</x:v>
      </x:c>
    </x:row>
    <x:row r="89" ht="24" customHeight="1">
      <x:c r="A89" s="2" t="str">
        <x:v>Census BTOS</x:v>
      </x:c>
      <x:c r="B89" s="2" t="str">
        <x:v>Quartiles</x:v>
      </x:c>
      <x:c r="C89" s="2" t="str">
        <x:v>Q4</x:v>
      </x:c>
      <x:c r="D89" s="28" t="n">
        <x:v>45536</x:v>
      </x:c>
      <x:c r="E89" s="2" t="str">
        <x:v>2024Q3</x:v>
      </x:c>
      <x:c r="F89" s="20" t="n">
        <x:v>27039</x:v>
      </x:c>
      <x:c r="G89" s="20" t="n">
        <x:f>'Quarterly data'!$E$9</x:f>
        <x:v>26865.5666666667</x:v>
      </x:c>
      <x:c r="H89" s="22" t="n">
        <x:f>100*F89/G89</x:f>
        <x:v>100.64555992987295</x:v>
      </x:c>
      <x:c r="I89" s="24" t="n">
        <x:f>H89/100-1</x:f>
        <x:v>0.006455599298729409</x:v>
      </x:c>
      <x:c r="J89" s="26" t="n">
        <x:v>5</x:v>
      </x:c>
      <x:c r="K89" s="7" t="b">
        <x:v>0</x:v>
      </x:c>
      <x:c r="L89" s="2" t="str">
        <x:v>Aug 10–23, 2026</x:v>
      </x:c>
      <x:c r="M89" s="2" t="str">
        <x:v>https://www.census.gov/hfp/btos/downloads/Sector.xlsx</x:v>
      </x:c>
    </x:row>
    <x:row r="90" ht="24" customHeight="1">
      <x:c r="A90" s="2" t="str">
        <x:v>Census BTOS</x:v>
      </x:c>
      <x:c r="B90" s="2" t="str">
        <x:v>Quartiles</x:v>
      </x:c>
      <x:c r="C90" s="2" t="str">
        <x:v>Q1</x:v>
      </x:c>
      <x:c r="D90" s="28" t="n">
        <x:v>45566</x:v>
      </x:c>
      <x:c r="E90" s="2" t="str">
        <x:v>2024Q4</x:v>
      </x:c>
      <x:c r="F90" s="20" t="n">
        <x:v>42813.3</x:v>
      </x:c>
      <x:c r="G90" s="20" t="n">
        <x:f>'Quarterly data'!$E$6</x:f>
        <x:v>42506.2333333333</x:v>
      </x:c>
      <x:c r="H90" s="22" t="n">
        <x:f>100*F90/G90</x:f>
        <x:v>100.72240385135677</x:v>
      </x:c>
      <x:c r="I90" s="24" t="n">
        <x:f>H90/100-1</x:f>
        <x:v>0.007224038513567788</x:v>
      </x:c>
      <x:c r="J90" s="26" t="n">
        <x:v>5</x:v>
      </x:c>
      <x:c r="K90" s="7" t="b">
        <x:v>0</x:v>
      </x:c>
      <x:c r="L90" s="2" t="str">
        <x:v>Aug 10–23, 2026</x:v>
      </x:c>
      <x:c r="M90" s="2" t="str">
        <x:v>https://www.census.gov/hfp/btos/downloads/Sector.xlsx</x:v>
      </x:c>
    </x:row>
    <x:row r="91" ht="24" customHeight="1">
      <x:c r="A91" s="2" t="str">
        <x:v>Census BTOS</x:v>
      </x:c>
      <x:c r="B91" s="2" t="str">
        <x:v>Quartiles</x:v>
      </x:c>
      <x:c r="C91" s="2" t="str">
        <x:v>Q2</x:v>
      </x:c>
      <x:c r="D91" s="28" t="n">
        <x:v>45566</x:v>
      </x:c>
      <x:c r="E91" s="2" t="str">
        <x:v>2024Q4</x:v>
      </x:c>
      <x:c r="F91" s="20" t="n">
        <x:v>17583.8</x:v>
      </x:c>
      <x:c r="G91" s="20" t="n">
        <x:f>'Quarterly data'!$E$7</x:f>
        <x:v>17032.1</x:v>
      </x:c>
      <x:c r="H91" s="22" t="n">
        <x:f>100*F91/G91</x:f>
        <x:v>103.23917778782418</x:v>
      </x:c>
      <x:c r="I91" s="24" t="n">
        <x:f>H91/100-1</x:f>
        <x:v>0.03239177787824166</x:v>
      </x:c>
      <x:c r="J91" s="26" t="n">
        <x:v>4</x:v>
      </x:c>
      <x:c r="K91" s="7" t="b">
        <x:v>0</x:v>
      </x:c>
      <x:c r="L91" s="2" t="str">
        <x:v>Aug 10–23, 2026</x:v>
      </x:c>
      <x:c r="M91" s="2" t="str">
        <x:v>https://www.census.gov/hfp/btos/downloads/Sector.xlsx</x:v>
      </x:c>
    </x:row>
    <x:row r="92" ht="24" customHeight="1">
      <x:c r="A92" s="2" t="str">
        <x:v>Census BTOS</x:v>
      </x:c>
      <x:c r="B92" s="2" t="str">
        <x:v>Quartiles</x:v>
      </x:c>
      <x:c r="C92" s="2" t="str">
        <x:v>Q3</x:v>
      </x:c>
      <x:c r="D92" s="28" t="n">
        <x:v>45566</x:v>
      </x:c>
      <x:c r="E92" s="2" t="str">
        <x:v>2024Q4</x:v>
      </x:c>
      <x:c r="F92" s="20" t="n">
        <x:v>46995.8</x:v>
      </x:c>
      <x:c r="G92" s="20" t="n">
        <x:f>'Quarterly data'!$E$8</x:f>
        <x:v>46008.9333333333</x:v>
      </x:c>
      <x:c r="H92" s="22" t="n">
        <x:f>100*F92/G92</x:f>
        <x:v>102.14494576415602</x:v>
      </x:c>
      <x:c r="I92" s="24" t="n">
        <x:f>H92/100-1</x:f>
        <x:v>0.021449457641560254</x:v>
      </x:c>
      <x:c r="J92" s="26" t="n">
        <x:v>4</x:v>
      </x:c>
      <x:c r="K92" s="7" t="b">
        <x:v>0</x:v>
      </x:c>
      <x:c r="L92" s="2" t="str">
        <x:v>Aug 10–23, 2026</x:v>
      </x:c>
      <x:c r="M92" s="2" t="str">
        <x:v>https://www.census.gov/hfp/btos/downloads/Sector.xlsx</x:v>
      </x:c>
    </x:row>
    <x:row r="93" ht="24" customHeight="1">
      <x:c r="A93" s="2" t="str">
        <x:v>Census BTOS</x:v>
      </x:c>
      <x:c r="B93" s="2" t="str">
        <x:v>Quartiles</x:v>
      </x:c>
      <x:c r="C93" s="2" t="str">
        <x:v>Q4</x:v>
      </x:c>
      <x:c r="D93" s="28" t="n">
        <x:v>45566</x:v>
      </x:c>
      <x:c r="E93" s="2" t="str">
        <x:v>2024Q4</x:v>
      </x:c>
      <x:c r="F93" s="20" t="n">
        <x:v>27023.9</x:v>
      </x:c>
      <x:c r="G93" s="20" t="n">
        <x:f>'Quarterly data'!$E$9</x:f>
        <x:v>26865.5666666667</x:v>
      </x:c>
      <x:c r="H93" s="22" t="n">
        <x:f>100*F93/G93</x:f>
        <x:v>100.58935415469853</x:v>
      </x:c>
      <x:c r="I93" s="24" t="n">
        <x:f>H93/100-1</x:f>
        <x:v>0.0058935415469851815</x:v>
      </x:c>
      <x:c r="J93" s="26" t="n">
        <x:v>5</x:v>
      </x:c>
      <x:c r="K93" s="7" t="b">
        <x:v>0</x:v>
      </x:c>
      <x:c r="L93" s="2" t="str">
        <x:v>Aug 10–23, 2026</x:v>
      </x:c>
      <x:c r="M93" s="2" t="str">
        <x:v>https://www.census.gov/hfp/btos/downloads/Sector.xlsx</x:v>
      </x:c>
    </x:row>
    <x:row r="94" ht="24" customHeight="1">
      <x:c r="A94" s="2" t="str">
        <x:v>Census BTOS</x:v>
      </x:c>
      <x:c r="B94" s="2" t="str">
        <x:v>Quartiles</x:v>
      </x:c>
      <x:c r="C94" s="2" t="str">
        <x:v>Q1</x:v>
      </x:c>
      <x:c r="D94" s="28" t="n">
        <x:v>45597</x:v>
      </x:c>
      <x:c r="E94" s="2" t="str">
        <x:v>2024Q4</x:v>
      </x:c>
      <x:c r="F94" s="20" t="n">
        <x:v>42797.1</x:v>
      </x:c>
      <x:c r="G94" s="20" t="n">
        <x:f>'Quarterly data'!$E$6</x:f>
        <x:v>42506.2333333333</x:v>
      </x:c>
      <x:c r="H94" s="22" t="n">
        <x:f>100*F94/G94</x:f>
        <x:v>100.68429179406635</x:v>
      </x:c>
      <x:c r="I94" s="24" t="n">
        <x:f>H94/100-1</x:f>
        <x:v>0.0068429179406634955</x:v>
      </x:c>
      <x:c r="J94" s="26" t="n">
        <x:v>5</x:v>
      </x:c>
      <x:c r="K94" s="7" t="b">
        <x:v>0</x:v>
      </x:c>
      <x:c r="L94" s="2" t="str">
        <x:v>Aug 10–23, 2026</x:v>
      </x:c>
      <x:c r="M94" s="2" t="str">
        <x:v>https://www.census.gov/hfp/btos/downloads/Sector.xlsx</x:v>
      </x:c>
    </x:row>
    <x:row r="95" ht="24" customHeight="1">
      <x:c r="A95" s="2" t="str">
        <x:v>Census BTOS</x:v>
      </x:c>
      <x:c r="B95" s="2" t="str">
        <x:v>Quartiles</x:v>
      </x:c>
      <x:c r="C95" s="2" t="str">
        <x:v>Q2</x:v>
      </x:c>
      <x:c r="D95" s="28" t="n">
        <x:v>45597</x:v>
      </x:c>
      <x:c r="E95" s="2" t="str">
        <x:v>2024Q4</x:v>
      </x:c>
      <x:c r="F95" s="20" t="n">
        <x:v>17600</x:v>
      </x:c>
      <x:c r="G95" s="20" t="n">
        <x:f>'Quarterly data'!$E$7</x:f>
        <x:v>17032.1</x:v>
      </x:c>
      <x:c r="H95" s="22" t="n">
        <x:f>100*F95/G95</x:f>
        <x:v>103.33429230687938</x:v>
      </x:c>
      <x:c r="I95" s="24" t="n">
        <x:f>H95/100-1</x:f>
        <x:v>0.03334292306879383</x:v>
      </x:c>
      <x:c r="J95" s="26" t="n">
        <x:v>4</x:v>
      </x:c>
      <x:c r="K95" s="7" t="b">
        <x:v>0</x:v>
      </x:c>
      <x:c r="L95" s="2" t="str">
        <x:v>Aug 10–23, 2026</x:v>
      </x:c>
      <x:c r="M95" s="2" t="str">
        <x:v>https://www.census.gov/hfp/btos/downloads/Sector.xlsx</x:v>
      </x:c>
    </x:row>
    <x:row r="96" ht="24" customHeight="1">
      <x:c r="A96" s="2" t="str">
        <x:v>Census BTOS</x:v>
      </x:c>
      <x:c r="B96" s="2" t="str">
        <x:v>Quartiles</x:v>
      </x:c>
      <x:c r="C96" s="2" t="str">
        <x:v>Q3</x:v>
      </x:c>
      <x:c r="D96" s="28" t="n">
        <x:v>45597</x:v>
      </x:c>
      <x:c r="E96" s="2" t="str">
        <x:v>2024Q4</x:v>
      </x:c>
      <x:c r="F96" s="20" t="n">
        <x:v>47093.3</x:v>
      </x:c>
      <x:c r="G96" s="20" t="n">
        <x:f>'Quarterly data'!$E$8</x:f>
        <x:v>46008.9333333333</x:v>
      </x:c>
      <x:c r="H96" s="22" t="n">
        <x:f>100*F96/G96</x:f>
        <x:v>102.3568611313166</x:v>
      </x:c>
      <x:c r="I96" s="24" t="n">
        <x:f>H96/100-1</x:f>
        <x:v>0.02356861131316612</x:v>
      </x:c>
      <x:c r="J96" s="26" t="n">
        <x:v>4</x:v>
      </x:c>
      <x:c r="K96" s="7" t="b">
        <x:v>0</x:v>
      </x:c>
      <x:c r="L96" s="2" t="str">
        <x:v>Aug 10–23, 2026</x:v>
      </x:c>
      <x:c r="M96" s="2" t="str">
        <x:v>https://www.census.gov/hfp/btos/downloads/Sector.xlsx</x:v>
      </x:c>
    </x:row>
    <x:row r="97" ht="24" customHeight="1">
      <x:c r="A97" s="2" t="str">
        <x:v>Census BTOS</x:v>
      </x:c>
      <x:c r="B97" s="2" t="str">
        <x:v>Quartiles</x:v>
      </x:c>
      <x:c r="C97" s="2" t="str">
        <x:v>Q4</x:v>
      </x:c>
      <x:c r="D97" s="28" t="n">
        <x:v>45597</x:v>
      </x:c>
      <x:c r="E97" s="2" t="str">
        <x:v>2024Q4</x:v>
      </x:c>
      <x:c r="F97" s="20" t="n">
        <x:v>27044.3</x:v>
      </x:c>
      <x:c r="G97" s="20" t="n">
        <x:f>'Quarterly data'!$E$9</x:f>
        <x:v>26865.5666666667</x:v>
      </x:c>
      <x:c r="H97" s="22" t="n">
        <x:f>100*F97/G97</x:f>
        <x:v>100.66528778473548</x:v>
      </x:c>
      <x:c r="I97" s="24" t="n">
        <x:f>H97/100-1</x:f>
        <x:v>0.00665287784735491</x:v>
      </x:c>
      <x:c r="J97" s="26" t="n">
        <x:v>5</x:v>
      </x:c>
      <x:c r="K97" s="7" t="b">
        <x:v>0</x:v>
      </x:c>
      <x:c r="L97" s="2" t="str">
        <x:v>Aug 10–23, 2026</x:v>
      </x:c>
      <x:c r="M97" s="2" t="str">
        <x:v>https://www.census.gov/hfp/btos/downloads/Sector.xlsx</x:v>
      </x:c>
    </x:row>
    <x:row r="98" ht="24" customHeight="1">
      <x:c r="A98" s="2" t="str">
        <x:v>Census BTOS</x:v>
      </x:c>
      <x:c r="B98" s="2" t="str">
        <x:v>Quartiles</x:v>
      </x:c>
      <x:c r="C98" s="2" t="str">
        <x:v>Q1</x:v>
      </x:c>
      <x:c r="D98" s="28" t="n">
        <x:v>45627</x:v>
      </x:c>
      <x:c r="E98" s="2" t="str">
        <x:v>2024Q4</x:v>
      </x:c>
      <x:c r="F98" s="20" t="n">
        <x:v>42886.3</x:v>
      </x:c>
      <x:c r="G98" s="20" t="n">
        <x:f>'Quarterly data'!$E$6</x:f>
        <x:v>42506.2333333333</x:v>
      </x:c>
      <x:c r="H98" s="22" t="n">
        <x:f>100*F98/G98</x:f>
        <x:v>100.89414336877658</x:v>
      </x:c>
      <x:c r="I98" s="24" t="n">
        <x:f>H98/100-1</x:f>
        <x:v>0.008941433687765787</x:v>
      </x:c>
      <x:c r="J98" s="26" t="n">
        <x:v>5</x:v>
      </x:c>
      <x:c r="K98" s="7" t="b">
        <x:v>0</x:v>
      </x:c>
      <x:c r="L98" s="2" t="str">
        <x:v>Aug 10–23, 2026</x:v>
      </x:c>
      <x:c r="M98" s="2" t="str">
        <x:v>https://www.census.gov/hfp/btos/downloads/Sector.xlsx</x:v>
      </x:c>
    </x:row>
    <x:row r="99" ht="24" customHeight="1">
      <x:c r="A99" s="2" t="str">
        <x:v>Census BTOS</x:v>
      </x:c>
      <x:c r="B99" s="2" t="str">
        <x:v>Quartiles</x:v>
      </x:c>
      <x:c r="C99" s="2" t="str">
        <x:v>Q2</x:v>
      </x:c>
      <x:c r="D99" s="28" t="n">
        <x:v>45627</x:v>
      </x:c>
      <x:c r="E99" s="2" t="str">
        <x:v>2024Q4</x:v>
      </x:c>
      <x:c r="F99" s="20" t="n">
        <x:v>17616.1</x:v>
      </x:c>
      <x:c r="G99" s="20" t="n">
        <x:f>'Quarterly data'!$E$7</x:f>
        <x:v>17032.1</x:v>
      </x:c>
      <x:c r="H99" s="22" t="n">
        <x:f>100*F99/G99</x:f>
        <x:v>103.42881969927372</x:v>
      </x:c>
      <x:c r="I99" s="24" t="n">
        <x:f>H99/100-1</x:f>
        <x:v>0.03428819699273711</x:v>
      </x:c>
      <x:c r="J99" s="26" t="n">
        <x:v>4</x:v>
      </x:c>
      <x:c r="K99" s="7" t="b">
        <x:v>0</x:v>
      </x:c>
      <x:c r="L99" s="2" t="str">
        <x:v>Aug 10–23, 2026</x:v>
      </x:c>
      <x:c r="M99" s="2" t="str">
        <x:v>https://www.census.gov/hfp/btos/downloads/Sector.xlsx</x:v>
      </x:c>
    </x:row>
    <x:row r="100" ht="24" customHeight="1">
      <x:c r="A100" s="2" t="str">
        <x:v>Census BTOS</x:v>
      </x:c>
      <x:c r="B100" s="2" t="str">
        <x:v>Quartiles</x:v>
      </x:c>
      <x:c r="C100" s="2" t="str">
        <x:v>Q3</x:v>
      </x:c>
      <x:c r="D100" s="28" t="n">
        <x:v>45627</x:v>
      </x:c>
      <x:c r="E100" s="2" t="str">
        <x:v>2024Q4</x:v>
      </x:c>
      <x:c r="F100" s="20" t="n">
        <x:v>47148.9</x:v>
      </x:c>
      <x:c r="G100" s="20" t="n">
        <x:f>'Quarterly data'!$E$8</x:f>
        <x:v>46008.9333333333</x:v>
      </x:c>
      <x:c r="H100" s="22" t="n">
        <x:f>100*F100/G100</x:f>
        <x:v>102.47770722787176</x:v>
      </x:c>
      <x:c r="I100" s="24" t="n">
        <x:f>H100/100-1</x:f>
        <x:v>0.024777072278717505</x:v>
      </x:c>
      <x:c r="J100" s="26" t="n">
        <x:v>4</x:v>
      </x:c>
      <x:c r="K100" s="7" t="b">
        <x:v>0</x:v>
      </x:c>
      <x:c r="L100" s="2" t="str">
        <x:v>Aug 10–23, 2026</x:v>
      </x:c>
      <x:c r="M100" s="2" t="str">
        <x:v>https://www.census.gov/hfp/btos/downloads/Sector.xlsx</x:v>
      </x:c>
    </x:row>
    <x:row r="101" ht="24" customHeight="1">
      <x:c r="A101" s="2" t="str">
        <x:v>Census BTOS</x:v>
      </x:c>
      <x:c r="B101" s="2" t="str">
        <x:v>Quartiles</x:v>
      </x:c>
      <x:c r="C101" s="2" t="str">
        <x:v>Q4</x:v>
      </x:c>
      <x:c r="D101" s="28" t="n">
        <x:v>45627</x:v>
      </x:c>
      <x:c r="E101" s="2" t="str">
        <x:v>2024Q4</x:v>
      </x:c>
      <x:c r="F101" s="20" t="n">
        <x:v>27095.7</x:v>
      </x:c>
      <x:c r="G101" s="20" t="n">
        <x:f>'Quarterly data'!$E$9</x:f>
        <x:v>26865.5666666667</x:v>
      </x:c>
      <x:c r="H101" s="22" t="n">
        <x:f>100*F101/G101</x:f>
        <x:v>100.8566107545345</x:v>
      </x:c>
      <x:c r="I101" s="24" t="n">
        <x:f>H101/100-1</x:f>
        <x:v>0.008566107545344925</x:v>
      </x:c>
      <x:c r="J101" s="26" t="n">
        <x:v>5</x:v>
      </x:c>
      <x:c r="K101" s="7" t="b">
        <x:v>0</x:v>
      </x:c>
      <x:c r="L101" s="2" t="str">
        <x:v>Aug 10–23, 2026</x:v>
      </x:c>
      <x:c r="M101" s="2" t="str">
        <x:v>https://www.census.gov/hfp/btos/downloads/Sector.xlsx</x:v>
      </x:c>
    </x:row>
    <x:row r="102" ht="24" customHeight="1">
      <x:c r="A102" s="2" t="str">
        <x:v>Census BTOS</x:v>
      </x:c>
      <x:c r="B102" s="2" t="str">
        <x:v>Quartiles</x:v>
      </x:c>
      <x:c r="C102" s="2" t="str">
        <x:v>Q1</x:v>
      </x:c>
      <x:c r="D102" s="28" t="n">
        <x:v>45658</x:v>
      </x:c>
      <x:c r="E102" s="2" t="str">
        <x:v>2025Q1</x:v>
      </x:c>
      <x:c r="F102" s="20" t="n">
        <x:v>42860.7</x:v>
      </x:c>
      <x:c r="G102" s="20" t="n">
        <x:f>'Quarterly data'!$E$6</x:f>
        <x:v>42506.2333333333</x:v>
      </x:c>
      <x:c r="H102" s="22" t="n">
        <x:f>100*F102/G102</x:f>
        <x:v>100.8339169078732</x:v>
      </x:c>
      <x:c r="I102" s="24" t="n">
        <x:f>H102/100-1</x:f>
        <x:v>0.008339169078732</x:v>
      </x:c>
      <x:c r="J102" s="26" t="n">
        <x:v>5</x:v>
      </x:c>
      <x:c r="K102" s="7" t="b">
        <x:v>0</x:v>
      </x:c>
      <x:c r="L102" s="2" t="str">
        <x:v>Aug 10–23, 2026</x:v>
      </x:c>
      <x:c r="M102" s="2" t="str">
        <x:v>https://www.census.gov/hfp/btos/downloads/Sector.xlsx</x:v>
      </x:c>
    </x:row>
    <x:row r="103" ht="24" customHeight="1">
      <x:c r="A103" s="2" t="str">
        <x:v>Census BTOS</x:v>
      </x:c>
      <x:c r="B103" s="2" t="str">
        <x:v>Quartiles</x:v>
      </x:c>
      <x:c r="C103" s="2" t="str">
        <x:v>Q2</x:v>
      </x:c>
      <x:c r="D103" s="28" t="n">
        <x:v>45658</x:v>
      </x:c>
      <x:c r="E103" s="2" t="str">
        <x:v>2025Q1</x:v>
      </x:c>
      <x:c r="F103" s="20" t="n">
        <x:v>17586.6</x:v>
      </x:c>
      <x:c r="G103" s="20" t="n">
        <x:f>'Quarterly data'!$E$7</x:f>
        <x:v>17032.1</x:v>
      </x:c>
      <x:c r="H103" s="22" t="n">
        <x:f>100*F103/G103</x:f>
        <x:v>103.25561733432752</x:v>
      </x:c>
      <x:c r="I103" s="24" t="n">
        <x:f>H103/100-1</x:f>
        <x:v>0.03255617334327532</x:v>
      </x:c>
      <x:c r="J103" s="26" t="n">
        <x:v>4</x:v>
      </x:c>
      <x:c r="K103" s="7" t="b">
        <x:v>0</x:v>
      </x:c>
      <x:c r="L103" s="2" t="str">
        <x:v>Aug 10–23, 2026</x:v>
      </x:c>
      <x:c r="M103" s="2" t="str">
        <x:v>https://www.census.gov/hfp/btos/downloads/Sector.xlsx</x:v>
      </x:c>
    </x:row>
    <x:row r="104" ht="24" customHeight="1">
      <x:c r="A104" s="2" t="str">
        <x:v>Census BTOS</x:v>
      </x:c>
      <x:c r="B104" s="2" t="str">
        <x:v>Quartiles</x:v>
      </x:c>
      <x:c r="C104" s="2" t="str">
        <x:v>Q3</x:v>
      </x:c>
      <x:c r="D104" s="28" t="n">
        <x:v>45658</x:v>
      </x:c>
      <x:c r="E104" s="2" t="str">
        <x:v>2025Q1</x:v>
      </x:c>
      <x:c r="F104" s="20" t="n">
        <x:v>47160.9</x:v>
      </x:c>
      <x:c r="G104" s="20" t="n">
        <x:f>'Quarterly data'!$E$8</x:f>
        <x:v>46008.9333333333</x:v>
      </x:c>
      <x:c r="H104" s="22" t="n">
        <x:f>100*F104/G104</x:f>
        <x:v>102.5037891192146</x:v>
      </x:c>
      <x:c r="I104" s="24" t="n">
        <x:f>H104/100-1</x:f>
        <x:v>0.025037891192146056</x:v>
      </x:c>
      <x:c r="J104" s="26" t="n">
        <x:v>4</x:v>
      </x:c>
      <x:c r="K104" s="7" t="b">
        <x:v>0</x:v>
      </x:c>
      <x:c r="L104" s="2" t="str">
        <x:v>Aug 10–23, 2026</x:v>
      </x:c>
      <x:c r="M104" s="2" t="str">
        <x:v>https://www.census.gov/hfp/btos/downloads/Sector.xlsx</x:v>
      </x:c>
    </x:row>
    <x:row r="105" ht="24" customHeight="1">
      <x:c r="A105" s="2" t="str">
        <x:v>Census BTOS</x:v>
      </x:c>
      <x:c r="B105" s="2" t="str">
        <x:v>Quartiles</x:v>
      </x:c>
      <x:c r="C105" s="2" t="str">
        <x:v>Q4</x:v>
      </x:c>
      <x:c r="D105" s="28" t="n">
        <x:v>45658</x:v>
      </x:c>
      <x:c r="E105" s="2" t="str">
        <x:v>2025Q1</x:v>
      </x:c>
      <x:c r="F105" s="20" t="n">
        <x:v>27061.8</x:v>
      </x:c>
      <x:c r="G105" s="20" t="n">
        <x:f>'Quarterly data'!$E$9</x:f>
        <x:v>26865.5666666667</x:v>
      </x:c>
      <x:c r="H105" s="22" t="n">
        <x:f>100*F105/G105</x:f>
        <x:v>100.73042692814954</x:v>
      </x:c>
      <x:c r="I105" s="24" t="n">
        <x:f>H105/100-1</x:f>
        <x:v>0.007304269281495301</x:v>
      </x:c>
      <x:c r="J105" s="26" t="n">
        <x:v>5</x:v>
      </x:c>
      <x:c r="K105" s="7" t="b">
        <x:v>0</x:v>
      </x:c>
      <x:c r="L105" s="2" t="str">
        <x:v>Aug 10–23, 2026</x:v>
      </x:c>
      <x:c r="M105" s="2" t="str">
        <x:v>https://www.census.gov/hfp/btos/downloads/Sector.xlsx</x:v>
      </x:c>
    </x:row>
    <x:row r="106" ht="24" customHeight="1">
      <x:c r="A106" s="2" t="str">
        <x:v>Census BTOS</x:v>
      </x:c>
      <x:c r="B106" s="2" t="str">
        <x:v>Quartiles</x:v>
      </x:c>
      <x:c r="C106" s="2" t="str">
        <x:v>Q1</x:v>
      </x:c>
      <x:c r="D106" s="28" t="n">
        <x:v>45689</x:v>
      </x:c>
      <x:c r="E106" s="2" t="str">
        <x:v>2025Q1</x:v>
      </x:c>
      <x:c r="F106" s="20" t="n">
        <x:v>42824.8</x:v>
      </x:c>
      <x:c r="G106" s="20" t="n">
        <x:f>'Quarterly data'!$E$6</x:f>
        <x:v>42506.2333333333</x:v>
      </x:c>
      <x:c r="H106" s="22" t="n">
        <x:f>100*F106/G106</x:f>
        <x:v>100.74945870684073</x:v>
      </x:c>
      <x:c r="I106" s="24" t="n">
        <x:f>H106/100-1</x:f>
        <x:v>0.007494587068407332</x:v>
      </x:c>
      <x:c r="J106" s="26" t="n">
        <x:v>5</x:v>
      </x:c>
      <x:c r="K106" s="7" t="b">
        <x:v>0</x:v>
      </x:c>
      <x:c r="L106" s="2" t="str">
        <x:v>Aug 10–23, 2026</x:v>
      </x:c>
      <x:c r="M106" s="2" t="str">
        <x:v>https://www.census.gov/hfp/btos/downloads/Sector.xlsx</x:v>
      </x:c>
    </x:row>
    <x:row r="107" ht="24" customHeight="1">
      <x:c r="A107" s="2" t="str">
        <x:v>Census BTOS</x:v>
      </x:c>
      <x:c r="B107" s="2" t="str">
        <x:v>Quartiles</x:v>
      </x:c>
      <x:c r="C107" s="2" t="str">
        <x:v>Q2</x:v>
      </x:c>
      <x:c r="D107" s="28" t="n">
        <x:v>45689</x:v>
      </x:c>
      <x:c r="E107" s="2" t="str">
        <x:v>2025Q1</x:v>
      </x:c>
      <x:c r="F107" s="20" t="n">
        <x:v>17601.5</x:v>
      </x:c>
      <x:c r="G107" s="20" t="n">
        <x:f>'Quarterly data'!$E$7</x:f>
        <x:v>17032.1</x:v>
      </x:c>
      <x:c r="H107" s="22" t="n">
        <x:f>100*F107/G107</x:f>
        <x:v>103.34309920679189</x:v>
      </x:c>
      <x:c r="I107" s="24" t="n">
        <x:f>H107/100-1</x:f>
        <x:v>0.033430992067918996</x:v>
      </x:c>
      <x:c r="J107" s="26" t="n">
        <x:v>4</x:v>
      </x:c>
      <x:c r="K107" s="7" t="b">
        <x:v>0</x:v>
      </x:c>
      <x:c r="L107" s="2" t="str">
        <x:v>Aug 10–23, 2026</x:v>
      </x:c>
      <x:c r="M107" s="2" t="str">
        <x:v>https://www.census.gov/hfp/btos/downloads/Sector.xlsx</x:v>
      </x:c>
    </x:row>
    <x:row r="108" ht="24" customHeight="1">
      <x:c r="A108" s="2" t="str">
        <x:v>Census BTOS</x:v>
      </x:c>
      <x:c r="B108" s="2" t="str">
        <x:v>Quartiles</x:v>
      </x:c>
      <x:c r="C108" s="2" t="str">
        <x:v>Q3</x:v>
      </x:c>
      <x:c r="D108" s="28" t="n">
        <x:v>45689</x:v>
      </x:c>
      <x:c r="E108" s="2" t="str">
        <x:v>2025Q1</x:v>
      </x:c>
      <x:c r="F108" s="20" t="n">
        <x:v>47215.7</x:v>
      </x:c>
      <x:c r="G108" s="20" t="n">
        <x:f>'Quarterly data'!$E$8</x:f>
        <x:v>46008.9333333333</x:v>
      </x:c>
      <x:c r="H108" s="22" t="n">
        <x:f>100*F108/G108</x:f>
        <x:v>102.62289642301359</x:v>
      </x:c>
      <x:c r="I108" s="24" t="n">
        <x:f>H108/100-1</x:f>
        <x:v>0.026228964230135876</x:v>
      </x:c>
      <x:c r="J108" s="26" t="n">
        <x:v>4</x:v>
      </x:c>
      <x:c r="K108" s="7" t="b">
        <x:v>0</x:v>
      </x:c>
      <x:c r="L108" s="2" t="str">
        <x:v>Aug 10–23, 2026</x:v>
      </x:c>
      <x:c r="M108" s="2" t="str">
        <x:v>https://www.census.gov/hfp/btos/downloads/Sector.xlsx</x:v>
      </x:c>
    </x:row>
    <x:row r="109" ht="24" customHeight="1">
      <x:c r="A109" s="2" t="str">
        <x:v>Census BTOS</x:v>
      </x:c>
      <x:c r="B109" s="2" t="str">
        <x:v>Quartiles</x:v>
      </x:c>
      <x:c r="C109" s="2" t="str">
        <x:v>Q4</x:v>
      </x:c>
      <x:c r="D109" s="28" t="n">
        <x:v>45689</x:v>
      </x:c>
      <x:c r="E109" s="2" t="str">
        <x:v>2025Q1</x:v>
      </x:c>
      <x:c r="F109" s="20" t="n">
        <x:v>27066.8</x:v>
      </x:c>
      <x:c r="G109" s="20" t="n">
        <x:f>'Quarterly data'!$E$9</x:f>
        <x:v>26865.5666666667</x:v>
      </x:c>
      <x:c r="H109" s="22" t="n">
        <x:f>100*F109/G109</x:f>
        <x:v>100.74903811198213</x:v>
      </x:c>
      <x:c r="I109" s="24" t="n">
        <x:f>H109/100-1</x:f>
        <x:v>0.007490381119821254</x:v>
      </x:c>
      <x:c r="J109" s="26" t="n">
        <x:v>5</x:v>
      </x:c>
      <x:c r="K109" s="7" t="b">
        <x:v>0</x:v>
      </x:c>
      <x:c r="L109" s="2" t="str">
        <x:v>Aug 10–23, 2026</x:v>
      </x:c>
      <x:c r="M109" s="2" t="str">
        <x:v>https://www.census.gov/hfp/btos/downloads/Sector.xlsx</x:v>
      </x:c>
    </x:row>
    <x:row r="110" ht="24" customHeight="1">
      <x:c r="A110" s="2" t="str">
        <x:v>Census BTOS</x:v>
      </x:c>
      <x:c r="B110" s="2" t="str">
        <x:v>Quartiles</x:v>
      </x:c>
      <x:c r="C110" s="2" t="str">
        <x:v>Q1</x:v>
      </x:c>
      <x:c r="D110" s="28" t="n">
        <x:v>45717</x:v>
      </x:c>
      <x:c r="E110" s="2" t="str">
        <x:v>2025Q1</x:v>
      </x:c>
      <x:c r="F110" s="20" t="n">
        <x:v>42847.8</x:v>
      </x:c>
      <x:c r="G110" s="20" t="n">
        <x:f>'Quarterly data'!$E$6</x:f>
        <x:v>42506.2333333333</x:v>
      </x:c>
      <x:c r="H110" s="22" t="n">
        <x:f>100*F110/G110</x:f>
        <x:v>100.8035684178086</x:v>
      </x:c>
      <x:c r="I110" s="24" t="n">
        <x:f>H110/100-1</x:f>
        <x:v>0.008035684178085978</x:v>
      </x:c>
      <x:c r="J110" s="26" t="n">
        <x:v>5</x:v>
      </x:c>
      <x:c r="K110" s="7" t="b">
        <x:v>0</x:v>
      </x:c>
      <x:c r="L110" s="2" t="str">
        <x:v>Aug 10–23, 2026</x:v>
      </x:c>
      <x:c r="M110" s="2" t="str">
        <x:v>https://www.census.gov/hfp/btos/downloads/Sector.xlsx</x:v>
      </x:c>
    </x:row>
    <x:row r="111" ht="24" customHeight="1">
      <x:c r="A111" s="2" t="str">
        <x:v>Census BTOS</x:v>
      </x:c>
      <x:c r="B111" s="2" t="str">
        <x:v>Quartiles</x:v>
      </x:c>
      <x:c r="C111" s="2" t="str">
        <x:v>Q2</x:v>
      </x:c>
      <x:c r="D111" s="28" t="n">
        <x:v>45717</x:v>
      </x:c>
      <x:c r="E111" s="2" t="str">
        <x:v>2025Q1</x:v>
      </x:c>
      <x:c r="F111" s="20" t="n">
        <x:v>17605.3</x:v>
      </x:c>
      <x:c r="G111" s="20" t="n">
        <x:f>'Quarterly data'!$E$7</x:f>
        <x:v>17032.1</x:v>
      </x:c>
      <x:c r="H111" s="22" t="n">
        <x:f>100*F111/G111</x:f>
        <x:v>103.3654100199036</x:v>
      </x:c>
      <x:c r="I111" s="24" t="n">
        <x:f>H111/100-1</x:f>
        <x:v>0.03365410019903603</x:v>
      </x:c>
      <x:c r="J111" s="26" t="n">
        <x:v>4</x:v>
      </x:c>
      <x:c r="K111" s="7" t="b">
        <x:v>0</x:v>
      </x:c>
      <x:c r="L111" s="2" t="str">
        <x:v>Aug 10–23, 2026</x:v>
      </x:c>
      <x:c r="M111" s="2" t="str">
        <x:v>https://www.census.gov/hfp/btos/downloads/Sector.xlsx</x:v>
      </x:c>
    </x:row>
    <x:row r="112" ht="24" customHeight="1">
      <x:c r="A112" s="2" t="str">
        <x:v>Census BTOS</x:v>
      </x:c>
      <x:c r="B112" s="2" t="str">
        <x:v>Quartiles</x:v>
      </x:c>
      <x:c r="C112" s="2" t="str">
        <x:v>Q3</x:v>
      </x:c>
      <x:c r="D112" s="28" t="n">
        <x:v>45717</x:v>
      </x:c>
      <x:c r="E112" s="2" t="str">
        <x:v>2025Q1</x:v>
      </x:c>
      <x:c r="F112" s="20" t="n">
        <x:v>47254.1</x:v>
      </x:c>
      <x:c r="G112" s="20" t="n">
        <x:f>'Quarterly data'!$E$8</x:f>
        <x:v>46008.9333333333</x:v>
      </x:c>
      <x:c r="H112" s="22" t="n">
        <x:f>100*F112/G112</x:f>
        <x:v>102.70635847531067</x:v>
      </x:c>
      <x:c r="I112" s="24" t="n">
        <x:f>H112/100-1</x:f>
        <x:v>0.027063584753106662</x:v>
      </x:c>
      <x:c r="J112" s="26" t="n">
        <x:v>4</x:v>
      </x:c>
      <x:c r="K112" s="7" t="b">
        <x:v>0</x:v>
      </x:c>
      <x:c r="L112" s="2" t="str">
        <x:v>Aug 10–23, 2026</x:v>
      </x:c>
      <x:c r="M112" s="2" t="str">
        <x:v>https://www.census.gov/hfp/btos/downloads/Sector.xlsx</x:v>
      </x:c>
    </x:row>
    <x:row r="113" ht="24" customHeight="1">
      <x:c r="A113" s="2" t="str">
        <x:v>Census BTOS</x:v>
      </x:c>
      <x:c r="B113" s="2" t="str">
        <x:v>Quartiles</x:v>
      </x:c>
      <x:c r="C113" s="2" t="str">
        <x:v>Q4</x:v>
      </x:c>
      <x:c r="D113" s="28" t="n">
        <x:v>45717</x:v>
      </x:c>
      <x:c r="E113" s="2" t="str">
        <x:v>2025Q1</x:v>
      </x:c>
      <x:c r="F113" s="20" t="n">
        <x:v>27068.7</x:v>
      </x:c>
      <x:c r="G113" s="20" t="n">
        <x:f>'Quarterly data'!$E$9</x:f>
        <x:v>26865.5666666667</x:v>
      </x:c>
      <x:c r="H113" s="22" t="n">
        <x:f>100*F113/G113</x:f>
        <x:v>100.75611036183852</x:v>
      </x:c>
      <x:c r="I113" s="24" t="n">
        <x:f>H113/100-1</x:f>
        <x:v>0.007561103618385134</x:v>
      </x:c>
      <x:c r="J113" s="26" t="n">
        <x:v>5</x:v>
      </x:c>
      <x:c r="K113" s="7" t="b">
        <x:v>0</x:v>
      </x:c>
      <x:c r="L113" s="2" t="str">
        <x:v>Aug 10–23, 2026</x:v>
      </x:c>
      <x:c r="M113" s="2" t="str">
        <x:v>https://www.census.gov/hfp/btos/downloads/Sector.xlsx</x:v>
      </x:c>
    </x:row>
    <x:row r="114" ht="24" customHeight="1">
      <x:c r="A114" s="2" t="str">
        <x:v>Census BTOS</x:v>
      </x:c>
      <x:c r="B114" s="2" t="str">
        <x:v>Quartiles</x:v>
      </x:c>
      <x:c r="C114" s="2" t="str">
        <x:v>Q1</x:v>
      </x:c>
      <x:c r="D114" s="28" t="n">
        <x:v>45748</x:v>
      </x:c>
      <x:c r="E114" s="2" t="str">
        <x:v>2025Q2</x:v>
      </x:c>
      <x:c r="F114" s="20" t="n">
        <x:v>42851.9</x:v>
      </x:c>
      <x:c r="G114" s="20" t="n">
        <x:f>'Quarterly data'!$E$6</x:f>
        <x:v>42506.2333333333</x:v>
      </x:c>
      <x:c r="H114" s="22" t="n">
        <x:f>100*F114/G114</x:f>
        <x:v>100.81321406193766</x:v>
      </x:c>
      <x:c r="I114" s="24" t="n">
        <x:f>H114/100-1</x:f>
        <x:v>0.008132140619376615</x:v>
      </x:c>
      <x:c r="J114" s="26" t="n">
        <x:v>5</x:v>
      </x:c>
      <x:c r="K114" s="7" t="b">
        <x:v>0</x:v>
      </x:c>
      <x:c r="L114" s="2" t="str">
        <x:v>Aug 10–23, 2026</x:v>
      </x:c>
      <x:c r="M114" s="2" t="str">
        <x:v>https://www.census.gov/hfp/btos/downloads/Sector.xlsx</x:v>
      </x:c>
    </x:row>
    <x:row r="115" ht="24" customHeight="1">
      <x:c r="A115" s="2" t="str">
        <x:v>Census BTOS</x:v>
      </x:c>
      <x:c r="B115" s="2" t="str">
        <x:v>Quartiles</x:v>
      </x:c>
      <x:c r="C115" s="2" t="str">
        <x:v>Q2</x:v>
      </x:c>
      <x:c r="D115" s="28" t="n">
        <x:v>45748</x:v>
      </x:c>
      <x:c r="E115" s="2" t="str">
        <x:v>2025Q2</x:v>
      </x:c>
      <x:c r="F115" s="20" t="n">
        <x:v>17604.9</x:v>
      </x:c>
      <x:c r="G115" s="20" t="n">
        <x:f>'Quarterly data'!$E$7</x:f>
        <x:v>17032.1</x:v>
      </x:c>
      <x:c r="H115" s="22" t="n">
        <x:f>100*F115/G115</x:f>
        <x:v>103.36306151326028</x:v>
      </x:c>
      <x:c r="I115" s="24" t="n">
        <x:f>H115/100-1</x:f>
        <x:v>0.03363061513260268</x:v>
      </x:c>
      <x:c r="J115" s="26" t="n">
        <x:v>4</x:v>
      </x:c>
      <x:c r="K115" s="7" t="b">
        <x:v>0</x:v>
      </x:c>
      <x:c r="L115" s="2" t="str">
        <x:v>Aug 10–23, 2026</x:v>
      </x:c>
      <x:c r="M115" s="2" t="str">
        <x:v>https://www.census.gov/hfp/btos/downloads/Sector.xlsx</x:v>
      </x:c>
    </x:row>
    <x:row r="116" ht="24" customHeight="1">
      <x:c r="A116" s="2" t="str">
        <x:v>Census BTOS</x:v>
      </x:c>
      <x:c r="B116" s="2" t="str">
        <x:v>Quartiles</x:v>
      </x:c>
      <x:c r="C116" s="2" t="str">
        <x:v>Q3</x:v>
      </x:c>
      <x:c r="D116" s="28" t="n">
        <x:v>45748</x:v>
      </x:c>
      <x:c r="E116" s="2" t="str">
        <x:v>2025Q2</x:v>
      </x:c>
      <x:c r="F116" s="20" t="n">
        <x:v>47338.5</x:v>
      </x:c>
      <x:c r="G116" s="20" t="n">
        <x:f>'Quarterly data'!$E$8</x:f>
        <x:v>46008.9333333333</x:v>
      </x:c>
      <x:c r="H116" s="22" t="n">
        <x:f>100*F116/G116</x:f>
        <x:v>102.88980111108864</x:v>
      </x:c>
      <x:c r="I116" s="24" t="n">
        <x:f>H116/100-1</x:f>
        <x:v>0.028898011110886523</x:v>
      </x:c>
      <x:c r="J116" s="26" t="n">
        <x:v>4</x:v>
      </x:c>
      <x:c r="K116" s="7" t="b">
        <x:v>0</x:v>
      </x:c>
      <x:c r="L116" s="2" t="str">
        <x:v>Aug 10–23, 2026</x:v>
      </x:c>
      <x:c r="M116" s="2" t="str">
        <x:v>https://www.census.gov/hfp/btos/downloads/Sector.xlsx</x:v>
      </x:c>
    </x:row>
    <x:row r="117" ht="24" customHeight="1">
      <x:c r="A117" s="2" t="str">
        <x:v>Census BTOS</x:v>
      </x:c>
      <x:c r="B117" s="2" t="str">
        <x:v>Quartiles</x:v>
      </x:c>
      <x:c r="C117" s="2" t="str">
        <x:v>Q4</x:v>
      </x:c>
      <x:c r="D117" s="28" t="n">
        <x:v>45748</x:v>
      </x:c>
      <x:c r="E117" s="2" t="str">
        <x:v>2025Q2</x:v>
      </x:c>
      <x:c r="F117" s="20" t="n">
        <x:v>27079</x:v>
      </x:c>
      <x:c r="G117" s="20" t="n">
        <x:f>'Quarterly data'!$E$9</x:f>
        <x:v>26865.5666666667</x:v>
      </x:c>
      <x:c r="H117" s="22" t="n">
        <x:f>100*F117/G117</x:f>
        <x:v>100.79444940053365</x:v>
      </x:c>
      <x:c r="I117" s="24" t="n">
        <x:f>H117/100-1</x:f>
        <x:v>0.007944494005336589</x:v>
      </x:c>
      <x:c r="J117" s="26" t="n">
        <x:v>5</x:v>
      </x:c>
      <x:c r="K117" s="7" t="b">
        <x:v>0</x:v>
      </x:c>
      <x:c r="L117" s="2" t="str">
        <x:v>Aug 10–23, 2026</x:v>
      </x:c>
      <x:c r="M117" s="2" t="str">
        <x:v>https://www.census.gov/hfp/btos/downloads/Sector.xlsx</x:v>
      </x:c>
    </x:row>
    <x:row r="118" ht="24" customHeight="1">
      <x:c r="A118" s="2" t="str">
        <x:v>Census BTOS</x:v>
      </x:c>
      <x:c r="B118" s="2" t="str">
        <x:v>Quartiles</x:v>
      </x:c>
      <x:c r="C118" s="2" t="str">
        <x:v>Q1</x:v>
      </x:c>
      <x:c r="D118" s="28" t="n">
        <x:v>45778</x:v>
      </x:c>
      <x:c r="E118" s="2" t="str">
        <x:v>2025Q2</x:v>
      </x:c>
      <x:c r="F118" s="20" t="n">
        <x:v>42824.4</x:v>
      </x:c>
      <x:c r="G118" s="20" t="n">
        <x:f>'Quarterly data'!$E$6</x:f>
        <x:v>42506.2333333333</x:v>
      </x:c>
      <x:c r="H118" s="22" t="n">
        <x:f>100*F118/G118</x:f>
        <x:v>100.7485176683891</x:v>
      </x:c>
      <x:c r="I118" s="24" t="n">
        <x:f>H118/100-1</x:f>
        <x:v>0.007485176683891037</x:v>
      </x:c>
      <x:c r="J118" s="26" t="n">
        <x:v>5</x:v>
      </x:c>
      <x:c r="K118" s="7" t="b">
        <x:v>0</x:v>
      </x:c>
      <x:c r="L118" s="2" t="str">
        <x:v>Aug 10–23, 2026</x:v>
      </x:c>
      <x:c r="M118" s="2" t="str">
        <x:v>https://www.census.gov/hfp/btos/downloads/Sector.xlsx</x:v>
      </x:c>
    </x:row>
    <x:row r="119" ht="24" customHeight="1">
      <x:c r="A119" s="2" t="str">
        <x:v>Census BTOS</x:v>
      </x:c>
      <x:c r="B119" s="2" t="str">
        <x:v>Quartiles</x:v>
      </x:c>
      <x:c r="C119" s="2" t="str">
        <x:v>Q2</x:v>
      </x:c>
      <x:c r="D119" s="28" t="n">
        <x:v>45778</x:v>
      </x:c>
      <x:c r="E119" s="2" t="str">
        <x:v>2025Q2</x:v>
      </x:c>
      <x:c r="F119" s="20" t="n">
        <x:v>17619.2</x:v>
      </x:c>
      <x:c r="G119" s="20" t="n">
        <x:f>'Quarterly data'!$E$7</x:f>
        <x:v>17032.1</x:v>
      </x:c>
      <x:c r="H119" s="22" t="n">
        <x:f>100*F119/G119</x:f>
        <x:v>103.4470206257596</x:v>
      </x:c>
      <x:c r="I119" s="24" t="n">
        <x:f>H119/100-1</x:f>
        <x:v>0.034470206257596114</x:v>
      </x:c>
      <x:c r="J119" s="26" t="n">
        <x:v>4</x:v>
      </x:c>
      <x:c r="K119" s="7" t="b">
        <x:v>0</x:v>
      </x:c>
      <x:c r="L119" s="2" t="str">
        <x:v>Aug 10–23, 2026</x:v>
      </x:c>
      <x:c r="M119" s="2" t="str">
        <x:v>https://www.census.gov/hfp/btos/downloads/Sector.xlsx</x:v>
      </x:c>
    </x:row>
    <x:row r="120" ht="24" customHeight="1">
      <x:c r="A120" s="2" t="str">
        <x:v>Census BTOS</x:v>
      </x:c>
      <x:c r="B120" s="2" t="str">
        <x:v>Quartiles</x:v>
      </x:c>
      <x:c r="C120" s="2" t="str">
        <x:v>Q3</x:v>
      </x:c>
      <x:c r="D120" s="28" t="n">
        <x:v>45778</x:v>
      </x:c>
      <x:c r="E120" s="2" t="str">
        <x:v>2025Q2</x:v>
      </x:c>
      <x:c r="F120" s="20" t="n">
        <x:v>47374.7</x:v>
      </x:c>
      <x:c r="G120" s="20" t="n">
        <x:f>'Quarterly data'!$E$8</x:f>
        <x:v>46008.9333333333</x:v>
      </x:c>
      <x:c r="H120" s="22" t="n">
        <x:f>100*F120/G120</x:f>
        <x:v>102.96848148330622</x:v>
      </x:c>
      <x:c r="I120" s="24" t="n">
        <x:f>H120/100-1</x:f>
        <x:v>0.02968481483306218</x:v>
      </x:c>
      <x:c r="J120" s="26" t="n">
        <x:v>4</x:v>
      </x:c>
      <x:c r="K120" s="7" t="b">
        <x:v>0</x:v>
      </x:c>
      <x:c r="L120" s="2" t="str">
        <x:v>Aug 10–23, 2026</x:v>
      </x:c>
      <x:c r="M120" s="2" t="str">
        <x:v>https://www.census.gov/hfp/btos/downloads/Sector.xlsx</x:v>
      </x:c>
    </x:row>
    <x:row r="121" ht="24" customHeight="1">
      <x:c r="A121" s="2" t="str">
        <x:v>Census BTOS</x:v>
      </x:c>
      <x:c r="B121" s="2" t="str">
        <x:v>Quartiles</x:v>
      </x:c>
      <x:c r="C121" s="2" t="str">
        <x:v>Q4</x:v>
      </x:c>
      <x:c r="D121" s="28" t="n">
        <x:v>45778</x:v>
      </x:c>
      <x:c r="E121" s="2" t="str">
        <x:v>2025Q2</x:v>
      </x:c>
      <x:c r="F121" s="20" t="n">
        <x:v>27076.6</x:v>
      </x:c>
      <x:c r="G121" s="20" t="n">
        <x:f>'Quarterly data'!$E$9</x:f>
        <x:v>26865.5666666667</x:v>
      </x:c>
      <x:c r="H121" s="22" t="n">
        <x:f>100*F121/G121</x:f>
        <x:v>100.78551603229401</x:v>
      </x:c>
      <x:c r="I121" s="24" t="n">
        <x:f>H121/100-1</x:f>
        <x:v>0.007855160322940202</x:v>
      </x:c>
      <x:c r="J121" s="26" t="n">
        <x:v>5</x:v>
      </x:c>
      <x:c r="K121" s="7" t="b">
        <x:v>0</x:v>
      </x:c>
      <x:c r="L121" s="2" t="str">
        <x:v>Aug 10–23, 2026</x:v>
      </x:c>
      <x:c r="M121" s="2" t="str">
        <x:v>https://www.census.gov/hfp/btos/downloads/Sector.xlsx</x:v>
      </x:c>
    </x:row>
    <x:row r="122" ht="24" customHeight="1">
      <x:c r="A122" s="2" t="str">
        <x:v>Census BTOS</x:v>
      </x:c>
      <x:c r="B122" s="2" t="str">
        <x:v>Quartiles</x:v>
      </x:c>
      <x:c r="C122" s="2" t="str">
        <x:v>Q1</x:v>
      </x:c>
      <x:c r="D122" s="28" t="n">
        <x:v>45809</x:v>
      </x:c>
      <x:c r="E122" s="2" t="str">
        <x:v>2025Q2</x:v>
      </x:c>
      <x:c r="F122" s="20" t="n">
        <x:v>42786.7</x:v>
      </x:c>
      <x:c r="G122" s="20" t="n">
        <x:f>'Quarterly data'!$E$6</x:f>
        <x:v>42506.2333333333</x:v>
      </x:c>
      <x:c r="H122" s="22" t="n">
        <x:f>100*F122/G122</x:f>
        <x:v>100.65982479432436</x:v>
      </x:c>
      <x:c r="I122" s="24" t="n">
        <x:f>H122/100-1</x:f>
        <x:v>0.006598247943243596</x:v>
      </x:c>
      <x:c r="J122" s="26" t="n">
        <x:v>5</x:v>
      </x:c>
      <x:c r="K122" s="7" t="b">
        <x:v>0</x:v>
      </x:c>
      <x:c r="L122" s="2" t="str">
        <x:v>Aug 10–23, 2026</x:v>
      </x:c>
      <x:c r="M122" s="2" t="str">
        <x:v>https://www.census.gov/hfp/btos/downloads/Sector.xlsx</x:v>
      </x:c>
    </x:row>
    <x:row r="123" ht="24" customHeight="1">
      <x:c r="A123" s="2" t="str">
        <x:v>Census BTOS</x:v>
      </x:c>
      <x:c r="B123" s="2" t="str">
        <x:v>Quartiles</x:v>
      </x:c>
      <x:c r="C123" s="2" t="str">
        <x:v>Q2</x:v>
      </x:c>
      <x:c r="D123" s="28" t="n">
        <x:v>45809</x:v>
      </x:c>
      <x:c r="E123" s="2" t="str">
        <x:v>2025Q2</x:v>
      </x:c>
      <x:c r="F123" s="20" t="n">
        <x:v>17615.9</x:v>
      </x:c>
      <x:c r="G123" s="20" t="n">
        <x:f>'Quarterly data'!$E$7</x:f>
        <x:v>17032.1</x:v>
      </x:c>
      <x:c r="H123" s="22" t="n">
        <x:f>100*F123/G123</x:f>
        <x:v>103.42764544595208</x:v>
      </x:c>
      <x:c r="I123" s="24" t="n">
        <x:f>H123/100-1</x:f>
        <x:v>0.03427645445952088</x:v>
      </x:c>
      <x:c r="J123" s="26" t="n">
        <x:v>4</x:v>
      </x:c>
      <x:c r="K123" s="7" t="b">
        <x:v>0</x:v>
      </x:c>
      <x:c r="L123" s="2" t="str">
        <x:v>Aug 10–23, 2026</x:v>
      </x:c>
      <x:c r="M123" s="2" t="str">
        <x:v>https://www.census.gov/hfp/btos/downloads/Sector.xlsx</x:v>
      </x:c>
    </x:row>
    <x:row r="124" ht="24" customHeight="1">
      <x:c r="A124" s="2" t="str">
        <x:v>Census BTOS</x:v>
      </x:c>
      <x:c r="B124" s="2" t="str">
        <x:v>Quartiles</x:v>
      </x:c>
      <x:c r="C124" s="2" t="str">
        <x:v>Q3</x:v>
      </x:c>
      <x:c r="D124" s="28" t="n">
        <x:v>45809</x:v>
      </x:c>
      <x:c r="E124" s="2" t="str">
        <x:v>2025Q2</x:v>
      </x:c>
      <x:c r="F124" s="20" t="n">
        <x:v>47401.6</x:v>
      </x:c>
      <x:c r="G124" s="20" t="n">
        <x:f>'Quarterly data'!$E$8</x:f>
        <x:v>46008.9333333333</x:v>
      </x:c>
      <x:c r="H124" s="22" t="n">
        <x:f>100*F124/G124</x:f>
        <x:v>103.02694838973309</x:v>
      </x:c>
      <x:c r="I124" s="24" t="n">
        <x:f>H124/100-1</x:f>
        <x:v>0.030269483897330973</x:v>
      </x:c>
      <x:c r="J124" s="26" t="n">
        <x:v>4</x:v>
      </x:c>
      <x:c r="K124" s="7" t="b">
        <x:v>0</x:v>
      </x:c>
      <x:c r="L124" s="2" t="str">
        <x:v>Aug 10–23, 2026</x:v>
      </x:c>
      <x:c r="M124" s="2" t="str">
        <x:v>https://www.census.gov/hfp/btos/downloads/Sector.xlsx</x:v>
      </x:c>
    </x:row>
    <x:row r="125" ht="24" customHeight="1">
      <x:c r="A125" s="2" t="str">
        <x:v>Census BTOS</x:v>
      </x:c>
      <x:c r="B125" s="2" t="str">
        <x:v>Quartiles</x:v>
      </x:c>
      <x:c r="C125" s="2" t="str">
        <x:v>Q4</x:v>
      </x:c>
      <x:c r="D125" s="28" t="n">
        <x:v>45809</x:v>
      </x:c>
      <x:c r="E125" s="2" t="str">
        <x:v>2025Q2</x:v>
      </x:c>
      <x:c r="F125" s="20" t="n">
        <x:v>27045.8</x:v>
      </x:c>
      <x:c r="G125" s="20" t="n">
        <x:f>'Quarterly data'!$E$9</x:f>
        <x:v>26865.5666666667</x:v>
      </x:c>
      <x:c r="H125" s="22" t="n">
        <x:f>100*F125/G125</x:f>
        <x:v>100.67087113988526</x:v>
      </x:c>
      <x:c r="I125" s="24" t="n">
        <x:f>H125/100-1</x:f>
        <x:v>0.0067087113988526514</x:v>
      </x:c>
      <x:c r="J125" s="26" t="n">
        <x:v>5</x:v>
      </x:c>
      <x:c r="K125" s="7" t="b">
        <x:v>0</x:v>
      </x:c>
      <x:c r="L125" s="2" t="str">
        <x:v>Aug 10–23, 2026</x:v>
      </x:c>
      <x:c r="M125" s="2" t="str">
        <x:v>https://www.census.gov/hfp/btos/downloads/Sector.xlsx</x:v>
      </x:c>
    </x:row>
    <x:row r="126" ht="24" customHeight="1">
      <x:c r="A126" s="2" t="str">
        <x:v>Census BTOS</x:v>
      </x:c>
      <x:c r="B126" s="2" t="str">
        <x:v>Quartiles</x:v>
      </x:c>
      <x:c r="C126" s="2" t="str">
        <x:v>Q1</x:v>
      </x:c>
      <x:c r="D126" s="28" t="n">
        <x:v>45839</x:v>
      </x:c>
      <x:c r="E126" s="2" t="str">
        <x:v>2025Q3</x:v>
      </x:c>
      <x:c r="F126" s="20" t="n">
        <x:v>42800.7</x:v>
      </x:c>
      <x:c r="G126" s="20" t="n">
        <x:f>'Quarterly data'!$E$6</x:f>
        <x:v>42506.2333333333</x:v>
      </x:c>
      <x:c r="H126" s="22" t="n">
        <x:f>100*F126/G126</x:f>
        <x:v>100.6927611401309</x:v>
      </x:c>
      <x:c r="I126" s="24" t="n">
        <x:f>H126/100-1</x:f>
        <x:v>0.006927611401309042</x:v>
      </x:c>
      <x:c r="J126" s="26" t="n">
        <x:v>5</x:v>
      </x:c>
      <x:c r="K126" s="7" t="b">
        <x:v>0</x:v>
      </x:c>
      <x:c r="L126" s="2" t="str">
        <x:v>Aug 10–23, 2026</x:v>
      </x:c>
      <x:c r="M126" s="2" t="str">
        <x:v>https://www.census.gov/hfp/btos/downloads/Sector.xlsx</x:v>
      </x:c>
    </x:row>
    <x:row r="127" ht="24" customHeight="1">
      <x:c r="A127" s="2" t="str">
        <x:v>Census BTOS</x:v>
      </x:c>
      <x:c r="B127" s="2" t="str">
        <x:v>Quartiles</x:v>
      </x:c>
      <x:c r="C127" s="2" t="str">
        <x:v>Q2</x:v>
      </x:c>
      <x:c r="D127" s="28" t="n">
        <x:v>45839</x:v>
      </x:c>
      <x:c r="E127" s="2" t="str">
        <x:v>2025Q3</x:v>
      </x:c>
      <x:c r="F127" s="20" t="n">
        <x:v>17610.9</x:v>
      </x:c>
      <x:c r="G127" s="20" t="n">
        <x:f>'Quarterly data'!$E$7</x:f>
        <x:v>17032.1</x:v>
      </x:c>
      <x:c r="H127" s="22" t="n">
        <x:f>100*F127/G127</x:f>
        <x:v>103.39828911291035</x:v>
      </x:c>
      <x:c r="I127" s="24" t="n">
        <x:f>H127/100-1</x:f>
        <x:v>0.033982891129103576</x:v>
      </x:c>
      <x:c r="J127" s="26" t="n">
        <x:v>4</x:v>
      </x:c>
      <x:c r="K127" s="7" t="b">
        <x:v>0</x:v>
      </x:c>
      <x:c r="L127" s="2" t="str">
        <x:v>Aug 10–23, 2026</x:v>
      </x:c>
      <x:c r="M127" s="2" t="str">
        <x:v>https://www.census.gov/hfp/btos/downloads/Sector.xlsx</x:v>
      </x:c>
    </x:row>
    <x:row r="128" ht="24" customHeight="1">
      <x:c r="A128" s="2" t="str">
        <x:v>Census BTOS</x:v>
      </x:c>
      <x:c r="B128" s="2" t="str">
        <x:v>Quartiles</x:v>
      </x:c>
      <x:c r="C128" s="2" t="str">
        <x:v>Q3</x:v>
      </x:c>
      <x:c r="D128" s="28" t="n">
        <x:v>45839</x:v>
      </x:c>
      <x:c r="E128" s="2" t="str">
        <x:v>2025Q3</x:v>
      </x:c>
      <x:c r="F128" s="20" t="n">
        <x:v>47446.4</x:v>
      </x:c>
      <x:c r="G128" s="20" t="n">
        <x:f>'Quarterly data'!$E$8</x:f>
        <x:v>46008.9333333333</x:v>
      </x:c>
      <x:c r="H128" s="22" t="n">
        <x:f>100*F128/G128</x:f>
        <x:v>103.1243207840797</x:v>
      </x:c>
      <x:c r="I128" s="24" t="n">
        <x:f>H128/100-1</x:f>
        <x:v>0.031243207840796927</x:v>
      </x:c>
      <x:c r="J128" s="26" t="n">
        <x:v>4</x:v>
      </x:c>
      <x:c r="K128" s="7" t="b">
        <x:v>0</x:v>
      </x:c>
      <x:c r="L128" s="2" t="str">
        <x:v>Aug 10–23, 2026</x:v>
      </x:c>
      <x:c r="M128" s="2" t="str">
        <x:v>https://www.census.gov/hfp/btos/downloads/Sector.xlsx</x:v>
      </x:c>
    </x:row>
    <x:row r="129" ht="24" customHeight="1">
      <x:c r="A129" s="2" t="str">
        <x:v>Census BTOS</x:v>
      </x:c>
      <x:c r="B129" s="2" t="str">
        <x:v>Quartiles</x:v>
      </x:c>
      <x:c r="C129" s="2" t="str">
        <x:v>Q4</x:v>
      </x:c>
      <x:c r="D129" s="28" t="n">
        <x:v>45839</x:v>
      </x:c>
      <x:c r="E129" s="2" t="str">
        <x:v>2025Q3</x:v>
      </x:c>
      <x:c r="F129" s="20" t="n">
        <x:v>27057.9</x:v>
      </x:c>
      <x:c r="G129" s="20" t="n">
        <x:f>'Quarterly data'!$E$9</x:f>
        <x:v>26865.5666666667</x:v>
      </x:c>
      <x:c r="H129" s="22" t="n">
        <x:f>100*F129/G129</x:f>
        <x:v>100.71591020476012</x:v>
      </x:c>
      <x:c r="I129" s="24" t="n">
        <x:f>H129/100-1</x:f>
        <x:v>0.0071591020476011735</x:v>
      </x:c>
      <x:c r="J129" s="26" t="n">
        <x:v>5</x:v>
      </x:c>
      <x:c r="K129" s="7" t="b">
        <x:v>0</x:v>
      </x:c>
      <x:c r="L129" s="2" t="str">
        <x:v>Aug 10–23, 2026</x:v>
      </x:c>
      <x:c r="M129" s="2" t="str">
        <x:v>https://www.census.gov/hfp/btos/downloads/Sector.xlsx</x:v>
      </x:c>
    </x:row>
    <x:row r="130" ht="24" customHeight="1">
      <x:c r="A130" s="2" t="str">
        <x:v>Census BTOS</x:v>
      </x:c>
      <x:c r="B130" s="2" t="str">
        <x:v>Quartiles</x:v>
      </x:c>
      <x:c r="C130" s="2" t="str">
        <x:v>Q1</x:v>
      </x:c>
      <x:c r="D130" s="28" t="n">
        <x:v>45870</x:v>
      </x:c>
      <x:c r="E130" s="2" t="str">
        <x:v>2025Q3</x:v>
      </x:c>
      <x:c r="F130" s="20" t="n">
        <x:v>42842.2</x:v>
      </x:c>
      <x:c r="G130" s="20" t="n">
        <x:f>'Quarterly data'!$E$6</x:f>
        <x:v>42506.2333333333</x:v>
      </x:c>
      <x:c r="H130" s="22" t="n">
        <x:f>100*F130/G130</x:f>
        <x:v>100.79039387948599</x:v>
      </x:c>
      <x:c r="I130" s="24" t="n">
        <x:f>H130/100-1</x:f>
        <x:v>0.007903938794859844</x:v>
      </x:c>
      <x:c r="J130" s="26" t="n">
        <x:v>5</x:v>
      </x:c>
      <x:c r="K130" s="7" t="b">
        <x:v>0</x:v>
      </x:c>
      <x:c r="L130" s="2" t="str">
        <x:v>Aug 10–23, 2026</x:v>
      </x:c>
      <x:c r="M130" s="2" t="str">
        <x:v>https://www.census.gov/hfp/btos/downloads/Sector.xlsx</x:v>
      </x:c>
    </x:row>
    <x:row r="131" ht="24" customHeight="1">
      <x:c r="A131" s="2" t="str">
        <x:v>Census BTOS</x:v>
      </x:c>
      <x:c r="B131" s="2" t="str">
        <x:v>Quartiles</x:v>
      </x:c>
      <x:c r="C131" s="2" t="str">
        <x:v>Q2</x:v>
      </x:c>
      <x:c r="D131" s="28" t="n">
        <x:v>45870</x:v>
      </x:c>
      <x:c r="E131" s="2" t="str">
        <x:v>2025Q3</x:v>
      </x:c>
      <x:c r="F131" s="20" t="n">
        <x:v>17584.6</x:v>
      </x:c>
      <x:c r="G131" s="20" t="n">
        <x:f>'Quarterly data'!$E$7</x:f>
        <x:v>17032.1</x:v>
      </x:c>
      <x:c r="H131" s="22" t="n">
        <x:f>100*F131/G131</x:f>
        <x:v>103.24387480111083</x:v>
      </x:c>
      <x:c r="I131" s="24" t="n">
        <x:f>H131/100-1</x:f>
        <x:v>0.032438748011108354</x:v>
      </x:c>
      <x:c r="J131" s="26" t="n">
        <x:v>4</x:v>
      </x:c>
      <x:c r="K131" s="7" t="b">
        <x:v>0</x:v>
      </x:c>
      <x:c r="L131" s="2" t="str">
        <x:v>Aug 10–23, 2026</x:v>
      </x:c>
      <x:c r="M131" s="2" t="str">
        <x:v>https://www.census.gov/hfp/btos/downloads/Sector.xlsx</x:v>
      </x:c>
    </x:row>
    <x:row r="132" ht="24" customHeight="1">
      <x:c r="A132" s="2" t="str">
        <x:v>Census BTOS</x:v>
      </x:c>
      <x:c r="B132" s="2" t="str">
        <x:v>Quartiles</x:v>
      </x:c>
      <x:c r="C132" s="2" t="str">
        <x:v>Q3</x:v>
      </x:c>
      <x:c r="D132" s="28" t="n">
        <x:v>45870</x:v>
      </x:c>
      <x:c r="E132" s="2" t="str">
        <x:v>2025Q3</x:v>
      </x:c>
      <x:c r="F132" s="20" t="n">
        <x:v>47432.7</x:v>
      </x:c>
      <x:c r="G132" s="20" t="n">
        <x:f>'Quarterly data'!$E$8</x:f>
        <x:v>46008.9333333333</x:v>
      </x:c>
      <x:c r="H132" s="22" t="n">
        <x:f>100*F132/G132</x:f>
        <x:v>103.09454395812995</x:v>
      </x:c>
      <x:c r="I132" s="24" t="n">
        <x:f>H132/100-1</x:f>
        <x:v>0.03094543958129936</x:v>
      </x:c>
      <x:c r="J132" s="26" t="n">
        <x:v>4</x:v>
      </x:c>
      <x:c r="K132" s="7" t="b">
        <x:v>0</x:v>
      </x:c>
      <x:c r="L132" s="2" t="str">
        <x:v>Aug 10–23, 2026</x:v>
      </x:c>
      <x:c r="M132" s="2" t="str">
        <x:v>https://www.census.gov/hfp/btos/downloads/Sector.xlsx</x:v>
      </x:c>
    </x:row>
    <x:row r="133" ht="24" customHeight="1">
      <x:c r="A133" s="2" t="str">
        <x:v>Census BTOS</x:v>
      </x:c>
      <x:c r="B133" s="2" t="str">
        <x:v>Quartiles</x:v>
      </x:c>
      <x:c r="C133" s="2" t="str">
        <x:v>Q4</x:v>
      </x:c>
      <x:c r="D133" s="28" t="n">
        <x:v>45870</x:v>
      </x:c>
      <x:c r="E133" s="2" t="str">
        <x:v>2025Q3</x:v>
      </x:c>
      <x:c r="F133" s="20" t="n">
        <x:v>27037.1</x:v>
      </x:c>
      <x:c r="G133" s="20" t="n">
        <x:f>'Quarterly data'!$E$9</x:f>
        <x:v>26865.5666666667</x:v>
      </x:c>
      <x:c r="H133" s="22" t="n">
        <x:f>100*F133/G133</x:f>
        <x:v>100.63848768001655</x:v>
      </x:c>
      <x:c r="I133" s="24" t="n">
        <x:f>H133/100-1</x:f>
        <x:v>0.006384876800165529</x:v>
      </x:c>
      <x:c r="J133" s="26" t="n">
        <x:v>5</x:v>
      </x:c>
      <x:c r="K133" s="7" t="b">
        <x:v>0</x:v>
      </x:c>
      <x:c r="L133" s="2" t="str">
        <x:v>Aug 10–23, 2026</x:v>
      </x:c>
      <x:c r="M133" s="2" t="str">
        <x:v>https://www.census.gov/hfp/btos/downloads/Sector.xlsx</x:v>
      </x:c>
    </x:row>
    <x:row r="134" ht="24" customHeight="1">
      <x:c r="A134" s="2" t="str">
        <x:v>Census BTOS</x:v>
      </x:c>
      <x:c r="B134" s="2" t="str">
        <x:v>Quartiles</x:v>
      </x:c>
      <x:c r="C134" s="2" t="str">
        <x:v>Q1</x:v>
      </x:c>
      <x:c r="D134" s="28" t="n">
        <x:v>45901</x:v>
      </x:c>
      <x:c r="E134" s="2" t="str">
        <x:v>2025Q3</x:v>
      </x:c>
      <x:c r="F134" s="20" t="n">
        <x:v>42848.3</x:v>
      </x:c>
      <x:c r="G134" s="20" t="n">
        <x:f>'Quarterly data'!$E$6</x:f>
        <x:v>42506.2333333333</x:v>
      </x:c>
      <x:c r="H134" s="22" t="n">
        <x:f>100*F134/G134</x:f>
        <x:v>100.80474471587313</x:v>
      </x:c>
      <x:c r="I134" s="24" t="n">
        <x:f>H134/100-1</x:f>
        <x:v>0.008047447158731291</x:v>
      </x:c>
      <x:c r="J134" s="26" t="n">
        <x:v>5</x:v>
      </x:c>
      <x:c r="K134" s="7" t="b">
        <x:v>0</x:v>
      </x:c>
      <x:c r="L134" s="2" t="str">
        <x:v>Aug 10–23, 2026</x:v>
      </x:c>
      <x:c r="M134" s="2" t="str">
        <x:v>https://www.census.gov/hfp/btos/downloads/Sector.xlsx</x:v>
      </x:c>
    </x:row>
    <x:row r="135" ht="24" customHeight="1">
      <x:c r="A135" s="2" t="str">
        <x:v>Census BTOS</x:v>
      </x:c>
      <x:c r="B135" s="2" t="str">
        <x:v>Quartiles</x:v>
      </x:c>
      <x:c r="C135" s="2" t="str">
        <x:v>Q2</x:v>
      </x:c>
      <x:c r="D135" s="28" t="n">
        <x:v>45901</x:v>
      </x:c>
      <x:c r="E135" s="2" t="str">
        <x:v>2025Q3</x:v>
      </x:c>
      <x:c r="F135" s="20" t="n">
        <x:v>17609.9</x:v>
      </x:c>
      <x:c r="G135" s="20" t="n">
        <x:f>'Quarterly data'!$E$7</x:f>
        <x:v>17032.1</x:v>
      </x:c>
      <x:c r="H135" s="22" t="n">
        <x:f>100*F135/G135</x:f>
        <x:v>103.39241784630201</x:v>
      </x:c>
      <x:c r="I135" s="24" t="n">
        <x:f>H135/100-1</x:f>
        <x:v>0.033924178463020205</x:v>
      </x:c>
      <x:c r="J135" s="26" t="n">
        <x:v>4</x:v>
      </x:c>
      <x:c r="K135" s="7" t="b">
        <x:v>0</x:v>
      </x:c>
      <x:c r="L135" s="2" t="str">
        <x:v>Aug 10–23, 2026</x:v>
      </x:c>
      <x:c r="M135" s="2" t="str">
        <x:v>https://www.census.gov/hfp/btos/downloads/Sector.xlsx</x:v>
      </x:c>
    </x:row>
    <x:row r="136" ht="24" customHeight="1">
      <x:c r="A136" s="2" t="str">
        <x:v>Census BTOS</x:v>
      </x:c>
      <x:c r="B136" s="2" t="str">
        <x:v>Quartiles</x:v>
      </x:c>
      <x:c r="C136" s="2" t="str">
        <x:v>Q3</x:v>
      </x:c>
      <x:c r="D136" s="28" t="n">
        <x:v>45901</x:v>
      </x:c>
      <x:c r="E136" s="2" t="str">
        <x:v>2025Q3</x:v>
      </x:c>
      <x:c r="F136" s="20" t="n">
        <x:v>47471.6</x:v>
      </x:c>
      <x:c r="G136" s="20" t="n">
        <x:f>'Quarterly data'!$E$8</x:f>
        <x:v>46008.9333333333</x:v>
      </x:c>
      <x:c r="H136" s="22" t="n">
        <x:f>100*F136/G136</x:f>
        <x:v>103.17909275589966</x:v>
      </x:c>
      <x:c r="I136" s="24" t="n">
        <x:f>H136/100-1</x:f>
        <x:v>0.03179092755899671</x:v>
      </x:c>
      <x:c r="J136" s="26" t="n">
        <x:v>4</x:v>
      </x:c>
      <x:c r="K136" s="7" t="b">
        <x:v>0</x:v>
      </x:c>
      <x:c r="L136" s="2" t="str">
        <x:v>Aug 10–23, 2026</x:v>
      </x:c>
      <x:c r="M136" s="2" t="str">
        <x:v>https://www.census.gov/hfp/btos/downloads/Sector.xlsx</x:v>
      </x:c>
    </x:row>
    <x:row r="137" ht="24" customHeight="1">
      <x:c r="A137" s="2" t="str">
        <x:v>Census BTOS</x:v>
      </x:c>
      <x:c r="B137" s="2" t="str">
        <x:v>Quartiles</x:v>
      </x:c>
      <x:c r="C137" s="2" t="str">
        <x:v>Q4</x:v>
      </x:c>
      <x:c r="D137" s="28" t="n">
        <x:v>45901</x:v>
      </x:c>
      <x:c r="E137" s="2" t="str">
        <x:v>2025Q3</x:v>
      </x:c>
      <x:c r="F137" s="20" t="n">
        <x:v>27035.6</x:v>
      </x:c>
      <x:c r="G137" s="20" t="n">
        <x:f>'Quarterly data'!$E$9</x:f>
        <x:v>26865.5666666667</x:v>
      </x:c>
      <x:c r="H137" s="22" t="n">
        <x:f>100*F137/G137</x:f>
        <x:v>100.63290432486679</x:v>
      </x:c>
      <x:c r="I137" s="24" t="n">
        <x:f>H137/100-1</x:f>
        <x:v>0.006329043248667787</x:v>
      </x:c>
      <x:c r="J137" s="26" t="n">
        <x:v>5</x:v>
      </x:c>
      <x:c r="K137" s="7" t="b">
        <x:v>0</x:v>
      </x:c>
      <x:c r="L137" s="2" t="str">
        <x:v>Aug 10–23, 2026</x:v>
      </x:c>
      <x:c r="M137" s="2" t="str">
        <x:v>https://www.census.gov/hfp/btos/downloads/Sector.xlsx</x:v>
      </x:c>
    </x:row>
    <x:row r="138" ht="24" customHeight="1">
      <x:c r="A138" s="2" t="str">
        <x:v>Census BTOS</x:v>
      </x:c>
      <x:c r="B138" s="2" t="str">
        <x:v>Quartiles</x:v>
      </x:c>
      <x:c r="C138" s="2" t="str">
        <x:v>Q1</x:v>
      </x:c>
      <x:c r="D138" s="28" t="n">
        <x:v>45931</x:v>
      </x:c>
      <x:c r="E138" s="2" t="str">
        <x:v>2025Q4</x:v>
      </x:c>
      <x:c r="F138" s="20" t="n">
        <x:v>42874.1</x:v>
      </x:c>
      <x:c r="G138" s="20" t="n">
        <x:f>'Quarterly data'!$E$6</x:f>
        <x:v>42506.2333333333</x:v>
      </x:c>
      <x:c r="H138" s="22" t="n">
        <x:f>100*F138/G138</x:f>
        <x:v>100.8654416960023</x:v>
      </x:c>
      <x:c r="I138" s="24" t="n">
        <x:f>H138/100-1</x:f>
        <x:v>0.008654416960023115</x:v>
      </x:c>
      <x:c r="J138" s="26" t="n">
        <x:v>5</x:v>
      </x:c>
      <x:c r="K138" s="7" t="b">
        <x:v>0</x:v>
      </x:c>
      <x:c r="L138" s="2" t="str">
        <x:v>Aug 10–23, 2026</x:v>
      </x:c>
      <x:c r="M138" s="2" t="str">
        <x:v>https://www.census.gov/hfp/btos/downloads/Sector.xlsx</x:v>
      </x:c>
    </x:row>
    <x:row r="139" ht="24" customHeight="1">
      <x:c r="A139" s="2" t="str">
        <x:v>Census BTOS</x:v>
      </x:c>
      <x:c r="B139" s="2" t="str">
        <x:v>Quartiles</x:v>
      </x:c>
      <x:c r="C139" s="2" t="str">
        <x:v>Q2</x:v>
      </x:c>
      <x:c r="D139" s="28" t="n">
        <x:v>45931</x:v>
      </x:c>
      <x:c r="E139" s="2" t="str">
        <x:v>2025Q4</x:v>
      </x:c>
      <x:c r="F139" s="20" t="n">
        <x:v>17597.1</x:v>
      </x:c>
      <x:c r="G139" s="20" t="n">
        <x:f>'Quarterly data'!$E$7</x:f>
        <x:v>17032.1</x:v>
      </x:c>
      <x:c r="H139" s="22" t="n">
        <x:f>100*F139/G139</x:f>
        <x:v>103.31726563371515</x:v>
      </x:c>
      <x:c r="I139" s="24" t="n">
        <x:f>H139/100-1</x:f>
        <x:v>0.033172656337151496</x:v>
      </x:c>
      <x:c r="J139" s="26" t="n">
        <x:v>4</x:v>
      </x:c>
      <x:c r="K139" s="7" t="b">
        <x:v>0</x:v>
      </x:c>
      <x:c r="L139" s="2" t="str">
        <x:v>Aug 10–23, 2026</x:v>
      </x:c>
      <x:c r="M139" s="2" t="str">
        <x:v>https://www.census.gov/hfp/btos/downloads/Sector.xlsx</x:v>
      </x:c>
    </x:row>
    <x:row r="140" ht="24" customHeight="1">
      <x:c r="A140" s="2" t="str">
        <x:v>Census BTOS</x:v>
      </x:c>
      <x:c r="B140" s="2" t="str">
        <x:v>Quartiles</x:v>
      </x:c>
      <x:c r="C140" s="2" t="str">
        <x:v>Q3</x:v>
      </x:c>
      <x:c r="D140" s="28" t="n">
        <x:v>45931</x:v>
      </x:c>
      <x:c r="E140" s="2" t="str">
        <x:v>2025Q4</x:v>
      </x:c>
      <x:c r="F140" s="20" t="n">
        <x:v>47490.5</x:v>
      </x:c>
      <x:c r="G140" s="20" t="n">
        <x:f>'Quarterly data'!$E$8</x:f>
        <x:v>46008.9333333333</x:v>
      </x:c>
      <x:c r="H140" s="22" t="n">
        <x:f>100*F140/G140</x:f>
        <x:v>103.22017173476463</x:v>
      </x:c>
      <x:c r="I140" s="24" t="n">
        <x:f>H140/100-1</x:f>
        <x:v>0.03220171734764632</x:v>
      </x:c>
      <x:c r="J140" s="26" t="n">
        <x:v>4</x:v>
      </x:c>
      <x:c r="K140" s="7" t="b">
        <x:v>0</x:v>
      </x:c>
      <x:c r="L140" s="2" t="str">
        <x:v>Aug 10–23, 2026</x:v>
      </x:c>
      <x:c r="M140" s="2" t="str">
        <x:v>https://www.census.gov/hfp/btos/downloads/Sector.xlsx</x:v>
      </x:c>
    </x:row>
    <x:row r="141" ht="24" customHeight="1">
      <x:c r="A141" s="2" t="str">
        <x:v>Census BTOS</x:v>
      </x:c>
      <x:c r="B141" s="2" t="str">
        <x:v>Quartiles</x:v>
      </x:c>
      <x:c r="C141" s="2" t="str">
        <x:v>Q4</x:v>
      </x:c>
      <x:c r="D141" s="28" t="n">
        <x:v>45931</x:v>
      </x:c>
      <x:c r="E141" s="2" t="str">
        <x:v>2025Q4</x:v>
      </x:c>
      <x:c r="F141" s="20" t="n">
        <x:v>27017.3</x:v>
      </x:c>
      <x:c r="G141" s="20" t="n">
        <x:f>'Quarterly data'!$E$9</x:f>
        <x:v>26865.5666666667</x:v>
      </x:c>
      <x:c r="H141" s="22" t="n">
        <x:f>100*F141/G141</x:f>
        <x:v>100.5647873920395</x:v>
      </x:c>
      <x:c r="I141" s="24" t="n">
        <x:f>H141/100-1</x:f>
        <x:v>0.005647873920395119</x:v>
      </x:c>
      <x:c r="J141" s="26" t="n">
        <x:v>5</x:v>
      </x:c>
      <x:c r="K141" s="7" t="b">
        <x:v>0</x:v>
      </x:c>
      <x:c r="L141" s="2" t="str">
        <x:v>Aug 10–23, 2026</x:v>
      </x:c>
      <x:c r="M141" s="2" t="str">
        <x:v>https://www.census.gov/hfp/btos/downloads/Sector.xlsx</x:v>
      </x:c>
    </x:row>
    <x:row r="142" ht="24" customHeight="1">
      <x:c r="A142" s="2" t="str">
        <x:v>Census BTOS</x:v>
      </x:c>
      <x:c r="B142" s="2" t="str">
        <x:v>Quartiles</x:v>
      </x:c>
      <x:c r="C142" s="2" t="str">
        <x:v>Q1</x:v>
      </x:c>
      <x:c r="D142" s="28" t="n">
        <x:v>45962</x:v>
      </x:c>
      <x:c r="E142" s="2" t="str">
        <x:v>2025Q4</x:v>
      </x:c>
      <x:c r="F142" s="20" t="n">
        <x:v>42850.5</x:v>
      </x:c>
      <x:c r="G142" s="20" t="n">
        <x:f>'Quarterly data'!$E$6</x:f>
        <x:v>42506.2333333333</x:v>
      </x:c>
      <x:c r="H142" s="22" t="n">
        <x:f>100*F142/G142</x:f>
        <x:v>100.809920427357</x:v>
      </x:c>
      <x:c r="I142" s="24" t="n">
        <x:f>H142/100-1</x:f>
        <x:v>0.008099204273569915</x:v>
      </x:c>
      <x:c r="J142" s="26" t="n">
        <x:v>5</x:v>
      </x:c>
      <x:c r="K142" s="7" t="b">
        <x:v>0</x:v>
      </x:c>
      <x:c r="L142" s="2" t="str">
        <x:v>Aug 10–23, 2026</x:v>
      </x:c>
      <x:c r="M142" s="2" t="str">
        <x:v>https://www.census.gov/hfp/btos/downloads/Sector.xlsx</x:v>
      </x:c>
    </x:row>
    <x:row r="143" ht="24" customHeight="1">
      <x:c r="A143" s="2" t="str">
        <x:v>Census BTOS</x:v>
      </x:c>
      <x:c r="B143" s="2" t="str">
        <x:v>Quartiles</x:v>
      </x:c>
      <x:c r="C143" s="2" t="str">
        <x:v>Q2</x:v>
      </x:c>
      <x:c r="D143" s="28" t="n">
        <x:v>45962</x:v>
      </x:c>
      <x:c r="E143" s="2" t="str">
        <x:v>2025Q4</x:v>
      </x:c>
      <x:c r="F143" s="20" t="n">
        <x:v>17595.8</x:v>
      </x:c>
      <x:c r="G143" s="20" t="n">
        <x:f>'Quarterly data'!$E$7</x:f>
        <x:v>17032.1</x:v>
      </x:c>
      <x:c r="H143" s="22" t="n">
        <x:f>100*F143/G143</x:f>
        <x:v>103.30963298712432</x:v>
      </x:c>
      <x:c r="I143" s="24" t="n">
        <x:f>H143/100-1</x:f>
        <x:v>0.033096329871243224</x:v>
      </x:c>
      <x:c r="J143" s="26" t="n">
        <x:v>4</x:v>
      </x:c>
      <x:c r="K143" s="7" t="b">
        <x:v>0</x:v>
      </x:c>
      <x:c r="L143" s="2" t="str">
        <x:v>Aug 10–23, 2026</x:v>
      </x:c>
      <x:c r="M143" s="2" t="str">
        <x:v>https://www.census.gov/hfp/btos/downloads/Sector.xlsx</x:v>
      </x:c>
    </x:row>
    <x:row r="144" ht="24" customHeight="1">
      <x:c r="A144" s="2" t="str">
        <x:v>Census BTOS</x:v>
      </x:c>
      <x:c r="B144" s="2" t="str">
        <x:v>Quartiles</x:v>
      </x:c>
      <x:c r="C144" s="2" t="str">
        <x:v>Q3</x:v>
      </x:c>
      <x:c r="D144" s="28" t="n">
        <x:v>45962</x:v>
      </x:c>
      <x:c r="E144" s="2" t="str">
        <x:v>2025Q4</x:v>
      </x:c>
      <x:c r="F144" s="20" t="n">
        <x:v>47562.6</x:v>
      </x:c>
      <x:c r="G144" s="20" t="n">
        <x:f>'Quarterly data'!$E$8</x:f>
        <x:v>46008.9333333333</x:v>
      </x:c>
      <x:c r="H144" s="22" t="n">
        <x:f>100*F144/G144</x:f>
        <x:v>103.3768804319162</x:v>
      </x:c>
      <x:c r="I144" s="24" t="n">
        <x:f>H144/100-1</x:f>
        <x:v>0.03376880431916196</x:v>
      </x:c>
      <x:c r="J144" s="26" t="n">
        <x:v>4</x:v>
      </x:c>
      <x:c r="K144" s="7" t="b">
        <x:v>0</x:v>
      </x:c>
      <x:c r="L144" s="2" t="str">
        <x:v>Aug 10–23, 2026</x:v>
      </x:c>
      <x:c r="M144" s="2" t="str">
        <x:v>https://www.census.gov/hfp/btos/downloads/Sector.xlsx</x:v>
      </x:c>
    </x:row>
    <x:row r="145" ht="24" customHeight="1">
      <x:c r="A145" s="2" t="str">
        <x:v>Census BTOS</x:v>
      </x:c>
      <x:c r="B145" s="2" t="str">
        <x:v>Quartiles</x:v>
      </x:c>
      <x:c r="C145" s="2" t="str">
        <x:v>Q4</x:v>
      </x:c>
      <x:c r="D145" s="28" t="n">
        <x:v>45962</x:v>
      </x:c>
      <x:c r="E145" s="2" t="str">
        <x:v>2025Q4</x:v>
      </x:c>
      <x:c r="F145" s="20" t="n">
        <x:v>27043.8</x:v>
      </x:c>
      <x:c r="G145" s="20" t="n">
        <x:f>'Quarterly data'!$E$9</x:f>
        <x:v>26865.5666666667</x:v>
      </x:c>
      <x:c r="H145" s="22" t="n">
        <x:f>100*F145/G145</x:f>
        <x:v>100.66342666635222</x:v>
      </x:c>
      <x:c r="I145" s="24" t="n">
        <x:f>H145/100-1</x:f>
        <x:v>0.006634266663522181</x:v>
      </x:c>
      <x:c r="J145" s="26" t="n">
        <x:v>5</x:v>
      </x:c>
      <x:c r="K145" s="7" t="b">
        <x:v>0</x:v>
      </x:c>
      <x:c r="L145" s="2" t="str">
        <x:v>Aug 10–23, 2026</x:v>
      </x:c>
      <x:c r="M145" s="2" t="str">
        <x:v>https://www.census.gov/hfp/btos/downloads/Sector.xlsx</x:v>
      </x:c>
    </x:row>
    <x:row r="146" ht="24" customHeight="1">
      <x:c r="A146" s="2" t="str">
        <x:v>Census BTOS</x:v>
      </x:c>
      <x:c r="B146" s="2" t="str">
        <x:v>Quartiles</x:v>
      </x:c>
      <x:c r="C146" s="2" t="str">
        <x:v>Q1</x:v>
      </x:c>
      <x:c r="D146" s="28" t="n">
        <x:v>45992</x:v>
      </x:c>
      <x:c r="E146" s="2" t="str">
        <x:v>2025Q4</x:v>
      </x:c>
      <x:c r="F146" s="20" t="n">
        <x:v>42840</x:v>
      </x:c>
      <x:c r="G146" s="20" t="n">
        <x:f>'Quarterly data'!$E$6</x:f>
        <x:v>42506.2333333333</x:v>
      </x:c>
      <x:c r="H146" s="22" t="n">
        <x:f>100*F146/G146</x:f>
        <x:v>100.7852181680021</x:v>
      </x:c>
      <x:c r="I146" s="24" t="n">
        <x:f>H146/100-1</x:f>
        <x:v>0.007852181680020998</x:v>
      </x:c>
      <x:c r="J146" s="26" t="n">
        <x:v>5</x:v>
      </x:c>
      <x:c r="K146" s="7" t="b">
        <x:v>0</x:v>
      </x:c>
      <x:c r="L146" s="2" t="str">
        <x:v>Aug 10–23, 2026</x:v>
      </x:c>
      <x:c r="M146" s="2" t="str">
        <x:v>https://www.census.gov/hfp/btos/downloads/Sector.xlsx</x:v>
      </x:c>
    </x:row>
    <x:row r="147" ht="24" customHeight="1">
      <x:c r="A147" s="2" t="str">
        <x:v>Census BTOS</x:v>
      </x:c>
      <x:c r="B147" s="2" t="str">
        <x:v>Quartiles</x:v>
      </x:c>
      <x:c r="C147" s="2" t="str">
        <x:v>Q2</x:v>
      </x:c>
      <x:c r="D147" s="28" t="n">
        <x:v>45992</x:v>
      </x:c>
      <x:c r="E147" s="2" t="str">
        <x:v>2025Q4</x:v>
      </x:c>
      <x:c r="F147" s="20" t="n">
        <x:v>17598.5</x:v>
      </x:c>
      <x:c r="G147" s="20" t="n">
        <x:f>'Quarterly data'!$E$7</x:f>
        <x:v>17032.1</x:v>
      </x:c>
      <x:c r="H147" s="22" t="n">
        <x:f>100*F147/G147</x:f>
        <x:v>103.32548540696685</x:v>
      </x:c>
      <x:c r="I147" s="24" t="n">
        <x:f>H147/100-1</x:f>
        <x:v>0.03325485406966844</x:v>
      </x:c>
      <x:c r="J147" s="26" t="n">
        <x:v>4</x:v>
      </x:c>
      <x:c r="K147" s="7" t="b">
        <x:v>0</x:v>
      </x:c>
      <x:c r="L147" s="2" t="str">
        <x:v>Aug 10–23, 2026</x:v>
      </x:c>
      <x:c r="M147" s="2" t="str">
        <x:v>https://www.census.gov/hfp/btos/downloads/Sector.xlsx</x:v>
      </x:c>
    </x:row>
    <x:row r="148" ht="24" customHeight="1">
      <x:c r="A148" s="2" t="str">
        <x:v>Census BTOS</x:v>
      </x:c>
      <x:c r="B148" s="2" t="str">
        <x:v>Quartiles</x:v>
      </x:c>
      <x:c r="C148" s="2" t="str">
        <x:v>Q3</x:v>
      </x:c>
      <x:c r="D148" s="28" t="n">
        <x:v>45992</x:v>
      </x:c>
      <x:c r="E148" s="2" t="str">
        <x:v>2025Q4</x:v>
      </x:c>
      <x:c r="F148" s="20" t="n">
        <x:v>47584.2</x:v>
      </x:c>
      <x:c r="G148" s="20" t="n">
        <x:f>'Quarterly data'!$E$8</x:f>
        <x:v>46008.9333333333</x:v>
      </x:c>
      <x:c r="H148" s="22" t="n">
        <x:f>100*F148/G148</x:f>
        <x:v>103.42382783633332</x:v>
      </x:c>
      <x:c r="I148" s="24" t="n">
        <x:f>H148/100-1</x:f>
        <x:v>0.03423827836333326</x:v>
      </x:c>
      <x:c r="J148" s="26" t="n">
        <x:v>4</x:v>
      </x:c>
      <x:c r="K148" s="7" t="b">
        <x:v>0</x:v>
      </x:c>
      <x:c r="L148" s="2" t="str">
        <x:v>Aug 10–23, 2026</x:v>
      </x:c>
      <x:c r="M148" s="2" t="str">
        <x:v>https://www.census.gov/hfp/btos/downloads/Sector.xlsx</x:v>
      </x:c>
    </x:row>
    <x:row r="149" ht="24" customHeight="1">
      <x:c r="A149" s="2" t="str">
        <x:v>Census BTOS</x:v>
      </x:c>
      <x:c r="B149" s="2" t="str">
        <x:v>Quartiles</x:v>
      </x:c>
      <x:c r="C149" s="2" t="str">
        <x:v>Q4</x:v>
      </x:c>
      <x:c r="D149" s="28" t="n">
        <x:v>45992</x:v>
      </x:c>
      <x:c r="E149" s="2" t="str">
        <x:v>2025Q4</x:v>
      </x:c>
      <x:c r="F149" s="20" t="n">
        <x:v>27022.1</x:v>
      </x:c>
      <x:c r="G149" s="20" t="n">
        <x:f>'Quarterly data'!$E$9</x:f>
        <x:v>26865.5666666667</x:v>
      </x:c>
      <x:c r="H149" s="22" t="n">
        <x:f>100*F149/G149</x:f>
        <x:v>100.5826541285188</x:v>
      </x:c>
      <x:c r="I149" s="24" t="n">
        <x:f>H149/100-1</x:f>
        <x:v>0.005826541285187892</x:v>
      </x:c>
      <x:c r="J149" s="26" t="n">
        <x:v>5</x:v>
      </x:c>
      <x:c r="K149" s="7" t="b">
        <x:v>0</x:v>
      </x:c>
      <x:c r="L149" s="2" t="str">
        <x:v>Aug 10–23, 2026</x:v>
      </x:c>
      <x:c r="M149" s="2" t="str">
        <x:v>https://www.census.gov/hfp/btos/downloads/Sector.xlsx</x:v>
      </x:c>
    </x:row>
    <x:row r="150" ht="24" customHeight="1">
      <x:c r="A150" s="2" t="str">
        <x:v>Census BTOS</x:v>
      </x:c>
      <x:c r="B150" s="2" t="str">
        <x:v>Quartiles</x:v>
      </x:c>
      <x:c r="C150" s="2" t="str">
        <x:v>Q1</x:v>
      </x:c>
      <x:c r="D150" s="28" t="n">
        <x:v>46023</x:v>
      </x:c>
      <x:c r="E150" s="2" t="str">
        <x:v>2026Q1</x:v>
      </x:c>
      <x:c r="F150" s="20" t="n">
        <x:v>42892.1</x:v>
      </x:c>
      <x:c r="G150" s="20" t="n">
        <x:f>'Quarterly data'!$E$6</x:f>
        <x:v>42506.2333333333</x:v>
      </x:c>
      <x:c r="H150" s="22" t="n">
        <x:f>100*F150/G150</x:f>
        <x:v>100.907788426325</x:v>
      </x:c>
      <x:c r="I150" s="24" t="n">
        <x:f>H150/100-1</x:f>
        <x:v>0.009077884263249958</x:v>
      </x:c>
      <x:c r="J150" s="26" t="n">
        <x:v>5</x:v>
      </x:c>
      <x:c r="K150" s="7" t="b">
        <x:v>0</x:v>
      </x:c>
      <x:c r="L150" s="2" t="str">
        <x:v>Aug 10–23, 2026</x:v>
      </x:c>
      <x:c r="M150" s="2" t="str">
        <x:v>https://www.census.gov/hfp/btos/downloads/Sector.xlsx</x:v>
      </x:c>
    </x:row>
    <x:row r="151" ht="24" customHeight="1">
      <x:c r="A151" s="2" t="str">
        <x:v>Census BTOS</x:v>
      </x:c>
      <x:c r="B151" s="2" t="str">
        <x:v>Quartiles</x:v>
      </x:c>
      <x:c r="C151" s="2" t="str">
        <x:v>Q2</x:v>
      </x:c>
      <x:c r="D151" s="28" t="n">
        <x:v>46023</x:v>
      </x:c>
      <x:c r="E151" s="2" t="str">
        <x:v>2026Q1</x:v>
      </x:c>
      <x:c r="F151" s="20" t="n">
        <x:v>17634.9</x:v>
      </x:c>
      <x:c r="G151" s="20" t="n">
        <x:f>'Quarterly data'!$E$7</x:f>
        <x:v>17032.1</x:v>
      </x:c>
      <x:c r="H151" s="22" t="n">
        <x:f>100*F151/G151</x:f>
        <x:v>103.53919951151065</x:v>
      </x:c>
      <x:c r="I151" s="24" t="n">
        <x:f>H151/100-1</x:f>
        <x:v>0.03539199511510649</x:v>
      </x:c>
      <x:c r="J151" s="26" t="n">
        <x:v>4</x:v>
      </x:c>
      <x:c r="K151" s="7" t="b">
        <x:v>0</x:v>
      </x:c>
      <x:c r="L151" s="2" t="str">
        <x:v>Aug 10–23, 2026</x:v>
      </x:c>
      <x:c r="M151" s="2" t="str">
        <x:v>https://www.census.gov/hfp/btos/downloads/Sector.xlsx</x:v>
      </x:c>
    </x:row>
    <x:row r="152" ht="24" customHeight="1">
      <x:c r="A152" s="2" t="str">
        <x:v>Census BTOS</x:v>
      </x:c>
      <x:c r="B152" s="2" t="str">
        <x:v>Quartiles</x:v>
      </x:c>
      <x:c r="C152" s="2" t="str">
        <x:v>Q3</x:v>
      </x:c>
      <x:c r="D152" s="28" t="n">
        <x:v>46023</x:v>
      </x:c>
      <x:c r="E152" s="2" t="str">
        <x:v>2026Q1</x:v>
      </x:c>
      <x:c r="F152" s="20" t="n">
        <x:v>47711.4</x:v>
      </x:c>
      <x:c r="G152" s="20" t="n">
        <x:f>'Quarterly data'!$E$8</x:f>
        <x:v>46008.9333333333</x:v>
      </x:c>
      <x:c r="H152" s="22" t="n">
        <x:f>100*F152/G152</x:f>
        <x:v>103.70029588456742</x:v>
      </x:c>
      <x:c r="I152" s="24" t="n">
        <x:f>H152/100-1</x:f>
        <x:v>0.03700295884567417</x:v>
      </x:c>
      <x:c r="J152" s="26" t="n">
        <x:v>4</x:v>
      </x:c>
      <x:c r="K152" s="7" t="b">
        <x:v>0</x:v>
      </x:c>
      <x:c r="L152" s="2" t="str">
        <x:v>Aug 10–23, 2026</x:v>
      </x:c>
      <x:c r="M152" s="2" t="str">
        <x:v>https://www.census.gov/hfp/btos/downloads/Sector.xlsx</x:v>
      </x:c>
    </x:row>
    <x:row r="153" ht="24" customHeight="1">
      <x:c r="A153" s="2" t="str">
        <x:v>Census BTOS</x:v>
      </x:c>
      <x:c r="B153" s="2" t="str">
        <x:v>Quartiles</x:v>
      </x:c>
      <x:c r="C153" s="2" t="str">
        <x:v>Q4</x:v>
      </x:c>
      <x:c r="D153" s="28" t="n">
        <x:v>46023</x:v>
      </x:c>
      <x:c r="E153" s="2" t="str">
        <x:v>2026Q1</x:v>
      </x:c>
      <x:c r="F153" s="20" t="n">
        <x:v>26987.4</x:v>
      </x:c>
      <x:c r="G153" s="20" t="n">
        <x:f>'Quarterly data'!$E$9</x:f>
        <x:v>26865.5666666667</x:v>
      </x:c>
      <x:c r="H153" s="22" t="n">
        <x:f>100*F153/G153</x:f>
        <x:v>100.45349251272063</x:v>
      </x:c>
      <x:c r="I153" s="24" t="n">
        <x:f>H153/100-1</x:f>
        <x:v>0.004534925127206213</x:v>
      </x:c>
      <x:c r="J153" s="26" t="n">
        <x:v>5</x:v>
      </x:c>
      <x:c r="K153" s="7" t="b">
        <x:v>0</x:v>
      </x:c>
      <x:c r="L153" s="2" t="str">
        <x:v>Aug 10–23, 2026</x:v>
      </x:c>
      <x:c r="M153" s="2" t="str">
        <x:v>https://www.census.gov/hfp/btos/downloads/Sector.xlsx</x:v>
      </x:c>
    </x:row>
    <x:row r="154" ht="24" customHeight="1">
      <x:c r="A154" s="2" t="str">
        <x:v>Census BTOS</x:v>
      </x:c>
      <x:c r="B154" s="2" t="str">
        <x:v>Quartiles</x:v>
      </x:c>
      <x:c r="C154" s="2" t="str">
        <x:v>Q1</x:v>
      </x:c>
      <x:c r="D154" s="28" t="n">
        <x:v>46054</x:v>
      </x:c>
      <x:c r="E154" s="2" t="str">
        <x:v>2026Q1</x:v>
      </x:c>
      <x:c r="F154" s="20" t="n">
        <x:v>42804.6</x:v>
      </x:c>
      <x:c r="G154" s="20" t="n">
        <x:f>'Quarterly data'!$E$6</x:f>
        <x:v>42506.2333333333</x:v>
      </x:c>
      <x:c r="H154" s="22" t="n">
        <x:f>100*F154/G154</x:f>
        <x:v>100.70193626503415</x:v>
      </x:c>
      <x:c r="I154" s="24" t="n">
        <x:f>H154/100-1</x:f>
        <x:v>0.007019362650341421</x:v>
      </x:c>
      <x:c r="J154" s="26" t="n">
        <x:v>5</x:v>
      </x:c>
      <x:c r="K154" s="7" t="b">
        <x:v>0</x:v>
      </x:c>
      <x:c r="L154" s="2" t="str">
        <x:v>Aug 10–23, 2026</x:v>
      </x:c>
      <x:c r="M154" s="2" t="str">
        <x:v>https://www.census.gov/hfp/btos/downloads/Sector.xlsx</x:v>
      </x:c>
    </x:row>
    <x:row r="155" ht="24" customHeight="1">
      <x:c r="A155" s="2" t="str">
        <x:v>Census BTOS</x:v>
      </x:c>
      <x:c r="B155" s="2" t="str">
        <x:v>Quartiles</x:v>
      </x:c>
      <x:c r="C155" s="2" t="str">
        <x:v>Q2</x:v>
      </x:c>
      <x:c r="D155" s="28" t="n">
        <x:v>46054</x:v>
      </x:c>
      <x:c r="E155" s="2" t="str">
        <x:v>2026Q1</x:v>
      </x:c>
      <x:c r="F155" s="20" t="n">
        <x:v>17641.2</x:v>
      </x:c>
      <x:c r="G155" s="20" t="n">
        <x:f>'Quarterly data'!$E$7</x:f>
        <x:v>17032.1</x:v>
      </x:c>
      <x:c r="H155" s="22" t="n">
        <x:f>100*F155/G155</x:f>
        <x:v>103.5761884911432</x:v>
      </x:c>
      <x:c r="I155" s="24" t="n">
        <x:f>H155/100-1</x:f>
        <x:v>0.03576188491143206</x:v>
      </x:c>
      <x:c r="J155" s="26" t="n">
        <x:v>4</x:v>
      </x:c>
      <x:c r="K155" s="7" t="b">
        <x:v>0</x:v>
      </x:c>
      <x:c r="L155" s="2" t="str">
        <x:v>Aug 10–23, 2026</x:v>
      </x:c>
      <x:c r="M155" s="2" t="str">
        <x:v>https://www.census.gov/hfp/btos/downloads/Sector.xlsx</x:v>
      </x:c>
    </x:row>
    <x:row r="156" ht="24" customHeight="1">
      <x:c r="A156" s="2" t="str">
        <x:v>Census BTOS</x:v>
      </x:c>
      <x:c r="B156" s="2" t="str">
        <x:v>Quartiles</x:v>
      </x:c>
      <x:c r="C156" s="2" t="str">
        <x:v>Q3</x:v>
      </x:c>
      <x:c r="D156" s="28" t="n">
        <x:v>46054</x:v>
      </x:c>
      <x:c r="E156" s="2" t="str">
        <x:v>2026Q1</x:v>
      </x:c>
      <x:c r="F156" s="20" t="n">
        <x:v>47672.2</x:v>
      </x:c>
      <x:c r="G156" s="20" t="n">
        <x:f>'Quarterly data'!$E$8</x:f>
        <x:v>46008.9333333333</x:v>
      </x:c>
      <x:c r="H156" s="22" t="n">
        <x:f>100*F156/G156</x:f>
        <x:v>103.61509503951415</x:v>
      </x:c>
      <x:c r="I156" s="24" t="n">
        <x:f>H156/100-1</x:f>
        <x:v>0.03615095039514138</x:v>
      </x:c>
      <x:c r="J156" s="26" t="n">
        <x:v>4</x:v>
      </x:c>
      <x:c r="K156" s="7" t="b">
        <x:v>0</x:v>
      </x:c>
      <x:c r="L156" s="2" t="str">
        <x:v>Aug 10–23, 2026</x:v>
      </x:c>
      <x:c r="M156" s="2" t="str">
        <x:v>https://www.census.gov/hfp/btos/downloads/Sector.xlsx</x:v>
      </x:c>
    </x:row>
    <x:row r="157" ht="24" customHeight="1">
      <x:c r="A157" s="2" t="str">
        <x:v>Census BTOS</x:v>
      </x:c>
      <x:c r="B157" s="2" t="str">
        <x:v>Quartiles</x:v>
      </x:c>
      <x:c r="C157" s="2" t="str">
        <x:v>Q4</x:v>
      </x:c>
      <x:c r="D157" s="28" t="n">
        <x:v>46054</x:v>
      </x:c>
      <x:c r="E157" s="2" t="str">
        <x:v>2026Q1</x:v>
      </x:c>
      <x:c r="F157" s="20" t="n">
        <x:v>26960.8</x:v>
      </x:c>
      <x:c r="G157" s="20" t="n">
        <x:f>'Quarterly data'!$E$9</x:f>
        <x:v>26865.5666666667</x:v>
      </x:c>
      <x:c r="H157" s="22" t="n">
        <x:f>100*F157/G157</x:f>
        <x:v>100.35448101473125</x:v>
      </x:c>
      <x:c r="I157" s="24" t="n">
        <x:f>H157/100-1</x:f>
        <x:v>0.0035448101473125604</x:v>
      </x:c>
      <x:c r="J157" s="26" t="n">
        <x:v>5</x:v>
      </x:c>
      <x:c r="K157" s="7" t="b">
        <x:v>0</x:v>
      </x:c>
      <x:c r="L157" s="2" t="str">
        <x:v>Aug 10–23, 2026</x:v>
      </x:c>
      <x:c r="M157" s="2" t="str">
        <x:v>https://www.census.gov/hfp/btos/downloads/Sector.xlsx</x:v>
      </x:c>
    </x:row>
    <x:row r="158" ht="24" customHeight="1">
      <x:c r="A158" s="2" t="str">
        <x:v>Census BTOS</x:v>
      </x:c>
      <x:c r="B158" s="2" t="str">
        <x:v>Quartiles</x:v>
      </x:c>
      <x:c r="C158" s="2" t="str">
        <x:v>Q1</x:v>
      </x:c>
      <x:c r="D158" s="28" t="n">
        <x:v>46082</x:v>
      </x:c>
      <x:c r="E158" s="2" t="str">
        <x:v>2026Q1</x:v>
      </x:c>
      <x:c r="F158" s="20" t="n">
        <x:v>42868.8</x:v>
      </x:c>
      <x:c r="G158" s="20" t="n">
        <x:f>'Quarterly data'!$E$6</x:f>
        <x:v>42506.2333333333</x:v>
      </x:c>
      <x:c r="H158" s="22" t="n">
        <x:f>100*F158/G158</x:f>
        <x:v>100.85297293651841</x:v>
      </x:c>
      <x:c r="I158" s="24" t="n">
        <x:f>H158/100-1</x:f>
        <x:v>0.008529729365184036</x:v>
      </x:c>
      <x:c r="J158" s="26" t="n">
        <x:v>5</x:v>
      </x:c>
      <x:c r="K158" s="7" t="b">
        <x:v>0</x:v>
      </x:c>
      <x:c r="L158" s="2" t="str">
        <x:v>Aug 10–23, 2026</x:v>
      </x:c>
      <x:c r="M158" s="2" t="str">
        <x:v>https://www.census.gov/hfp/btos/downloads/Sector.xlsx</x:v>
      </x:c>
    </x:row>
    <x:row r="159" ht="24" customHeight="1">
      <x:c r="A159" s="2" t="str">
        <x:v>Census BTOS</x:v>
      </x:c>
      <x:c r="B159" s="2" t="str">
        <x:v>Quartiles</x:v>
      </x:c>
      <x:c r="C159" s="2" t="str">
        <x:v>Q2</x:v>
      </x:c>
      <x:c r="D159" s="28" t="n">
        <x:v>46082</x:v>
      </x:c>
      <x:c r="E159" s="2" t="str">
        <x:v>2026Q1</x:v>
      </x:c>
      <x:c r="F159" s="20" t="n">
        <x:v>17655.5</x:v>
      </x:c>
      <x:c r="G159" s="20" t="n">
        <x:f>'Quarterly data'!$E$7</x:f>
        <x:v>17032.1</x:v>
      </x:c>
      <x:c r="H159" s="22" t="n">
        <x:f>100*F159/G159</x:f>
        <x:v>103.66014760364254</x:v>
      </x:c>
      <x:c r="I159" s="24" t="n">
        <x:f>H159/100-1</x:f>
        <x:v>0.036601476036425495</x:v>
      </x:c>
      <x:c r="J159" s="26" t="n">
        <x:v>4</x:v>
      </x:c>
      <x:c r="K159" s="7" t="b">
        <x:v>0</x:v>
      </x:c>
      <x:c r="L159" s="2" t="str">
        <x:v>Aug 10–23, 2026</x:v>
      </x:c>
      <x:c r="M159" s="2" t="str">
        <x:v>https://www.census.gov/hfp/btos/downloads/Sector.xlsx</x:v>
      </x:c>
    </x:row>
    <x:row r="160" ht="24" customHeight="1">
      <x:c r="A160" s="2" t="str">
        <x:v>Census BTOS</x:v>
      </x:c>
      <x:c r="B160" s="2" t="str">
        <x:v>Quartiles</x:v>
      </x:c>
      <x:c r="C160" s="2" t="str">
        <x:v>Q3</x:v>
      </x:c>
      <x:c r="D160" s="28" t="n">
        <x:v>46082</x:v>
      </x:c>
      <x:c r="E160" s="2" t="str">
        <x:v>2026Q1</x:v>
      </x:c>
      <x:c r="F160" s="20" t="n">
        <x:v>47827</x:v>
      </x:c>
      <x:c r="G160" s="20" t="n">
        <x:f>'Quarterly data'!$E$8</x:f>
        <x:v>46008.9333333333</x:v>
      </x:c>
      <x:c r="H160" s="22" t="n">
        <x:f>100*F160/G160</x:f>
        <x:v>103.95155143783678</x:v>
      </x:c>
      <x:c r="I160" s="24" t="n">
        <x:f>H160/100-1</x:f>
        <x:v>0.039515514378367866</x:v>
      </x:c>
      <x:c r="J160" s="26" t="n">
        <x:v>4</x:v>
      </x:c>
      <x:c r="K160" s="7" t="b">
        <x:v>0</x:v>
      </x:c>
      <x:c r="L160" s="2" t="str">
        <x:v>Aug 10–23, 2026</x:v>
      </x:c>
      <x:c r="M160" s="2" t="str">
        <x:v>https://www.census.gov/hfp/btos/downloads/Sector.xlsx</x:v>
      </x:c>
    </x:row>
    <x:row r="161" ht="24" customHeight="1">
      <x:c r="A161" s="2" t="str">
        <x:v>Census BTOS</x:v>
      </x:c>
      <x:c r="B161" s="2" t="str">
        <x:v>Quartiles</x:v>
      </x:c>
      <x:c r="C161" s="2" t="str">
        <x:v>Q4</x:v>
      </x:c>
      <x:c r="D161" s="28" t="n">
        <x:v>46082</x:v>
      </x:c>
      <x:c r="E161" s="2" t="str">
        <x:v>2026Q1</x:v>
      </x:c>
      <x:c r="F161" s="20" t="n">
        <x:v>26928.4</x:v>
      </x:c>
      <x:c r="G161" s="20" t="n">
        <x:f>'Quarterly data'!$E$9</x:f>
        <x:v>26865.5666666667</x:v>
      </x:c>
      <x:c r="H161" s="22" t="n">
        <x:f>100*F161/G161</x:f>
        <x:v>100.23388054349608</x:v>
      </x:c>
      <x:c r="I161" s="24" t="n">
        <x:f>H161/100-1</x:f>
        <x:v>0.0023388054349609</x:v>
      </x:c>
      <x:c r="J161" s="26" t="n">
        <x:v>5</x:v>
      </x:c>
      <x:c r="K161" s="7" t="b">
        <x:v>0</x:v>
      </x:c>
      <x:c r="L161" s="2" t="str">
        <x:v>Aug 10–23, 2026</x:v>
      </x:c>
      <x:c r="M161" s="2" t="str">
        <x:v>https://www.census.gov/hfp/btos/downloads/Sector.xlsx</x:v>
      </x:c>
    </x:row>
    <x:row r="162" ht="24" customHeight="1">
      <x:c r="A162" s="2" t="str">
        <x:v>Census BTOS</x:v>
      </x:c>
      <x:c r="B162" s="2" t="str">
        <x:v>Quartiles</x:v>
      </x:c>
      <x:c r="C162" s="2" t="str">
        <x:v>Q1</x:v>
      </x:c>
      <x:c r="D162" s="28" t="n">
        <x:v>46113</x:v>
      </x:c>
      <x:c r="E162" s="2" t="str">
        <x:v>2026Q2</x:v>
      </x:c>
      <x:c r="F162" s="20" t="n">
        <x:v>42937.6</x:v>
      </x:c>
      <x:c r="G162" s="20" t="n">
        <x:f>'Quarterly data'!$E$6</x:f>
        <x:v>42506.2333333333</x:v>
      </x:c>
      <x:c r="H162" s="22" t="n">
        <x:f>100*F162/G162</x:f>
        <x:v>101.01483155019625</x:v>
      </x:c>
      <x:c r="I162" s="24" t="n">
        <x:f>H162/100-1</x:f>
        <x:v>0.01014831550196238</x:v>
      </x:c>
      <x:c r="J162" s="26" t="n">
        <x:v>5</x:v>
      </x:c>
      <x:c r="K162" s="7" t="b">
        <x:v>0</x:v>
      </x:c>
      <x:c r="L162" s="2" t="str">
        <x:v>Aug 10–23, 2026</x:v>
      </x:c>
      <x:c r="M162" s="2" t="str">
        <x:v>https://www.census.gov/hfp/btos/downloads/Sector.xlsx</x:v>
      </x:c>
    </x:row>
    <x:row r="163" ht="24" customHeight="1">
      <x:c r="A163" s="2" t="str">
        <x:v>Census BTOS</x:v>
      </x:c>
      <x:c r="B163" s="2" t="str">
        <x:v>Quartiles</x:v>
      </x:c>
      <x:c r="C163" s="2" t="str">
        <x:v>Q2</x:v>
      </x:c>
      <x:c r="D163" s="28" t="n">
        <x:v>46113</x:v>
      </x:c>
      <x:c r="E163" s="2" t="str">
        <x:v>2026Q2</x:v>
      </x:c>
      <x:c r="F163" s="20" t="n">
        <x:v>17660.6</x:v>
      </x:c>
      <x:c r="G163" s="20" t="n">
        <x:f>'Quarterly data'!$E$7</x:f>
        <x:v>17032.1</x:v>
      </x:c>
      <x:c r="H163" s="22" t="n">
        <x:f>100*F163/G163</x:f>
        <x:v>103.6900910633451</x:v>
      </x:c>
      <x:c r="I163" s="24" t="n">
        <x:f>H163/100-1</x:f>
        <x:v>0.03690091063345102</x:v>
      </x:c>
      <x:c r="J163" s="26" t="n">
        <x:v>4</x:v>
      </x:c>
      <x:c r="K163" s="7" t="b">
        <x:v>0</x:v>
      </x:c>
      <x:c r="L163" s="2" t="str">
        <x:v>Aug 10–23, 2026</x:v>
      </x:c>
      <x:c r="M163" s="2" t="str">
        <x:v>https://www.census.gov/hfp/btos/downloads/Sector.xlsx</x:v>
      </x:c>
    </x:row>
    <x:row r="164" ht="24" customHeight="1">
      <x:c r="A164" s="2" t="str">
        <x:v>Census BTOS</x:v>
      </x:c>
      <x:c r="B164" s="2" t="str">
        <x:v>Quartiles</x:v>
      </x:c>
      <x:c r="C164" s="2" t="str">
        <x:v>Q3</x:v>
      </x:c>
      <x:c r="D164" s="28" t="n">
        <x:v>46113</x:v>
      </x:c>
      <x:c r="E164" s="2" t="str">
        <x:v>2026Q2</x:v>
      </x:c>
      <x:c r="F164" s="20" t="n">
        <x:v>47889.7</x:v>
      </x:c>
      <x:c r="G164" s="20" t="n">
        <x:f>'Quarterly data'!$E$8</x:f>
        <x:v>46008.9333333333</x:v>
      </x:c>
      <x:c r="H164" s="22" t="n">
        <x:f>100*F164/G164</x:f>
        <x:v>104.08782932010313</x:v>
      </x:c>
      <x:c r="I164" s="24" t="n">
        <x:f>H164/100-1</x:f>
        <x:v>0.0408782932010312</x:v>
      </x:c>
      <x:c r="J164" s="26" t="n">
        <x:v>4</x:v>
      </x:c>
      <x:c r="K164" s="7" t="b">
        <x:v>0</x:v>
      </x:c>
      <x:c r="L164" s="2" t="str">
        <x:v>Aug 10–23, 2026</x:v>
      </x:c>
      <x:c r="M164" s="2" t="str">
        <x:v>https://www.census.gov/hfp/btos/downloads/Sector.xlsx</x:v>
      </x:c>
    </x:row>
    <x:row r="165" ht="24" customHeight="1">
      <x:c r="A165" s="2" t="str">
        <x:v>Census BTOS</x:v>
      </x:c>
      <x:c r="B165" s="2" t="str">
        <x:v>Quartiles</x:v>
      </x:c>
      <x:c r="C165" s="2" t="str">
        <x:v>Q4</x:v>
      </x:c>
      <x:c r="D165" s="28" t="n">
        <x:v>46113</x:v>
      </x:c>
      <x:c r="E165" s="2" t="str">
        <x:v>2026Q2</x:v>
      </x:c>
      <x:c r="F165" s="20" t="n">
        <x:v>26938.9</x:v>
      </x:c>
      <x:c r="G165" s="20" t="n">
        <x:f>'Quarterly data'!$E$9</x:f>
        <x:v>26865.5666666667</x:v>
      </x:c>
      <x:c r="H165" s="22" t="n">
        <x:f>100*F165/G165</x:f>
        <x:v>100.27296402954451</x:v>
      </x:c>
      <x:c r="I165" s="24" t="n">
        <x:f>H165/100-1</x:f>
        <x:v>0.0027296402954450905</x:v>
      </x:c>
      <x:c r="J165" s="26" t="n">
        <x:v>5</x:v>
      </x:c>
      <x:c r="K165" s="7" t="b">
        <x:v>0</x:v>
      </x:c>
      <x:c r="L165" s="2" t="str">
        <x:v>Aug 10–23, 2026</x:v>
      </x:c>
      <x:c r="M165" s="2" t="str">
        <x:v>https://www.census.gov/hfp/btos/downloads/Sector.xlsx</x:v>
      </x:c>
    </x:row>
    <x:row r="166" ht="24" customHeight="1">
      <x:c r="A166" s="2" t="str">
        <x:v>Census BTOS</x:v>
      </x:c>
      <x:c r="B166" s="2" t="str">
        <x:v>Quartiles</x:v>
      </x:c>
      <x:c r="C166" s="2" t="str">
        <x:v>Q1</x:v>
      </x:c>
      <x:c r="D166" s="28" t="n">
        <x:v>46143</x:v>
      </x:c>
      <x:c r="E166" s="2" t="str">
        <x:v>2026Q2</x:v>
      </x:c>
      <x:c r="F166" s="20" t="n">
        <x:v>42988.6</x:v>
      </x:c>
      <x:c r="G166" s="20" t="n">
        <x:f>'Quarterly data'!$E$6</x:f>
        <x:v>42506.2333333333</x:v>
      </x:c>
      <x:c r="H166" s="22" t="n">
        <x:f>100*F166/G166</x:f>
        <x:v>101.1348139527772</x:v>
      </x:c>
      <x:c r="I166" s="24" t="n">
        <x:f>H166/100-1</x:f>
        <x:v>0.011348139527771917</x:v>
      </x:c>
      <x:c r="J166" s="26" t="n">
        <x:v>5</x:v>
      </x:c>
      <x:c r="K166" s="7" t="b">
        <x:v>0</x:v>
      </x:c>
      <x:c r="L166" s="2" t="str">
        <x:v>Aug 10–23, 2026</x:v>
      </x:c>
      <x:c r="M166" s="2" t="str">
        <x:v>https://www.census.gov/hfp/btos/downloads/Sector.xlsx</x:v>
      </x:c>
    </x:row>
    <x:row r="167" ht="24" customHeight="1">
      <x:c r="A167" s="2" t="str">
        <x:v>Census BTOS</x:v>
      </x:c>
      <x:c r="B167" s="2" t="str">
        <x:v>Quartiles</x:v>
      </x:c>
      <x:c r="C167" s="2" t="str">
        <x:v>Q2</x:v>
      </x:c>
      <x:c r="D167" s="28" t="n">
        <x:v>46143</x:v>
      </x:c>
      <x:c r="E167" s="2" t="str">
        <x:v>2026Q2</x:v>
      </x:c>
      <x:c r="F167" s="20" t="n">
        <x:v>17668.3</x:v>
      </x:c>
      <x:c r="G167" s="20" t="n">
        <x:f>'Quarterly data'!$E$7</x:f>
        <x:v>17032.1</x:v>
      </x:c>
      <x:c r="H167" s="22" t="n">
        <x:f>100*F167/G167</x:f>
        <x:v>103.73529981622936</x:v>
      </x:c>
      <x:c r="I167" s="24" t="n">
        <x:f>H167/100-1</x:f>
        <x:v>0.03735299816229354</x:v>
      </x:c>
      <x:c r="J167" s="26" t="n">
        <x:v>4</x:v>
      </x:c>
      <x:c r="K167" s="7" t="b">
        <x:v>0</x:v>
      </x:c>
      <x:c r="L167" s="2" t="str">
        <x:v>Aug 10–23, 2026</x:v>
      </x:c>
      <x:c r="M167" s="2" t="str">
        <x:v>https://www.census.gov/hfp/btos/downloads/Sector.xlsx</x:v>
      </x:c>
    </x:row>
    <x:row r="168" ht="24" customHeight="1">
      <x:c r="A168" s="2" t="str">
        <x:v>Census BTOS</x:v>
      </x:c>
      <x:c r="B168" s="2" t="str">
        <x:v>Quartiles</x:v>
      </x:c>
      <x:c r="C168" s="2" t="str">
        <x:v>Q3</x:v>
      </x:c>
      <x:c r="D168" s="28" t="n">
        <x:v>46143</x:v>
      </x:c>
      <x:c r="E168" s="2" t="str">
        <x:v>2026Q2</x:v>
      </x:c>
      <x:c r="F168" s="20" t="n">
        <x:v>47915.7</x:v>
      </x:c>
      <x:c r="G168" s="20" t="n">
        <x:f>'Quarterly data'!$E$8</x:f>
        <x:v>46008.9333333333</x:v>
      </x:c>
      <x:c r="H168" s="22" t="n">
        <x:f>100*F168/G168</x:f>
        <x:v>104.14434008467929</x:v>
      </x:c>
      <x:c r="I168" s="24" t="n">
        <x:f>H168/100-1</x:f>
        <x:v>0.041443400846792766</x:v>
      </x:c>
      <x:c r="J168" s="26" t="n">
        <x:v>4</x:v>
      </x:c>
      <x:c r="K168" s="7" t="b">
        <x:v>0</x:v>
      </x:c>
      <x:c r="L168" s="2" t="str">
        <x:v>Aug 10–23, 2026</x:v>
      </x:c>
      <x:c r="M168" s="2" t="str">
        <x:v>https://www.census.gov/hfp/btos/downloads/Sector.xlsx</x:v>
      </x:c>
    </x:row>
    <x:row r="169" ht="24" customHeight="1">
      <x:c r="A169" s="2" t="str">
        <x:v>Census BTOS</x:v>
      </x:c>
      <x:c r="B169" s="2" t="str">
        <x:v>Quartiles</x:v>
      </x:c>
      <x:c r="C169" s="2" t="str">
        <x:v>Q4</x:v>
      </x:c>
      <x:c r="D169" s="28" t="n">
        <x:v>46143</x:v>
      </x:c>
      <x:c r="E169" s="2" t="str">
        <x:v>2026Q2</x:v>
      </x:c>
      <x:c r="F169" s="20" t="n">
        <x:v>26915.9</x:v>
      </x:c>
      <x:c r="G169" s="20" t="n">
        <x:f>'Quarterly data'!$E$9</x:f>
        <x:v>26865.5666666667</x:v>
      </x:c>
      <x:c r="H169" s="22" t="n">
        <x:f>100*F169/G169</x:f>
        <x:v>100.1873525839146</x:v>
      </x:c>
      <x:c r="I169" s="24" t="n">
        <x:f>H169/100-1</x:f>
        <x:v>0.0018735258391460174</x:v>
      </x:c>
      <x:c r="J169" s="26" t="n">
        <x:v>5</x:v>
      </x:c>
      <x:c r="K169" s="7" t="b">
        <x:v>0</x:v>
      </x:c>
      <x:c r="L169" s="2" t="str">
        <x:v>Aug 10–23, 2026</x:v>
      </x:c>
      <x:c r="M169" s="2" t="str">
        <x:v>https://www.census.gov/hfp/btos/downloads/Sector.xlsx</x:v>
      </x:c>
    </x:row>
    <x:row r="170" ht="24" customHeight="1">
      <x:c r="A170" s="2" t="str">
        <x:v>Census BTOS</x:v>
      </x:c>
      <x:c r="B170" s="2" t="str">
        <x:v>Quartiles</x:v>
      </x:c>
      <x:c r="C170" s="2" t="str">
        <x:v>Q1</x:v>
      </x:c>
      <x:c r="D170" s="28" t="n">
        <x:v>46174</x:v>
      </x:c>
      <x:c r="E170" s="2" t="str">
        <x:v>2026Q2</x:v>
      </x:c>
      <x:c r="F170" s="20" t="n">
        <x:v>42949.7</x:v>
      </x:c>
      <x:c r="G170" s="20" t="n">
        <x:f>'Quarterly data'!$E$6</x:f>
        <x:v>42506.2333333333</x:v>
      </x:c>
      <x:c r="H170" s="22" t="n">
        <x:f>100*F170/G170</x:f>
        <x:v>101.0432979633576</x:v>
      </x:c>
      <x:c r="I170" s="24" t="n">
        <x:f>H170/100-1</x:f>
        <x:v>0.010432979633576034</x:v>
      </x:c>
      <x:c r="J170" s="26" t="n">
        <x:v>5</x:v>
      </x:c>
      <x:c r="K170" s="7" t="b">
        <x:v>0</x:v>
      </x:c>
      <x:c r="L170" s="2" t="str">
        <x:v>Aug 10–23, 2026</x:v>
      </x:c>
      <x:c r="M170" s="2" t="str">
        <x:v>https://www.census.gov/hfp/btos/downloads/Sector.xlsx</x:v>
      </x:c>
    </x:row>
    <x:row r="171" ht="24" customHeight="1">
      <x:c r="A171" s="2" t="str">
        <x:v>Census BTOS</x:v>
      </x:c>
      <x:c r="B171" s="2" t="str">
        <x:v>Quartiles</x:v>
      </x:c>
      <x:c r="C171" s="2" t="str">
        <x:v>Q2</x:v>
      </x:c>
      <x:c r="D171" s="28" t="n">
        <x:v>46174</x:v>
      </x:c>
      <x:c r="E171" s="2" t="str">
        <x:v>2026Q2</x:v>
      </x:c>
      <x:c r="F171" s="20" t="n">
        <x:v>17651.5</x:v>
      </x:c>
      <x:c r="G171" s="20" t="n">
        <x:f>'Quarterly data'!$E$7</x:f>
        <x:v>17032.1</x:v>
      </x:c>
      <x:c r="H171" s="22" t="n">
        <x:f>100*F171/G171</x:f>
        <x:v>103.63666253720916</x:v>
      </x:c>
      <x:c r="I171" s="24" t="n">
        <x:f>H171/100-1</x:f>
        <x:v>0.036366625372091566</x:v>
      </x:c>
      <x:c r="J171" s="26" t="n">
        <x:v>4</x:v>
      </x:c>
      <x:c r="K171" s="7" t="b">
        <x:v>0</x:v>
      </x:c>
      <x:c r="L171" s="2" t="str">
        <x:v>Aug 10–23, 2026</x:v>
      </x:c>
      <x:c r="M171" s="2" t="str">
        <x:v>https://www.census.gov/hfp/btos/downloads/Sector.xlsx</x:v>
      </x:c>
    </x:row>
    <x:row r="172" ht="24" customHeight="1">
      <x:c r="A172" s="2" t="str">
        <x:v>Census BTOS</x:v>
      </x:c>
      <x:c r="B172" s="2" t="str">
        <x:v>Quartiles</x:v>
      </x:c>
      <x:c r="C172" s="2" t="str">
        <x:v>Q3</x:v>
      </x:c>
      <x:c r="D172" s="28" t="n">
        <x:v>46174</x:v>
      </x:c>
      <x:c r="E172" s="2" t="str">
        <x:v>2026Q2</x:v>
      </x:c>
      <x:c r="F172" s="20" t="n">
        <x:v>47983.5</x:v>
      </x:c>
      <x:c r="G172" s="20" t="n">
        <x:f>'Quarterly data'!$E$8</x:f>
        <x:v>46008.9333333333</x:v>
      </x:c>
      <x:c r="H172" s="22" t="n">
        <x:f>100*F172/G172</x:f>
        <x:v>104.29170277076634</x:v>
      </x:c>
      <x:c r="I172" s="24" t="n">
        <x:f>H172/100-1</x:f>
        <x:v>0.04291702770766337</x:v>
      </x:c>
      <x:c r="J172" s="26" t="n">
        <x:v>4</x:v>
      </x:c>
      <x:c r="K172" s="7" t="b">
        <x:v>0</x:v>
      </x:c>
      <x:c r="L172" s="2" t="str">
        <x:v>Aug 10–23, 2026</x:v>
      </x:c>
      <x:c r="M172" s="2" t="str">
        <x:v>https://www.census.gov/hfp/btos/downloads/Sector.xlsx</x:v>
      </x:c>
    </x:row>
    <x:row r="173" ht="24" customHeight="1">
      <x:c r="A173" s="2" t="str">
        <x:v>Census BTOS</x:v>
      </x:c>
      <x:c r="B173" s="2" t="str">
        <x:v>Quartiles</x:v>
      </x:c>
      <x:c r="C173" s="2" t="str">
        <x:v>Q4</x:v>
      </x:c>
      <x:c r="D173" s="28" t="n">
        <x:v>46174</x:v>
      </x:c>
      <x:c r="E173" s="2" t="str">
        <x:v>2026Q2</x:v>
      </x:c>
      <x:c r="F173" s="20" t="n">
        <x:v>26930.8</x:v>
      </x:c>
      <x:c r="G173" s="20" t="n">
        <x:f>'Quarterly data'!$E$9</x:f>
        <x:v>26865.5666666667</x:v>
      </x:c>
      <x:c r="H173" s="22" t="n">
        <x:f>100*F173/G173</x:f>
        <x:v>100.24281391173572</x:v>
      </x:c>
      <x:c r="I173" s="24" t="n">
        <x:f>H173/100-1</x:f>
        <x:v>0.0024281391173572864</x:v>
      </x:c>
      <x:c r="J173" s="26" t="n">
        <x:v>5</x:v>
      </x:c>
      <x:c r="K173" s="7" t="b">
        <x:v>0</x:v>
      </x:c>
      <x:c r="L173" s="2" t="str">
        <x:v>Aug 10–23, 2026</x:v>
      </x:c>
      <x:c r="M173" s="2" t="str">
        <x:v>https://www.census.gov/hfp/btos/downloads/Sector.xlsx</x:v>
      </x:c>
    </x:row>
    <x:row r="174" ht="24" customHeight="1">
      <x:c r="A174" s="2" t="str">
        <x:v>Census BTOS</x:v>
      </x:c>
      <x:c r="B174" s="2" t="str">
        <x:v>Quartiles</x:v>
      </x:c>
      <x:c r="C174" s="2" t="str">
        <x:v>Q1</x:v>
      </x:c>
      <x:c r="D174" s="28" t="n">
        <x:v>46204</x:v>
      </x:c>
      <x:c r="E174" s="2" t="str">
        <x:v>2026Q3</x:v>
      </x:c>
      <x:c r="F174" s="20" t="n">
        <x:v>42972.6</x:v>
      </x:c>
      <x:c r="G174" s="20" t="n">
        <x:f>'Quarterly data'!$E$6</x:f>
        <x:v>42506.2333333333</x:v>
      </x:c>
      <x:c r="H174" s="22" t="n">
        <x:f>100*F174/G174</x:f>
        <x:v>101.09717241471259</x:v>
      </x:c>
      <x:c r="I174" s="24" t="n">
        <x:f>H174/100-1</x:f>
        <x:v>0.010971724147125883</x:v>
      </x:c>
      <x:c r="J174" s="26" t="n">
        <x:v>5</x:v>
      </x:c>
      <x:c r="K174" s="7" t="b">
        <x:v>1</x:v>
      </x:c>
      <x:c r="L174" s="2" t="str">
        <x:v>Aug 10–23, 2026</x:v>
      </x:c>
      <x:c r="M174" s="2" t="str">
        <x:v>https://www.census.gov/hfp/btos/downloads/Sector.xlsx</x:v>
      </x:c>
    </x:row>
    <x:row r="175" ht="24" customHeight="1">
      <x:c r="A175" s="2" t="str">
        <x:v>Census BTOS</x:v>
      </x:c>
      <x:c r="B175" s="2" t="str">
        <x:v>Quartiles</x:v>
      </x:c>
      <x:c r="C175" s="2" t="str">
        <x:v>Q2</x:v>
      </x:c>
      <x:c r="D175" s="28" t="n">
        <x:v>46204</x:v>
      </x:c>
      <x:c r="E175" s="2" t="str">
        <x:v>2026Q3</x:v>
      </x:c>
      <x:c r="F175" s="20" t="n">
        <x:v>17664.2</x:v>
      </x:c>
      <x:c r="G175" s="20" t="n">
        <x:f>'Quarterly data'!$E$7</x:f>
        <x:v>17032.1</x:v>
      </x:c>
      <x:c r="H175" s="22" t="n">
        <x:f>100*F175/G175</x:f>
        <x:v>103.71122762313514</x:v>
      </x:c>
      <x:c r="I175" s="24" t="n">
        <x:f>H175/100-1</x:f>
        <x:v>0.03711227623135138</x:v>
      </x:c>
      <x:c r="J175" s="26" t="n">
        <x:v>4</x:v>
      </x:c>
      <x:c r="K175" s="7" t="b">
        <x:v>1</x:v>
      </x:c>
      <x:c r="L175" s="2" t="str">
        <x:v>Aug 10–23, 2026</x:v>
      </x:c>
      <x:c r="M175" s="2" t="str">
        <x:v>https://www.census.gov/hfp/btos/downloads/Sector.xlsx</x:v>
      </x:c>
    </x:row>
    <x:row r="176" ht="24" customHeight="1">
      <x:c r="A176" s="2" t="str">
        <x:v>Census BTOS</x:v>
      </x:c>
      <x:c r="B176" s="2" t="str">
        <x:v>Quartiles</x:v>
      </x:c>
      <x:c r="C176" s="2" t="str">
        <x:v>Q3</x:v>
      </x:c>
      <x:c r="D176" s="28" t="n">
        <x:v>46204</x:v>
      </x:c>
      <x:c r="E176" s="2" t="str">
        <x:v>2026Q3</x:v>
      </x:c>
      <x:c r="F176" s="20" t="n">
        <x:v>48019.2</x:v>
      </x:c>
      <x:c r="G176" s="20" t="n">
        <x:f>'Quarterly data'!$E$8</x:f>
        <x:v>46008.9333333333</x:v>
      </x:c>
      <x:c r="H176" s="22" t="n">
        <x:f>100*F176/G176</x:f>
        <x:v>104.36929639751129</x:v>
      </x:c>
      <x:c r="I176" s="24" t="n">
        <x:f>H176/100-1</x:f>
        <x:v>0.04369296397511291</x:v>
      </x:c>
      <x:c r="J176" s="26" t="n">
        <x:v>4</x:v>
      </x:c>
      <x:c r="K176" s="7" t="b">
        <x:v>1</x:v>
      </x:c>
      <x:c r="L176" s="2" t="str">
        <x:v>Aug 10–23, 2026</x:v>
      </x:c>
      <x:c r="M176" s="2" t="str">
        <x:v>https://www.census.gov/hfp/btos/downloads/Sector.xlsx</x:v>
      </x:c>
    </x:row>
    <x:row r="177" ht="24" customHeight="1">
      <x:c r="A177" s="2" t="str">
        <x:v>Census BTOS</x:v>
      </x:c>
      <x:c r="B177" s="2" t="str">
        <x:v>Quartiles</x:v>
      </x:c>
      <x:c r="C177" s="2" t="str">
        <x:v>Q4</x:v>
      </x:c>
      <x:c r="D177" s="28" t="n">
        <x:v>46204</x:v>
      </x:c>
      <x:c r="E177" s="2" t="str">
        <x:v>2026Q3</x:v>
      </x:c>
      <x:c r="F177" s="20" t="n">
        <x:v>26929.4</x:v>
      </x:c>
      <x:c r="G177" s="20" t="n">
        <x:f>'Quarterly data'!$E$9</x:f>
        <x:v>26865.5666666667</x:v>
      </x:c>
      <x:c r="H177" s="22" t="n">
        <x:f>100*F177/G177</x:f>
        <x:v>100.23760278026259</x:v>
      </x:c>
      <x:c r="I177" s="24" t="n">
        <x:f>H177/100-1</x:f>
        <x:v>0.002376027802625913</x:v>
      </x:c>
      <x:c r="J177" s="26" t="n">
        <x:v>5</x:v>
      </x:c>
      <x:c r="K177" s="7" t="b">
        <x:v>1</x:v>
      </x:c>
      <x:c r="L177" s="2" t="str">
        <x:v>Aug 10–23, 2026</x:v>
      </x:c>
      <x:c r="M177" s="2" t="str">
        <x:v>https://www.census.gov/hfp/btos/downloads/Sector.xlsx</x:v>
      </x:c>
    </x:row>
    <x:row r="178" ht="24" customHeight="1">
      <x:c r="A178" s="2" t="str">
        <x:v>Census BTOS</x:v>
      </x:c>
      <x:c r="B178" s="2" t="str">
        <x:v>Quartiles</x:v>
      </x:c>
      <x:c r="C178" s="2" t="str">
        <x:v>Q1</x:v>
      </x:c>
      <x:c r="D178" s="28" t="n">
        <x:v>46235</x:v>
      </x:c>
      <x:c r="E178" s="2" t="str">
        <x:v>2026Q3</x:v>
      </x:c>
      <x:c r="F178" s="20" t="n">
        <x:v>43052.8</x:v>
      </x:c>
      <x:c r="G178" s="20" t="n">
        <x:f>'Quarterly data'!$E$6</x:f>
        <x:v>42506.2333333333</x:v>
      </x:c>
      <x:c r="H178" s="22" t="n">
        <x:f>100*F178/G178</x:f>
        <x:v>101.28585062426146</x:v>
      </x:c>
      <x:c r="I178" s="24" t="n">
        <x:f>H178/100-1</x:f>
        <x:v>0.012858506242614531</x:v>
      </x:c>
      <x:c r="J178" s="26" t="n">
        <x:v>5</x:v>
      </x:c>
      <x:c r="K178" s="7" t="b">
        <x:v>1</x:v>
      </x:c>
      <x:c r="L178" s="2" t="str">
        <x:v>Aug 10–23, 2026</x:v>
      </x:c>
      <x:c r="M178" s="2" t="str">
        <x:v>https://www.census.gov/hfp/btos/downloads/Sector.xlsx</x:v>
      </x:c>
    </x:row>
    <x:row r="179" ht="24" customHeight="1">
      <x:c r="A179" s="2" t="str">
        <x:v>Census BTOS</x:v>
      </x:c>
      <x:c r="B179" s="2" t="str">
        <x:v>Quartiles</x:v>
      </x:c>
      <x:c r="C179" s="2" t="str">
        <x:v>Q2</x:v>
      </x:c>
      <x:c r="D179" s="28" t="n">
        <x:v>46235</x:v>
      </x:c>
      <x:c r="E179" s="2" t="str">
        <x:v>2026Q3</x:v>
      </x:c>
      <x:c r="F179" s="20" t="n">
        <x:v>17690.2</x:v>
      </x:c>
      <x:c r="G179" s="20" t="n">
        <x:f>'Quarterly data'!$E$7</x:f>
        <x:v>17032.1</x:v>
      </x:c>
      <x:c r="H179" s="22" t="n">
        <x:f>100*F179/G179</x:f>
        <x:v>103.86388055495213</x:v>
      </x:c>
      <x:c r="I179" s="24" t="n">
        <x:f>H179/100-1</x:f>
        <x:v>0.03863880554952126</x:v>
      </x:c>
      <x:c r="J179" s="26" t="n">
        <x:v>4</x:v>
      </x:c>
      <x:c r="K179" s="7" t="b">
        <x:v>1</x:v>
      </x:c>
      <x:c r="L179" s="2" t="str">
        <x:v>Aug 10–23, 2026</x:v>
      </x:c>
      <x:c r="M179" s="2" t="str">
        <x:v>https://www.census.gov/hfp/btos/downloads/Sector.xlsx</x:v>
      </x:c>
    </x:row>
    <x:row r="180" ht="24" customHeight="1">
      <x:c r="A180" s="2" t="str">
        <x:v>Census BTOS</x:v>
      </x:c>
      <x:c r="B180" s="2" t="str">
        <x:v>Quartiles</x:v>
      </x:c>
      <x:c r="C180" s="2" t="str">
        <x:v>Q3</x:v>
      </x:c>
      <x:c r="D180" s="28" t="n">
        <x:v>46235</x:v>
      </x:c>
      <x:c r="E180" s="2" t="str">
        <x:v>2026Q3</x:v>
      </x:c>
      <x:c r="F180" s="20" t="n">
        <x:v>48064.5</x:v>
      </x:c>
      <x:c r="G180" s="20" t="n">
        <x:f>'Quarterly data'!$E$8</x:f>
        <x:v>46008.9333333333</x:v>
      </x:c>
      <x:c r="H180" s="22" t="n">
        <x:f>100*F180/G180</x:f>
        <x:v>104.46775553733052</x:v>
      </x:c>
      <x:c r="I180" s="24" t="n">
        <x:f>H180/100-1</x:f>
        <x:v>0.0446775553733052</x:v>
      </x:c>
      <x:c r="J180" s="26" t="n">
        <x:v>4</x:v>
      </x:c>
      <x:c r="K180" s="7" t="b">
        <x:v>1</x:v>
      </x:c>
      <x:c r="L180" s="2" t="str">
        <x:v>Aug 10–23, 2026</x:v>
      </x:c>
      <x:c r="M180" s="2" t="str">
        <x:v>https://www.census.gov/hfp/btos/downloads/Sector.xlsx</x:v>
      </x:c>
    </x:row>
    <x:row r="181" ht="24" customHeight="1">
      <x:c r="A181" s="2" t="str">
        <x:v>Census BTOS</x:v>
      </x:c>
      <x:c r="B181" s="2" t="str">
        <x:v>Quartiles</x:v>
      </x:c>
      <x:c r="C181" s="2" t="str">
        <x:v>Q4</x:v>
      </x:c>
      <x:c r="D181" s="28" t="n">
        <x:v>46235</x:v>
      </x:c>
      <x:c r="E181" s="2" t="str">
        <x:v>2026Q3</x:v>
      </x:c>
      <x:c r="F181" s="20" t="n">
        <x:v>26905.7</x:v>
      </x:c>
      <x:c r="G181" s="20" t="n">
        <x:f>'Quarterly data'!$E$9</x:f>
        <x:v>26865.5666666667</x:v>
      </x:c>
      <x:c r="H181" s="22" t="n">
        <x:f>100*F181/G181</x:f>
        <x:v>100.14938576889612</x:v>
      </x:c>
      <x:c r="I181" s="24" t="n">
        <x:f>H181/100-1</x:f>
        <x:v>0.0014938576889611532</x:v>
      </x:c>
      <x:c r="J181" s="26" t="n">
        <x:v>5</x:v>
      </x:c>
      <x:c r="K181" s="7" t="b">
        <x:v>1</x:v>
      </x:c>
      <x:c r="L181" s="2" t="str">
        <x:v>Aug 10–23, 2026</x:v>
      </x:c>
      <x:c r="M181" s="2" t="str">
        <x:v>https://www.census.gov/hfp/btos/downloads/Sector.xlsx</x:v>
      </x:c>
    </x:row>
    <x:row r="182" ht="24" customHeight="1">
      <x:c r="A182" s="2" t="str">
        <x:v>Census BTOS</x:v>
      </x:c>
      <x:c r="B182" s="2" t="str">
        <x:v>Quintiles</x:v>
      </x:c>
      <x:c r="C182" s="2" t="str">
        <x:v>Q1</x:v>
      </x:c>
      <x:c r="D182" s="28" t="n">
        <x:v>44927</x:v>
      </x:c>
      <x:c r="E182" s="2" t="str">
        <x:v>2023Q1</x:v>
      </x:c>
      <x:c r="F182" s="20" t="n">
        <x:v>26917.2</x:v>
      </x:c>
      <x:c r="G182" s="20" t="n">
        <x:f>'Quarterly data'!$E$62</x:f>
        <x:v>26934</x:v>
      </x:c>
      <x:c r="H182" s="22" t="n">
        <x:f>100*F182/G182</x:f>
        <x:v>99.9376253063043</x:v>
      </x:c>
      <x:c r="I182" s="24" t="n">
        <x:f>H182/100-1</x:f>
        <x:v>-0.0006237469369569926</x:v>
      </x:c>
      <x:c r="J182" s="26" t="n">
        <x:v>4</x:v>
      </x:c>
      <x:c r="K182" s="7" t="b">
        <x:v>0</x:v>
      </x:c>
      <x:c r="L182" s="2" t="str">
        <x:v>Aug 10–23, 2026</x:v>
      </x:c>
      <x:c r="M182" s="2" t="str">
        <x:v>https://www.census.gov/hfp/btos/downloads/Sector.xlsx</x:v>
      </x:c>
    </x:row>
    <x:row r="183" ht="24" customHeight="1">
      <x:c r="A183" s="2" t="str">
        <x:v>Census BTOS</x:v>
      </x:c>
      <x:c r="B183" s="2" t="str">
        <x:v>Quintiles</x:v>
      </x:c>
      <x:c r="C183" s="2" t="str">
        <x:v>Q2</x:v>
      </x:c>
      <x:c r="D183" s="28" t="n">
        <x:v>44927</x:v>
      </x:c>
      <x:c r="E183" s="2" t="str">
        <x:v>2023Q1</x:v>
      </x:c>
      <x:c r="F183" s="20" t="n">
        <x:v>24051.2</x:v>
      </x:c>
      <x:c r="G183" s="20" t="n">
        <x:f>'Quarterly data'!$E$63</x:f>
        <x:v>24074.9666666667</x:v>
      </x:c>
      <x:c r="H183" s="22" t="n">
        <x:f>100*F183/G183</x:f>
        <x:v>99.90128058328901</x:v>
      </x:c>
      <x:c r="I183" s="24" t="n">
        <x:f>H183/100-1</x:f>
        <x:v>-0.000987194167109906</x:v>
      </x:c>
      <x:c r="J183" s="26" t="n">
        <x:v>3</x:v>
      </x:c>
      <x:c r="K183" s="7" t="b">
        <x:v>0</x:v>
      </x:c>
      <x:c r="L183" s="2" t="str">
        <x:v>Aug 10–23, 2026</x:v>
      </x:c>
      <x:c r="M183" s="2" t="str">
        <x:v>https://www.census.gov/hfp/btos/downloads/Sector.xlsx</x:v>
      </x:c>
    </x:row>
    <x:row r="184" ht="24" customHeight="1">
      <x:c r="A184" s="2" t="str">
        <x:v>Census BTOS</x:v>
      </x:c>
      <x:c r="B184" s="2" t="str">
        <x:v>Quintiles</x:v>
      </x:c>
      <x:c r="C184" s="2" t="str">
        <x:v>Q3</x:v>
      </x:c>
      <x:c r="D184" s="28" t="n">
        <x:v>44927</x:v>
      </x:c>
      <x:c r="E184" s="2" t="str">
        <x:v>2023Q1</x:v>
      </x:c>
      <x:c r="F184" s="20" t="n">
        <x:v>30901.7</x:v>
      </x:c>
      <x:c r="G184" s="20" t="n">
        <x:f>'Quarterly data'!$E$64</x:f>
        <x:v>30928.5333333333</x:v>
      </x:c>
      <x:c r="H184" s="22" t="n">
        <x:f>100*F184/G184</x:f>
        <x:v>99.91324084771786</x:v>
      </x:c>
      <x:c r="I184" s="24" t="n">
        <x:f>H184/100-1</x:f>
        <x:v>-0.0008675915228214537</x:v>
      </x:c>
      <x:c r="J184" s="26" t="n">
        <x:v>4</x:v>
      </x:c>
      <x:c r="K184" s="7" t="b">
        <x:v>0</x:v>
      </x:c>
      <x:c r="L184" s="2" t="str">
        <x:v>Aug 10–23, 2026</x:v>
      </x:c>
      <x:c r="M184" s="2" t="str">
        <x:v>https://www.census.gov/hfp/btos/downloads/Sector.xlsx</x:v>
      </x:c>
    </x:row>
    <x:row r="185" ht="24" customHeight="1">
      <x:c r="A185" s="2" t="str">
        <x:v>Census BTOS</x:v>
      </x:c>
      <x:c r="B185" s="2" t="str">
        <x:v>Quintiles</x:v>
      </x:c>
      <x:c r="C185" s="2" t="str">
        <x:v>Q4</x:v>
      </x:c>
      <x:c r="D185" s="28" t="n">
        <x:v>44927</x:v>
      </x:c>
      <x:c r="E185" s="2" t="str">
        <x:v>2023Q1</x:v>
      </x:c>
      <x:c r="F185" s="20" t="n">
        <x:v>26126.9</x:v>
      </x:c>
      <x:c r="G185" s="20" t="n">
        <x:f>'Quarterly data'!$E$65</x:f>
        <x:v>26207.6666666667</x:v>
      </x:c>
      <x:c r="H185" s="22" t="n">
        <x:f>100*F185/G185</x:f>
        <x:v>99.6918204596618</x:v>
      </x:c>
      <x:c r="I185" s="24" t="n">
        <x:f>H185/100-1</x:f>
        <x:v>-0.0030817954033820483</x:v>
      </x:c>
      <x:c r="J185" s="26" t="n">
        <x:v>3</x:v>
      </x:c>
      <x:c r="K185" s="7" t="b">
        <x:v>0</x:v>
      </x:c>
      <x:c r="L185" s="2" t="str">
        <x:v>Aug 10–23, 2026</x:v>
      </x:c>
      <x:c r="M185" s="2" t="str">
        <x:v>https://www.census.gov/hfp/btos/downloads/Sector.xlsx</x:v>
      </x:c>
    </x:row>
    <x:row r="186" ht="24" customHeight="1">
      <x:c r="A186" s="2" t="str">
        <x:v>Census BTOS</x:v>
      </x:c>
      <x:c r="B186" s="2" t="str">
        <x:v>Quintiles</x:v>
      </x:c>
      <x:c r="C186" s="2" t="str">
        <x:v>Q5</x:v>
      </x:c>
      <x:c r="D186" s="28" t="n">
        <x:v>44927</x:v>
      </x:c>
      <x:c r="E186" s="2" t="str">
        <x:v>2023Q1</x:v>
      </x:c>
      <x:c r="F186" s="20" t="n">
        <x:v>24248.5</x:v>
      </x:c>
      <x:c r="G186" s="20" t="n">
        <x:f>'Quarterly data'!$E$66</x:f>
        <x:v>24267.6666666667</x:v>
      </x:c>
      <x:c r="H186" s="22" t="n">
        <x:f>100*F186/G186</x:f>
        <x:v>99.92101973819746</x:v>
      </x:c>
      <x:c r="I186" s="24" t="n">
        <x:f>H186/100-1</x:f>
        <x:v>-0.0007898026180254147</x:v>
      </x:c>
      <x:c r="J186" s="26" t="n">
        <x:v>4</x:v>
      </x:c>
      <x:c r="K186" s="7" t="b">
        <x:v>0</x:v>
      </x:c>
      <x:c r="L186" s="2" t="str">
        <x:v>Aug 10–23, 2026</x:v>
      </x:c>
      <x:c r="M186" s="2" t="str">
        <x:v>https://www.census.gov/hfp/btos/downloads/Sector.xlsx</x:v>
      </x:c>
    </x:row>
    <x:row r="187" ht="24" customHeight="1">
      <x:c r="A187" s="2" t="str">
        <x:v>Census BTOS</x:v>
      </x:c>
      <x:c r="B187" s="2" t="str">
        <x:v>Quintiles</x:v>
      </x:c>
      <x:c r="C187" s="2" t="str">
        <x:v>Q1</x:v>
      </x:c>
      <x:c r="D187" s="28" t="n">
        <x:v>44958</x:v>
      </x:c>
      <x:c r="E187" s="2" t="str">
        <x:v>2023Q1</x:v>
      </x:c>
      <x:c r="F187" s="20" t="n">
        <x:v>26940.1</x:v>
      </x:c>
      <x:c r="G187" s="20" t="n">
        <x:f>'Quarterly data'!$E$62</x:f>
        <x:v>26934</x:v>
      </x:c>
      <x:c r="H187" s="22" t="n">
        <x:f>100*F187/G187</x:f>
        <x:v>100.02264795425856</x:v>
      </x:c>
      <x:c r="I187" s="24" t="n">
        <x:f>H187/100-1</x:f>
        <x:v>0.00022647954258570024</x:v>
      </x:c>
      <x:c r="J187" s="26" t="n">
        <x:v>4</x:v>
      </x:c>
      <x:c r="K187" s="7" t="b">
        <x:v>0</x:v>
      </x:c>
      <x:c r="L187" s="2" t="str">
        <x:v>Aug 10–23, 2026</x:v>
      </x:c>
      <x:c r="M187" s="2" t="str">
        <x:v>https://www.census.gov/hfp/btos/downloads/Sector.xlsx</x:v>
      </x:c>
    </x:row>
    <x:row r="188" ht="24" customHeight="1">
      <x:c r="A188" s="2" t="str">
        <x:v>Census BTOS</x:v>
      </x:c>
      <x:c r="B188" s="2" t="str">
        <x:v>Quintiles</x:v>
      </x:c>
      <x:c r="C188" s="2" t="str">
        <x:v>Q2</x:v>
      </x:c>
      <x:c r="D188" s="28" t="n">
        <x:v>44958</x:v>
      </x:c>
      <x:c r="E188" s="2" t="str">
        <x:v>2023Q1</x:v>
      </x:c>
      <x:c r="F188" s="20" t="n">
        <x:v>24113.7</x:v>
      </x:c>
      <x:c r="G188" s="20" t="n">
        <x:f>'Quarterly data'!$E$63</x:f>
        <x:v>24074.9666666667</x:v>
      </x:c>
      <x:c r="H188" s="22" t="n">
        <x:f>100*F188/G188</x:f>
        <x:v>100.16088634252162</x:v>
      </x:c>
      <x:c r="I188" s="24" t="n">
        <x:f>H188/100-1</x:f>
        <x:v>0.001608863425216267</x:v>
      </x:c>
      <x:c r="J188" s="26" t="n">
        <x:v>3</x:v>
      </x:c>
      <x:c r="K188" s="7" t="b">
        <x:v>0</x:v>
      </x:c>
      <x:c r="L188" s="2" t="str">
        <x:v>Aug 10–23, 2026</x:v>
      </x:c>
      <x:c r="M188" s="2" t="str">
        <x:v>https://www.census.gov/hfp/btos/downloads/Sector.xlsx</x:v>
      </x:c>
    </x:row>
    <x:row r="189" ht="24" customHeight="1">
      <x:c r="A189" s="2" t="str">
        <x:v>Census BTOS</x:v>
      </x:c>
      <x:c r="B189" s="2" t="str">
        <x:v>Quintiles</x:v>
      </x:c>
      <x:c r="C189" s="2" t="str">
        <x:v>Q3</x:v>
      </x:c>
      <x:c r="D189" s="28" t="n">
        <x:v>44958</x:v>
      </x:c>
      <x:c r="E189" s="2" t="str">
        <x:v>2023Q1</x:v>
      </x:c>
      <x:c r="F189" s="20" t="n">
        <x:v>30951</x:v>
      </x:c>
      <x:c r="G189" s="20" t="n">
        <x:f>'Quarterly data'!$E$64</x:f>
        <x:v>30928.5333333333</x:v>
      </x:c>
      <x:c r="H189" s="22" t="n">
        <x:f>100*F189/G189</x:f>
        <x:v>100.07264058215941</x:v>
      </x:c>
      <x:c r="I189" s="24" t="n">
        <x:f>H189/100-1</x:f>
        <x:v>0.0007264058215941116</x:v>
      </x:c>
      <x:c r="J189" s="26" t="n">
        <x:v>4</x:v>
      </x:c>
      <x:c r="K189" s="7" t="b">
        <x:v>0</x:v>
      </x:c>
      <x:c r="L189" s="2" t="str">
        <x:v>Aug 10–23, 2026</x:v>
      </x:c>
      <x:c r="M189" s="2" t="str">
        <x:v>https://www.census.gov/hfp/btos/downloads/Sector.xlsx</x:v>
      </x:c>
    </x:row>
    <x:row r="190" ht="24" customHeight="1">
      <x:c r="A190" s="2" t="str">
        <x:v>Census BTOS</x:v>
      </x:c>
      <x:c r="B190" s="2" t="str">
        <x:v>Quintiles</x:v>
      </x:c>
      <x:c r="C190" s="2" t="str">
        <x:v>Q4</x:v>
      </x:c>
      <x:c r="D190" s="28" t="n">
        <x:v>44958</x:v>
      </x:c>
      <x:c r="E190" s="2" t="str">
        <x:v>2023Q1</x:v>
      </x:c>
      <x:c r="F190" s="20" t="n">
        <x:v>26213.9</x:v>
      </x:c>
      <x:c r="G190" s="20" t="n">
        <x:f>'Quarterly data'!$E$65</x:f>
        <x:v>26207.6666666667</x:v>
      </x:c>
      <x:c r="H190" s="22" t="n">
        <x:f>100*F190/G190</x:f>
        <x:v>100.02378438879195</x:v>
      </x:c>
      <x:c r="I190" s="24" t="n">
        <x:f>H190/100-1</x:f>
        <x:v>0.00023784388791958655</x:v>
      </x:c>
      <x:c r="J190" s="26" t="n">
        <x:v>3</x:v>
      </x:c>
      <x:c r="K190" s="7" t="b">
        <x:v>0</x:v>
      </x:c>
      <x:c r="L190" s="2" t="str">
        <x:v>Aug 10–23, 2026</x:v>
      </x:c>
      <x:c r="M190" s="2" t="str">
        <x:v>https://www.census.gov/hfp/btos/downloads/Sector.xlsx</x:v>
      </x:c>
    </x:row>
    <x:row r="191" ht="24" customHeight="1">
      <x:c r="A191" s="2" t="str">
        <x:v>Census BTOS</x:v>
      </x:c>
      <x:c r="B191" s="2" t="str">
        <x:v>Quintiles</x:v>
      </x:c>
      <x:c r="C191" s="2" t="str">
        <x:v>Q5</x:v>
      </x:c>
      <x:c r="D191" s="28" t="n">
        <x:v>44958</x:v>
      </x:c>
      <x:c r="E191" s="2" t="str">
        <x:v>2023Q1</x:v>
      </x:c>
      <x:c r="F191" s="20" t="n">
        <x:v>24264.8</x:v>
      </x:c>
      <x:c r="G191" s="20" t="n">
        <x:f>'Quarterly data'!$E$66</x:f>
        <x:v>24267.6666666667</x:v>
      </x:c>
      <x:c r="H191" s="22" t="n">
        <x:f>100*F191/G191</x:f>
        <x:v>99.98818729997376</x:v>
      </x:c>
      <x:c r="I191" s="24" t="n">
        <x:f>H191/100-1</x:f>
        <x:v>-0.00011812700026236911</x:v>
      </x:c>
      <x:c r="J191" s="26" t="n">
        <x:v>4</x:v>
      </x:c>
      <x:c r="K191" s="7" t="b">
        <x:v>0</x:v>
      </x:c>
      <x:c r="L191" s="2" t="str">
        <x:v>Aug 10–23, 2026</x:v>
      </x:c>
      <x:c r="M191" s="2" t="str">
        <x:v>https://www.census.gov/hfp/btos/downloads/Sector.xlsx</x:v>
      </x:c>
    </x:row>
    <x:row r="192" ht="24" customHeight="1">
      <x:c r="A192" s="2" t="str">
        <x:v>Census BTOS</x:v>
      </x:c>
      <x:c r="B192" s="2" t="str">
        <x:v>Quintiles</x:v>
      </x:c>
      <x:c r="C192" s="2" t="str">
        <x:v>Q1</x:v>
      </x:c>
      <x:c r="D192" s="28" t="n">
        <x:v>44986</x:v>
      </x:c>
      <x:c r="E192" s="2" t="str">
        <x:v>2023Q1</x:v>
      </x:c>
      <x:c r="F192" s="20" t="n">
        <x:v>26944.7</x:v>
      </x:c>
      <x:c r="G192" s="20" t="n">
        <x:f>'Quarterly data'!$E$62</x:f>
        <x:v>26934</x:v>
      </x:c>
      <x:c r="H192" s="22" t="n">
        <x:f>100*F192/G192</x:f>
        <x:v>100.03972673943714</x:v>
      </x:c>
      <x:c r="I192" s="24" t="n">
        <x:f>H192/100-1</x:f>
        <x:v>0.00039726739437151437</x:v>
      </x:c>
      <x:c r="J192" s="26" t="n">
        <x:v>4</x:v>
      </x:c>
      <x:c r="K192" s="7" t="b">
        <x:v>0</x:v>
      </x:c>
      <x:c r="L192" s="2" t="str">
        <x:v>Aug 10–23, 2026</x:v>
      </x:c>
      <x:c r="M192" s="2" t="str">
        <x:v>https://www.census.gov/hfp/btos/downloads/Sector.xlsx</x:v>
      </x:c>
    </x:row>
    <x:row r="193" ht="24" customHeight="1">
      <x:c r="A193" s="2" t="str">
        <x:v>Census BTOS</x:v>
      </x:c>
      <x:c r="B193" s="2" t="str">
        <x:v>Quintiles</x:v>
      </x:c>
      <x:c r="C193" s="2" t="str">
        <x:v>Q2</x:v>
      </x:c>
      <x:c r="D193" s="28" t="n">
        <x:v>44986</x:v>
      </x:c>
      <x:c r="E193" s="2" t="str">
        <x:v>2023Q1</x:v>
      </x:c>
      <x:c r="F193" s="20" t="n">
        <x:v>24060</x:v>
      </x:c>
      <x:c r="G193" s="20" t="n">
        <x:f>'Quarterly data'!$E$63</x:f>
        <x:v>24074.9666666667</x:v>
      </x:c>
      <x:c r="H193" s="22" t="n">
        <x:f>100*F193/G193</x:f>
        <x:v>99.93783307418896</x:v>
      </x:c>
      <x:c r="I193" s="24" t="n">
        <x:f>H193/100-1</x:f>
        <x:v>-0.0006216692581104688</x:v>
      </x:c>
      <x:c r="J193" s="26" t="n">
        <x:v>3</x:v>
      </x:c>
      <x:c r="K193" s="7" t="b">
        <x:v>0</x:v>
      </x:c>
      <x:c r="L193" s="2" t="str">
        <x:v>Aug 10–23, 2026</x:v>
      </x:c>
      <x:c r="M193" s="2" t="str">
        <x:v>https://www.census.gov/hfp/btos/downloads/Sector.xlsx</x:v>
      </x:c>
    </x:row>
    <x:row r="194" ht="24" customHeight="1">
      <x:c r="A194" s="2" t="str">
        <x:v>Census BTOS</x:v>
      </x:c>
      <x:c r="B194" s="2" t="str">
        <x:v>Quintiles</x:v>
      </x:c>
      <x:c r="C194" s="2" t="str">
        <x:v>Q3</x:v>
      </x:c>
      <x:c r="D194" s="28" t="n">
        <x:v>44986</x:v>
      </x:c>
      <x:c r="E194" s="2" t="str">
        <x:v>2023Q1</x:v>
      </x:c>
      <x:c r="F194" s="20" t="n">
        <x:v>30932.9</x:v>
      </x:c>
      <x:c r="G194" s="20" t="n">
        <x:f>'Quarterly data'!$E$64</x:f>
        <x:v>30928.5333333333</x:v>
      </x:c>
      <x:c r="H194" s="22" t="n">
        <x:f>100*F194/G194</x:f>
        <x:v>100.01411857012306</x:v>
      </x:c>
      <x:c r="I194" s="24" t="n">
        <x:f>H194/100-1</x:f>
        <x:v>0.00014118570123056173</x:v>
      </x:c>
      <x:c r="J194" s="26" t="n">
        <x:v>4</x:v>
      </x:c>
      <x:c r="K194" s="7" t="b">
        <x:v>0</x:v>
      </x:c>
      <x:c r="L194" s="2" t="str">
        <x:v>Aug 10–23, 2026</x:v>
      </x:c>
      <x:c r="M194" s="2" t="str">
        <x:v>https://www.census.gov/hfp/btos/downloads/Sector.xlsx</x:v>
      </x:c>
    </x:row>
    <x:row r="195" ht="24" customHeight="1">
      <x:c r="A195" s="2" t="str">
        <x:v>Census BTOS</x:v>
      </x:c>
      <x:c r="B195" s="2" t="str">
        <x:v>Quintiles</x:v>
      </x:c>
      <x:c r="C195" s="2" t="str">
        <x:v>Q4</x:v>
      </x:c>
      <x:c r="D195" s="28" t="n">
        <x:v>44986</x:v>
      </x:c>
      <x:c r="E195" s="2" t="str">
        <x:v>2023Q1</x:v>
      </x:c>
      <x:c r="F195" s="20" t="n">
        <x:v>26282.2</x:v>
      </x:c>
      <x:c r="G195" s="20" t="n">
        <x:f>'Quarterly data'!$E$65</x:f>
        <x:v>26207.6666666667</x:v>
      </x:c>
      <x:c r="H195" s="22" t="n">
        <x:f>100*F195/G195</x:f>
        <x:v>100.28439515154585</x:v>
      </x:c>
      <x:c r="I195" s="24" t="n">
        <x:f>H195/100-1</x:f>
        <x:v>0.002843951515458576</x:v>
      </x:c>
      <x:c r="J195" s="26" t="n">
        <x:v>3</x:v>
      </x:c>
      <x:c r="K195" s="7" t="b">
        <x:v>0</x:v>
      </x:c>
      <x:c r="L195" s="2" t="str">
        <x:v>Aug 10–23, 2026</x:v>
      </x:c>
      <x:c r="M195" s="2" t="str">
        <x:v>https://www.census.gov/hfp/btos/downloads/Sector.xlsx</x:v>
      </x:c>
    </x:row>
    <x:row r="196" ht="24" customHeight="1">
      <x:c r="A196" s="2" t="str">
        <x:v>Census BTOS</x:v>
      </x:c>
      <x:c r="B196" s="2" t="str">
        <x:v>Quintiles</x:v>
      </x:c>
      <x:c r="C196" s="2" t="str">
        <x:v>Q5</x:v>
      </x:c>
      <x:c r="D196" s="28" t="n">
        <x:v>44986</x:v>
      </x:c>
      <x:c r="E196" s="2" t="str">
        <x:v>2023Q1</x:v>
      </x:c>
      <x:c r="F196" s="20" t="n">
        <x:v>24289.7</x:v>
      </x:c>
      <x:c r="G196" s="20" t="n">
        <x:f>'Quarterly data'!$E$66</x:f>
        <x:v>24267.6666666667</x:v>
      </x:c>
      <x:c r="H196" s="22" t="n">
        <x:f>100*F196/G196</x:f>
        <x:v>100.09079296182836</x:v>
      </x:c>
      <x:c r="I196" s="24" t="n">
        <x:f>H196/100-1</x:f>
        <x:v>0.000907929618283454</x:v>
      </x:c>
      <x:c r="J196" s="26" t="n">
        <x:v>4</x:v>
      </x:c>
      <x:c r="K196" s="7" t="b">
        <x:v>0</x:v>
      </x:c>
      <x:c r="L196" s="2" t="str">
        <x:v>Aug 10–23, 2026</x:v>
      </x:c>
      <x:c r="M196" s="2" t="str">
        <x:v>https://www.census.gov/hfp/btos/downloads/Sector.xlsx</x:v>
      </x:c>
    </x:row>
    <x:row r="197" ht="24" customHeight="1">
      <x:c r="A197" s="2" t="str">
        <x:v>Census BTOS</x:v>
      </x:c>
      <x:c r="B197" s="2" t="str">
        <x:v>Quintiles</x:v>
      </x:c>
      <x:c r="C197" s="2" t="str">
        <x:v>Q1</x:v>
      </x:c>
      <x:c r="D197" s="28" t="n">
        <x:v>45017</x:v>
      </x:c>
      <x:c r="E197" s="2" t="str">
        <x:v>2023Q2</x:v>
      </x:c>
      <x:c r="F197" s="20" t="n">
        <x:v>26960.8</x:v>
      </x:c>
      <x:c r="G197" s="20" t="n">
        <x:f>'Quarterly data'!$E$62</x:f>
        <x:v>26934</x:v>
      </x:c>
      <x:c r="H197" s="22" t="n">
        <x:f>100*F197/G197</x:f>
        <x:v>100.09950248756219</x:v>
      </x:c>
      <x:c r="I197" s="24" t="n">
        <x:f>H197/100-1</x:f>
        <x:v>0.0009950248756218638</x:v>
      </x:c>
      <x:c r="J197" s="26" t="n">
        <x:v>4</x:v>
      </x:c>
      <x:c r="K197" s="7" t="b">
        <x:v>0</x:v>
      </x:c>
      <x:c r="L197" s="2" t="str">
        <x:v>Aug 10–23, 2026</x:v>
      </x:c>
      <x:c r="M197" s="2" t="str">
        <x:v>https://www.census.gov/hfp/btos/downloads/Sector.xlsx</x:v>
      </x:c>
    </x:row>
    <x:row r="198" ht="24" customHeight="1">
      <x:c r="A198" s="2" t="str">
        <x:v>Census BTOS</x:v>
      </x:c>
      <x:c r="B198" s="2" t="str">
        <x:v>Quintiles</x:v>
      </x:c>
      <x:c r="C198" s="2" t="str">
        <x:v>Q2</x:v>
      </x:c>
      <x:c r="D198" s="28" t="n">
        <x:v>45017</x:v>
      </x:c>
      <x:c r="E198" s="2" t="str">
        <x:v>2023Q2</x:v>
      </x:c>
      <x:c r="F198" s="20" t="n">
        <x:v>24085.2</x:v>
      </x:c>
      <x:c r="G198" s="20" t="n">
        <x:f>'Quarterly data'!$E$63</x:f>
        <x:v>24074.9666666667</x:v>
      </x:c>
      <x:c r="H198" s="22" t="n">
        <x:f>100*F198/G198</x:f>
        <x:v>100.04250611631154</x:v>
      </x:c>
      <x:c r="I198" s="24" t="n">
        <x:f>H198/100-1</x:f>
        <x:v>0.0004250611631153589</x:v>
      </x:c>
      <x:c r="J198" s="26" t="n">
        <x:v>3</x:v>
      </x:c>
      <x:c r="K198" s="7" t="b">
        <x:v>0</x:v>
      </x:c>
      <x:c r="L198" s="2" t="str">
        <x:v>Aug 10–23, 2026</x:v>
      </x:c>
      <x:c r="M198" s="2" t="str">
        <x:v>https://www.census.gov/hfp/btos/downloads/Sector.xlsx</x:v>
      </x:c>
    </x:row>
    <x:row r="199" ht="24" customHeight="1">
      <x:c r="A199" s="2" t="str">
        <x:v>Census BTOS</x:v>
      </x:c>
      <x:c r="B199" s="2" t="str">
        <x:v>Quintiles</x:v>
      </x:c>
      <x:c r="C199" s="2" t="str">
        <x:v>Q3</x:v>
      </x:c>
      <x:c r="D199" s="28" t="n">
        <x:v>45017</x:v>
      </x:c>
      <x:c r="E199" s="2" t="str">
        <x:v>2023Q2</x:v>
      </x:c>
      <x:c r="F199" s="20" t="n">
        <x:v>30944.1</x:v>
      </x:c>
      <x:c r="G199" s="20" t="n">
        <x:f>'Quarterly data'!$E$64</x:f>
        <x:v>30928.5333333333</x:v>
      </x:c>
      <x:c r="H199" s="22" t="n">
        <x:f>100*F199/G199</x:f>
        <x:v>100.05033108585826</x:v>
      </x:c>
      <x:c r="I199" s="24" t="n">
        <x:f>H199/100-1</x:f>
        <x:v>0.000503310858582573</x:v>
      </x:c>
      <x:c r="J199" s="26" t="n">
        <x:v>4</x:v>
      </x:c>
      <x:c r="K199" s="7" t="b">
        <x:v>0</x:v>
      </x:c>
      <x:c r="L199" s="2" t="str">
        <x:v>Aug 10–23, 2026</x:v>
      </x:c>
      <x:c r="M199" s="2" t="str">
        <x:v>https://www.census.gov/hfp/btos/downloads/Sector.xlsx</x:v>
      </x:c>
    </x:row>
    <x:row r="200" ht="24" customHeight="1">
      <x:c r="A200" s="2" t="str">
        <x:v>Census BTOS</x:v>
      </x:c>
      <x:c r="B200" s="2" t="str">
        <x:v>Quintiles</x:v>
      </x:c>
      <x:c r="C200" s="2" t="str">
        <x:v>Q4</x:v>
      </x:c>
      <x:c r="D200" s="28" t="n">
        <x:v>45017</x:v>
      </x:c>
      <x:c r="E200" s="2" t="str">
        <x:v>2023Q2</x:v>
      </x:c>
      <x:c r="F200" s="20" t="n">
        <x:v>26373.9</x:v>
      </x:c>
      <x:c r="G200" s="20" t="n">
        <x:f>'Quarterly data'!$E$65</x:f>
        <x:v>26207.6666666667</x:v>
      </x:c>
      <x:c r="H200" s="22" t="n">
        <x:f>100*F200/G200</x:f>
        <x:v>100.63429276420374</x:v>
      </x:c>
      <x:c r="I200" s="24" t="n">
        <x:f>H200/100-1</x:f>
        <x:v>0.006342927642037255</x:v>
      </x:c>
      <x:c r="J200" s="26" t="n">
        <x:v>3</x:v>
      </x:c>
      <x:c r="K200" s="7" t="b">
        <x:v>0</x:v>
      </x:c>
      <x:c r="L200" s="2" t="str">
        <x:v>Aug 10–23, 2026</x:v>
      </x:c>
      <x:c r="M200" s="2" t="str">
        <x:v>https://www.census.gov/hfp/btos/downloads/Sector.xlsx</x:v>
      </x:c>
    </x:row>
    <x:row r="201" ht="24" customHeight="1">
      <x:c r="A201" s="2" t="str">
        <x:v>Census BTOS</x:v>
      </x:c>
      <x:c r="B201" s="2" t="str">
        <x:v>Quintiles</x:v>
      </x:c>
      <x:c r="C201" s="2" t="str">
        <x:v>Q5</x:v>
      </x:c>
      <x:c r="D201" s="28" t="n">
        <x:v>45017</x:v>
      </x:c>
      <x:c r="E201" s="2" t="str">
        <x:v>2023Q2</x:v>
      </x:c>
      <x:c r="F201" s="20" t="n">
        <x:v>24323</x:v>
      </x:c>
      <x:c r="G201" s="20" t="n">
        <x:f>'Quarterly data'!$E$66</x:f>
        <x:v>24267.6666666667</x:v>
      </x:c>
      <x:c r="H201" s="22" t="n">
        <x:f>100*F201/G201</x:f>
        <x:v>100.22801258189895</x:v>
      </x:c>
      <x:c r="I201" s="24" t="n">
        <x:f>H201/100-1</x:f>
        <x:v>0.002280125818989509</x:v>
      </x:c>
      <x:c r="J201" s="26" t="n">
        <x:v>4</x:v>
      </x:c>
      <x:c r="K201" s="7" t="b">
        <x:v>0</x:v>
      </x:c>
      <x:c r="L201" s="2" t="str">
        <x:v>Aug 10–23, 2026</x:v>
      </x:c>
      <x:c r="M201" s="2" t="str">
        <x:v>https://www.census.gov/hfp/btos/downloads/Sector.xlsx</x:v>
      </x:c>
    </x:row>
    <x:row r="202" ht="24" customHeight="1">
      <x:c r="A202" s="2" t="str">
        <x:v>Census BTOS</x:v>
      </x:c>
      <x:c r="B202" s="2" t="str">
        <x:v>Quintiles</x:v>
      </x:c>
      <x:c r="C202" s="2" t="str">
        <x:v>Q1</x:v>
      </x:c>
      <x:c r="D202" s="28" t="n">
        <x:v>45047</x:v>
      </x:c>
      <x:c r="E202" s="2" t="str">
        <x:v>2023Q2</x:v>
      </x:c>
      <x:c r="F202" s="20" t="n">
        <x:v>27041.7</x:v>
      </x:c>
      <x:c r="G202" s="20" t="n">
        <x:f>'Quarterly data'!$E$62</x:f>
        <x:v>26934</x:v>
      </x:c>
      <x:c r="H202" s="22" t="n">
        <x:f>100*F202/G202</x:f>
        <x:v>100.39986633994208</x:v>
      </x:c>
      <x:c r="I202" s="24" t="n">
        <x:f>H202/100-1</x:f>
        <x:v>0.003998663399420899</x:v>
      </x:c>
      <x:c r="J202" s="26" t="n">
        <x:v>4</x:v>
      </x:c>
      <x:c r="K202" s="7" t="b">
        <x:v>0</x:v>
      </x:c>
      <x:c r="L202" s="2" t="str">
        <x:v>Aug 10–23, 2026</x:v>
      </x:c>
      <x:c r="M202" s="2" t="str">
        <x:v>https://www.census.gov/hfp/btos/downloads/Sector.xlsx</x:v>
      </x:c>
    </x:row>
    <x:row r="203" ht="24" customHeight="1">
      <x:c r="A203" s="2" t="str">
        <x:v>Census BTOS</x:v>
      </x:c>
      <x:c r="B203" s="2" t="str">
        <x:v>Quintiles</x:v>
      </x:c>
      <x:c r="C203" s="2" t="str">
        <x:v>Q2</x:v>
      </x:c>
      <x:c r="D203" s="28" t="n">
        <x:v>45047</x:v>
      </x:c>
      <x:c r="E203" s="2" t="str">
        <x:v>2023Q2</x:v>
      </x:c>
      <x:c r="F203" s="20" t="n">
        <x:v>24095.7</x:v>
      </x:c>
      <x:c r="G203" s="20" t="n">
        <x:f>'Quarterly data'!$E$63</x:f>
        <x:v>24074.9666666667</x:v>
      </x:c>
      <x:c r="H203" s="22" t="n">
        <x:f>100*F203/G203</x:f>
        <x:v>100.08611988386264</x:v>
      </x:c>
      <x:c r="I203" s="24" t="n">
        <x:f>H203/100-1</x:f>
        <x:v>0.0008611988386264535</x:v>
      </x:c>
      <x:c r="J203" s="26" t="n">
        <x:v>3</x:v>
      </x:c>
      <x:c r="K203" s="7" t="b">
        <x:v>0</x:v>
      </x:c>
      <x:c r="L203" s="2" t="str">
        <x:v>Aug 10–23, 2026</x:v>
      </x:c>
      <x:c r="M203" s="2" t="str">
        <x:v>https://www.census.gov/hfp/btos/downloads/Sector.xlsx</x:v>
      </x:c>
    </x:row>
    <x:row r="204" ht="24" customHeight="1">
      <x:c r="A204" s="2" t="str">
        <x:v>Census BTOS</x:v>
      </x:c>
      <x:c r="B204" s="2" t="str">
        <x:v>Quintiles</x:v>
      </x:c>
      <x:c r="C204" s="2" t="str">
        <x:v>Q3</x:v>
      </x:c>
      <x:c r="D204" s="28" t="n">
        <x:v>45047</x:v>
      </x:c>
      <x:c r="E204" s="2" t="str">
        <x:v>2023Q2</x:v>
      </x:c>
      <x:c r="F204" s="20" t="n">
        <x:v>30935</x:v>
      </x:c>
      <x:c r="G204" s="20" t="n">
        <x:f>'Quarterly data'!$E$64</x:f>
        <x:v>30928.5333333333</x:v>
      </x:c>
      <x:c r="H204" s="22" t="n">
        <x:f>100*F204/G204</x:f>
        <x:v>100.0209084168234</x:v>
      </x:c>
      <x:c r="I204" s="24" t="n">
        <x:f>H204/100-1</x:f>
        <x:v>0.00020908416823406384</x:v>
      </x:c>
      <x:c r="J204" s="26" t="n">
        <x:v>4</x:v>
      </x:c>
      <x:c r="K204" s="7" t="b">
        <x:v>0</x:v>
      </x:c>
      <x:c r="L204" s="2" t="str">
        <x:v>Aug 10–23, 2026</x:v>
      </x:c>
      <x:c r="M204" s="2" t="str">
        <x:v>https://www.census.gov/hfp/btos/downloads/Sector.xlsx</x:v>
      </x:c>
    </x:row>
    <x:row r="205" ht="24" customHeight="1">
      <x:c r="A205" s="2" t="str">
        <x:v>Census BTOS</x:v>
      </x:c>
      <x:c r="B205" s="2" t="str">
        <x:v>Quintiles</x:v>
      </x:c>
      <x:c r="C205" s="2" t="str">
        <x:v>Q4</x:v>
      </x:c>
      <x:c r="D205" s="28" t="n">
        <x:v>45047</x:v>
      </x:c>
      <x:c r="E205" s="2" t="str">
        <x:v>2023Q2</x:v>
      </x:c>
      <x:c r="F205" s="20" t="n">
        <x:v>26439.7</x:v>
      </x:c>
      <x:c r="G205" s="20" t="n">
        <x:f>'Quarterly data'!$E$65</x:f>
        <x:v>26207.6666666667</x:v>
      </x:c>
      <x:c r="H205" s="22" t="n">
        <x:f>100*F205/G205</x:f>
        <x:v>100.88536433359182</x:v>
      </x:c>
      <x:c r="I205" s="24" t="n">
        <x:f>H205/100-1</x:f>
        <x:v>0.008853643335918315</x:v>
      </x:c>
      <x:c r="J205" s="26" t="n">
        <x:v>3</x:v>
      </x:c>
      <x:c r="K205" s="7" t="b">
        <x:v>0</x:v>
      </x:c>
      <x:c r="L205" s="2" t="str">
        <x:v>Aug 10–23, 2026</x:v>
      </x:c>
      <x:c r="M205" s="2" t="str">
        <x:v>https://www.census.gov/hfp/btos/downloads/Sector.xlsx</x:v>
      </x:c>
    </x:row>
    <x:row r="206" ht="24" customHeight="1">
      <x:c r="A206" s="2" t="str">
        <x:v>Census BTOS</x:v>
      </x:c>
      <x:c r="B206" s="2" t="str">
        <x:v>Quintiles</x:v>
      </x:c>
      <x:c r="C206" s="2" t="str">
        <x:v>Q5</x:v>
      </x:c>
      <x:c r="D206" s="28" t="n">
        <x:v>45047</x:v>
      </x:c>
      <x:c r="E206" s="2" t="str">
        <x:v>2023Q2</x:v>
      </x:c>
      <x:c r="F206" s="20" t="n">
        <x:v>24375</x:v>
      </x:c>
      <x:c r="G206" s="20" t="n">
        <x:f>'Quarterly data'!$E$66</x:f>
        <x:v>24267.6666666667</x:v>
      </x:c>
      <x:c r="H206" s="22" t="n">
        <x:f>100*F206/G206</x:f>
        <x:v>100.44228946609329</x:v>
      </x:c>
      <x:c r="I206" s="24" t="n">
        <x:f>H206/100-1</x:f>
        <x:v>0.004422894660932819</x:v>
      </x:c>
      <x:c r="J206" s="26" t="n">
        <x:v>4</x:v>
      </x:c>
      <x:c r="K206" s="7" t="b">
        <x:v>0</x:v>
      </x:c>
      <x:c r="L206" s="2" t="str">
        <x:v>Aug 10–23, 2026</x:v>
      </x:c>
      <x:c r="M206" s="2" t="str">
        <x:v>https://www.census.gov/hfp/btos/downloads/Sector.xlsx</x:v>
      </x:c>
    </x:row>
    <x:row r="207" ht="24" customHeight="1">
      <x:c r="A207" s="2" t="str">
        <x:v>Census BTOS</x:v>
      </x:c>
      <x:c r="B207" s="2" t="str">
        <x:v>Quintiles</x:v>
      </x:c>
      <x:c r="C207" s="2" t="str">
        <x:v>Q1</x:v>
      </x:c>
      <x:c r="D207" s="28" t="n">
        <x:v>45078</x:v>
      </x:c>
      <x:c r="E207" s="2" t="str">
        <x:v>2023Q2</x:v>
      </x:c>
      <x:c r="F207" s="20" t="n">
        <x:v>27092.5</x:v>
      </x:c>
      <x:c r="G207" s="20" t="n">
        <x:f>'Quarterly data'!$E$62</x:f>
        <x:v>26934</x:v>
      </x:c>
      <x:c r="H207" s="22" t="n">
        <x:f>100*F207/G207</x:f>
        <x:v>100.58847553278385</x:v>
      </x:c>
      <x:c r="I207" s="24" t="n">
        <x:f>H207/100-1</x:f>
        <x:v>0.005884755327838498</x:v>
      </x:c>
      <x:c r="J207" s="26" t="n">
        <x:v>4</x:v>
      </x:c>
      <x:c r="K207" s="7" t="b">
        <x:v>0</x:v>
      </x:c>
      <x:c r="L207" s="2" t="str">
        <x:v>Aug 10–23, 2026</x:v>
      </x:c>
      <x:c r="M207" s="2" t="str">
        <x:v>https://www.census.gov/hfp/btos/downloads/Sector.xlsx</x:v>
      </x:c>
    </x:row>
    <x:row r="208" ht="24" customHeight="1">
      <x:c r="A208" s="2" t="str">
        <x:v>Census BTOS</x:v>
      </x:c>
      <x:c r="B208" s="2" t="str">
        <x:v>Quintiles</x:v>
      </x:c>
      <x:c r="C208" s="2" t="str">
        <x:v>Q2</x:v>
      </x:c>
      <x:c r="D208" s="28" t="n">
        <x:v>45078</x:v>
      </x:c>
      <x:c r="E208" s="2" t="str">
        <x:v>2023Q2</x:v>
      </x:c>
      <x:c r="F208" s="20" t="n">
        <x:v>24114.8</x:v>
      </x:c>
      <x:c r="G208" s="20" t="n">
        <x:f>'Quarterly data'!$E$63</x:f>
        <x:v>24074.9666666667</x:v>
      </x:c>
      <x:c r="H208" s="22" t="n">
        <x:f>100*F208/G208</x:f>
        <x:v>100.16545540388412</x:v>
      </x:c>
      <x:c r="I208" s="24" t="n">
        <x:f>H208/100-1</x:f>
        <x:v>0.0016545540388412938</x:v>
      </x:c>
      <x:c r="J208" s="26" t="n">
        <x:v>3</x:v>
      </x:c>
      <x:c r="K208" s="7" t="b">
        <x:v>0</x:v>
      </x:c>
      <x:c r="L208" s="2" t="str">
        <x:v>Aug 10–23, 2026</x:v>
      </x:c>
      <x:c r="M208" s="2" t="str">
        <x:v>https://www.census.gov/hfp/btos/downloads/Sector.xlsx</x:v>
      </x:c>
    </x:row>
    <x:row r="209" ht="24" customHeight="1">
      <x:c r="A209" s="2" t="str">
        <x:v>Census BTOS</x:v>
      </x:c>
      <x:c r="B209" s="2" t="str">
        <x:v>Quintiles</x:v>
      </x:c>
      <x:c r="C209" s="2" t="str">
        <x:v>Q3</x:v>
      </x:c>
      <x:c r="D209" s="28" t="n">
        <x:v>45078</x:v>
      </x:c>
      <x:c r="E209" s="2" t="str">
        <x:v>2023Q2</x:v>
      </x:c>
      <x:c r="F209" s="20" t="n">
        <x:v>30933</x:v>
      </x:c>
      <x:c r="G209" s="20" t="n">
        <x:f>'Quarterly data'!$E$64</x:f>
        <x:v>30928.5333333333</x:v>
      </x:c>
      <x:c r="H209" s="22" t="n">
        <x:f>100*F209/G209</x:f>
        <x:v>100.01444189615641</x:v>
      </x:c>
      <x:c r="I209" s="24" t="n">
        <x:f>H209/100-1</x:f>
        <x:v>0.0001444189615640301</x:v>
      </x:c>
      <x:c r="J209" s="26" t="n">
        <x:v>4</x:v>
      </x:c>
      <x:c r="K209" s="7" t="b">
        <x:v>0</x:v>
      </x:c>
      <x:c r="L209" s="2" t="str">
        <x:v>Aug 10–23, 2026</x:v>
      </x:c>
      <x:c r="M209" s="2" t="str">
        <x:v>https://www.census.gov/hfp/btos/downloads/Sector.xlsx</x:v>
      </x:c>
    </x:row>
    <x:row r="210" ht="24" customHeight="1">
      <x:c r="A210" s="2" t="str">
        <x:v>Census BTOS</x:v>
      </x:c>
      <x:c r="B210" s="2" t="str">
        <x:v>Quintiles</x:v>
      </x:c>
      <x:c r="C210" s="2" t="str">
        <x:v>Q4</x:v>
      </x:c>
      <x:c r="D210" s="28" t="n">
        <x:v>45078</x:v>
      </x:c>
      <x:c r="E210" s="2" t="str">
        <x:v>2023Q2</x:v>
      </x:c>
      <x:c r="F210" s="20" t="n">
        <x:v>26528.1</x:v>
      </x:c>
      <x:c r="G210" s="20" t="n">
        <x:f>'Quarterly data'!$E$65</x:f>
        <x:v>26207.6666666667</x:v>
      </x:c>
      <x:c r="H210" s="22" t="n">
        <x:f>100*F210/G210</x:f>
        <x:v>101.22267021100683</x:v>
      </x:c>
      <x:c r="I210" s="24" t="n">
        <x:f>H210/100-1</x:f>
        <x:v>0.012226702110068377</x:v>
      </x:c>
      <x:c r="J210" s="26" t="n">
        <x:v>3</x:v>
      </x:c>
      <x:c r="K210" s="7" t="b">
        <x:v>0</x:v>
      </x:c>
      <x:c r="L210" s="2" t="str">
        <x:v>Aug 10–23, 2026</x:v>
      </x:c>
      <x:c r="M210" s="2" t="str">
        <x:v>https://www.census.gov/hfp/btos/downloads/Sector.xlsx</x:v>
      </x:c>
    </x:row>
    <x:row r="211" ht="24" customHeight="1">
      <x:c r="A211" s="2" t="str">
        <x:v>Census BTOS</x:v>
      </x:c>
      <x:c r="B211" s="2" t="str">
        <x:v>Quintiles</x:v>
      </x:c>
      <x:c r="C211" s="2" t="str">
        <x:v>Q5</x:v>
      </x:c>
      <x:c r="D211" s="28" t="n">
        <x:v>45078</x:v>
      </x:c>
      <x:c r="E211" s="2" t="str">
        <x:v>2023Q2</x:v>
      </x:c>
      <x:c r="F211" s="20" t="n">
        <x:v>24374.7</x:v>
      </x:c>
      <x:c r="G211" s="20" t="n">
        <x:f>'Quarterly data'!$E$66</x:f>
        <x:v>24267.6666666667</x:v>
      </x:c>
      <x:c r="H211" s="22" t="n">
        <x:f>100*F211/G211</x:f>
        <x:v>100.44105325329986</x:v>
      </x:c>
      <x:c r="I211" s="24" t="n">
        <x:f>H211/100-1</x:f>
        <x:v>0.004410532532998612</x:v>
      </x:c>
      <x:c r="J211" s="26" t="n">
        <x:v>4</x:v>
      </x:c>
      <x:c r="K211" s="7" t="b">
        <x:v>0</x:v>
      </x:c>
      <x:c r="L211" s="2" t="str">
        <x:v>Aug 10–23, 2026</x:v>
      </x:c>
      <x:c r="M211" s="2" t="str">
        <x:v>https://www.census.gov/hfp/btos/downloads/Sector.xlsx</x:v>
      </x:c>
    </x:row>
    <x:row r="212" ht="24" customHeight="1">
      <x:c r="A212" s="2" t="str">
        <x:v>Census BTOS</x:v>
      </x:c>
      <x:c r="B212" s="2" t="str">
        <x:v>Quintiles</x:v>
      </x:c>
      <x:c r="C212" s="2" t="str">
        <x:v>Q1</x:v>
      </x:c>
      <x:c r="D212" s="28" t="n">
        <x:v>45108</x:v>
      </x:c>
      <x:c r="E212" s="2" t="str">
        <x:v>2023Q3</x:v>
      </x:c>
      <x:c r="F212" s="20" t="n">
        <x:v>27128.5</x:v>
      </x:c>
      <x:c r="G212" s="20" t="n">
        <x:f>'Quarterly data'!$E$62</x:f>
        <x:v>26934</x:v>
      </x:c>
      <x:c r="H212" s="22" t="n">
        <x:f>100*F212/G212</x:f>
        <x:v>100.7221355907032</x:v>
      </x:c>
      <x:c r="I212" s="24" t="n">
        <x:f>H212/100-1</x:f>
        <x:v>0.00722135590703199</x:v>
      </x:c>
      <x:c r="J212" s="26" t="n">
        <x:v>4</x:v>
      </x:c>
      <x:c r="K212" s="7" t="b">
        <x:v>0</x:v>
      </x:c>
      <x:c r="L212" s="2" t="str">
        <x:v>Aug 10–23, 2026</x:v>
      </x:c>
      <x:c r="M212" s="2" t="str">
        <x:v>https://www.census.gov/hfp/btos/downloads/Sector.xlsx</x:v>
      </x:c>
    </x:row>
    <x:row r="213" ht="24" customHeight="1">
      <x:c r="A213" s="2" t="str">
        <x:v>Census BTOS</x:v>
      </x:c>
      <x:c r="B213" s="2" t="str">
        <x:v>Quintiles</x:v>
      </x:c>
      <x:c r="C213" s="2" t="str">
        <x:v>Q2</x:v>
      </x:c>
      <x:c r="D213" s="28" t="n">
        <x:v>45108</x:v>
      </x:c>
      <x:c r="E213" s="2" t="str">
        <x:v>2023Q3</x:v>
      </x:c>
      <x:c r="F213" s="20" t="n">
        <x:v>24129.6</x:v>
      </x:c>
      <x:c r="G213" s="20" t="n">
        <x:f>'Quarterly data'!$E$63</x:f>
        <x:v>24074.9666666667</x:v>
      </x:c>
      <x:c r="H213" s="22" t="n">
        <x:f>100*F213/G213</x:f>
        <x:v>100.22693004767041</x:v>
      </x:c>
      <x:c r="I213" s="24" t="n">
        <x:f>H213/100-1</x:f>
        <x:v>0.0022693004767040392</x:v>
      </x:c>
      <x:c r="J213" s="26" t="n">
        <x:v>3</x:v>
      </x:c>
      <x:c r="K213" s="7" t="b">
        <x:v>0</x:v>
      </x:c>
      <x:c r="L213" s="2" t="str">
        <x:v>Aug 10–23, 2026</x:v>
      </x:c>
      <x:c r="M213" s="2" t="str">
        <x:v>https://www.census.gov/hfp/btos/downloads/Sector.xlsx</x:v>
      </x:c>
    </x:row>
    <x:row r="214" ht="24" customHeight="1">
      <x:c r="A214" s="2" t="str">
        <x:v>Census BTOS</x:v>
      </x:c>
      <x:c r="B214" s="2" t="str">
        <x:v>Quintiles</x:v>
      </x:c>
      <x:c r="C214" s="2" t="str">
        <x:v>Q3</x:v>
      </x:c>
      <x:c r="D214" s="28" t="n">
        <x:v>45108</x:v>
      </x:c>
      <x:c r="E214" s="2" t="str">
        <x:v>2023Q3</x:v>
      </x:c>
      <x:c r="F214" s="20" t="n">
        <x:v>30882.9</x:v>
      </x:c>
      <x:c r="G214" s="20" t="n">
        <x:f>'Quarterly data'!$E$64</x:f>
        <x:v>30928.5333333333</x:v>
      </x:c>
      <x:c r="H214" s="22" t="n">
        <x:f>100*F214/G214</x:f>
        <x:v>99.85245555344805</x:v>
      </x:c>
      <x:c r="I214" s="24" t="n">
        <x:f>H214/100-1</x:f>
        <x:v>-0.0014754444655195043</x:v>
      </x:c>
      <x:c r="J214" s="26" t="n">
        <x:v>4</x:v>
      </x:c>
      <x:c r="K214" s="7" t="b">
        <x:v>0</x:v>
      </x:c>
      <x:c r="L214" s="2" t="str">
        <x:v>Aug 10–23, 2026</x:v>
      </x:c>
      <x:c r="M214" s="2" t="str">
        <x:v>https://www.census.gov/hfp/btos/downloads/Sector.xlsx</x:v>
      </x:c>
    </x:row>
    <x:row r="215" ht="24" customHeight="1">
      <x:c r="A215" s="2" t="str">
        <x:v>Census BTOS</x:v>
      </x:c>
      <x:c r="B215" s="2" t="str">
        <x:v>Quintiles</x:v>
      </x:c>
      <x:c r="C215" s="2" t="str">
        <x:v>Q4</x:v>
      </x:c>
      <x:c r="D215" s="28" t="n">
        <x:v>45108</x:v>
      </x:c>
      <x:c r="E215" s="2" t="str">
        <x:v>2023Q3</x:v>
      </x:c>
      <x:c r="F215" s="20" t="n">
        <x:v>26640.8</x:v>
      </x:c>
      <x:c r="G215" s="20" t="n">
        <x:f>'Quarterly data'!$E$65</x:f>
        <x:v>26207.6666666667</x:v>
      </x:c>
      <x:c r="H215" s="22" t="n">
        <x:f>100*F215/G215</x:f>
        <x:v>101.6526970479375</x:v>
      </x:c>
      <x:c r="I215" s="24" t="n">
        <x:f>H215/100-1</x:f>
        <x:v>0.016526970479374903</x:v>
      </x:c>
      <x:c r="J215" s="26" t="n">
        <x:v>3</x:v>
      </x:c>
      <x:c r="K215" s="7" t="b">
        <x:v>0</x:v>
      </x:c>
      <x:c r="L215" s="2" t="str">
        <x:v>Aug 10–23, 2026</x:v>
      </x:c>
      <x:c r="M215" s="2" t="str">
        <x:v>https://www.census.gov/hfp/btos/downloads/Sector.xlsx</x:v>
      </x:c>
    </x:row>
    <x:row r="216" ht="24" customHeight="1">
      <x:c r="A216" s="2" t="str">
        <x:v>Census BTOS</x:v>
      </x:c>
      <x:c r="B216" s="2" t="str">
        <x:v>Quintiles</x:v>
      </x:c>
      <x:c r="C216" s="2" t="str">
        <x:v>Q5</x:v>
      </x:c>
      <x:c r="D216" s="28" t="n">
        <x:v>45108</x:v>
      </x:c>
      <x:c r="E216" s="2" t="str">
        <x:v>2023Q3</x:v>
      </x:c>
      <x:c r="F216" s="20" t="n">
        <x:v>24377.4</x:v>
      </x:c>
      <x:c r="G216" s="20" t="n">
        <x:f>'Quarterly data'!$E$66</x:f>
        <x:v>24267.6666666667</x:v>
      </x:c>
      <x:c r="H216" s="22" t="n">
        <x:f>100*F216/G216</x:f>
        <x:v>100.45217916844072</x:v>
      </x:c>
      <x:c r="I216" s="24" t="n">
        <x:f>H216/100-1</x:f>
        <x:v>0.004521791684407139</x:v>
      </x:c>
      <x:c r="J216" s="26" t="n">
        <x:v>4</x:v>
      </x:c>
      <x:c r="K216" s="7" t="b">
        <x:v>0</x:v>
      </x:c>
      <x:c r="L216" s="2" t="str">
        <x:v>Aug 10–23, 2026</x:v>
      </x:c>
      <x:c r="M216" s="2" t="str">
        <x:v>https://www.census.gov/hfp/btos/downloads/Sector.xlsx</x:v>
      </x:c>
    </x:row>
    <x:row r="217" ht="24" customHeight="1">
      <x:c r="A217" s="2" t="str">
        <x:v>Census BTOS</x:v>
      </x:c>
      <x:c r="B217" s="2" t="str">
        <x:v>Quintiles</x:v>
      </x:c>
      <x:c r="C217" s="2" t="str">
        <x:v>Q1</x:v>
      </x:c>
      <x:c r="D217" s="28" t="n">
        <x:v>45139</x:v>
      </x:c>
      <x:c r="E217" s="2" t="str">
        <x:v>2023Q3</x:v>
      </x:c>
      <x:c r="F217" s="20" t="n">
        <x:v>27168.7</x:v>
      </x:c>
      <x:c r="G217" s="20" t="n">
        <x:f>'Quarterly data'!$E$62</x:f>
        <x:v>26934</x:v>
      </x:c>
      <x:c r="H217" s="22" t="n">
        <x:f>100*F217/G217</x:f>
        <x:v>100.87138932204648</x:v>
      </x:c>
      <x:c r="I217" s="24" t="n">
        <x:f>H217/100-1</x:f>
        <x:v>0.008713893220464897</x:v>
      </x:c>
      <x:c r="J217" s="26" t="n">
        <x:v>4</x:v>
      </x:c>
      <x:c r="K217" s="7" t="b">
        <x:v>0</x:v>
      </x:c>
      <x:c r="L217" s="2" t="str">
        <x:v>Aug 10–23, 2026</x:v>
      </x:c>
      <x:c r="M217" s="2" t="str">
        <x:v>https://www.census.gov/hfp/btos/downloads/Sector.xlsx</x:v>
      </x:c>
    </x:row>
    <x:row r="218" ht="24" customHeight="1">
      <x:c r="A218" s="2" t="str">
        <x:v>Census BTOS</x:v>
      </x:c>
      <x:c r="B218" s="2" t="str">
        <x:v>Quintiles</x:v>
      </x:c>
      <x:c r="C218" s="2" t="str">
        <x:v>Q2</x:v>
      </x:c>
      <x:c r="D218" s="28" t="n">
        <x:v>45139</x:v>
      </x:c>
      <x:c r="E218" s="2" t="str">
        <x:v>2023Q3</x:v>
      </x:c>
      <x:c r="F218" s="20" t="n">
        <x:v>24150.2</x:v>
      </x:c>
      <x:c r="G218" s="20" t="n">
        <x:f>'Quarterly data'!$E$63</x:f>
        <x:v>24074.9666666667</x:v>
      </x:c>
      <x:c r="H218" s="22" t="n">
        <x:f>100*F218/G218</x:f>
        <x:v>100.31249610591347</x:v>
      </x:c>
      <x:c r="I218" s="24" t="n">
        <x:f>H218/100-1</x:f>
        <x:v>0.0031249610591346233</x:v>
      </x:c>
      <x:c r="J218" s="26" t="n">
        <x:v>3</x:v>
      </x:c>
      <x:c r="K218" s="7" t="b">
        <x:v>0</x:v>
      </x:c>
      <x:c r="L218" s="2" t="str">
        <x:v>Aug 10–23, 2026</x:v>
      </x:c>
      <x:c r="M218" s="2" t="str">
        <x:v>https://www.census.gov/hfp/btos/downloads/Sector.xlsx</x:v>
      </x:c>
    </x:row>
    <x:row r="219" ht="24" customHeight="1">
      <x:c r="A219" s="2" t="str">
        <x:v>Census BTOS</x:v>
      </x:c>
      <x:c r="B219" s="2" t="str">
        <x:v>Quintiles</x:v>
      </x:c>
      <x:c r="C219" s="2" t="str">
        <x:v>Q3</x:v>
      </x:c>
      <x:c r="D219" s="28" t="n">
        <x:v>45139</x:v>
      </x:c>
      <x:c r="E219" s="2" t="str">
        <x:v>2023Q3</x:v>
      </x:c>
      <x:c r="F219" s="20" t="n">
        <x:v>30867.9</x:v>
      </x:c>
      <x:c r="G219" s="20" t="n">
        <x:f>'Quarterly data'!$E$64</x:f>
        <x:v>30928.5333333333</x:v>
      </x:c>
      <x:c r="H219" s="22" t="n">
        <x:f>100*F219/G219</x:f>
        <x:v>99.80395664844555</x:v>
      </x:c>
      <x:c r="I219" s="24" t="n">
        <x:f>H219/100-1</x:f>
        <x:v>-0.001960433515544535</x:v>
      </x:c>
      <x:c r="J219" s="26" t="n">
        <x:v>4</x:v>
      </x:c>
      <x:c r="K219" s="7" t="b">
        <x:v>0</x:v>
      </x:c>
      <x:c r="L219" s="2" t="str">
        <x:v>Aug 10–23, 2026</x:v>
      </x:c>
      <x:c r="M219" s="2" t="str">
        <x:v>https://www.census.gov/hfp/btos/downloads/Sector.xlsx</x:v>
      </x:c>
    </x:row>
    <x:row r="220" ht="24" customHeight="1">
      <x:c r="A220" s="2" t="str">
        <x:v>Census BTOS</x:v>
      </x:c>
      <x:c r="B220" s="2" t="str">
        <x:v>Quintiles</x:v>
      </x:c>
      <x:c r="C220" s="2" t="str">
        <x:v>Q4</x:v>
      </x:c>
      <x:c r="D220" s="28" t="n">
        <x:v>45139</x:v>
      </x:c>
      <x:c r="E220" s="2" t="str">
        <x:v>2023Q3</x:v>
      </x:c>
      <x:c r="F220" s="20" t="n">
        <x:v>26756.5</x:v>
      </x:c>
      <x:c r="G220" s="20" t="n">
        <x:f>'Quarterly data'!$E$65</x:f>
        <x:v>26207.6666666667</x:v>
      </x:c>
      <x:c r="H220" s="22" t="n">
        <x:f>100*F220/G220</x:f>
        <x:v>102.09417091690713</x:v>
      </x:c>
      <x:c r="I220" s="24" t="n">
        <x:f>H220/100-1</x:f>
        <x:v>0.020941709169071343</x:v>
      </x:c>
      <x:c r="J220" s="26" t="n">
        <x:v>3</x:v>
      </x:c>
      <x:c r="K220" s="7" t="b">
        <x:v>0</x:v>
      </x:c>
      <x:c r="L220" s="2" t="str">
        <x:v>Aug 10–23, 2026</x:v>
      </x:c>
      <x:c r="M220" s="2" t="str">
        <x:v>https://www.census.gov/hfp/btos/downloads/Sector.xlsx</x:v>
      </x:c>
    </x:row>
    <x:row r="221" ht="24" customHeight="1">
      <x:c r="A221" s="2" t="str">
        <x:v>Census BTOS</x:v>
      </x:c>
      <x:c r="B221" s="2" t="str">
        <x:v>Quintiles</x:v>
      </x:c>
      <x:c r="C221" s="2" t="str">
        <x:v>Q5</x:v>
      </x:c>
      <x:c r="D221" s="28" t="n">
        <x:v>45139</x:v>
      </x:c>
      <x:c r="E221" s="2" t="str">
        <x:v>2023Q3</x:v>
      </x:c>
      <x:c r="F221" s="20" t="n">
        <x:v>24365.5</x:v>
      </x:c>
      <x:c r="G221" s="20" t="n">
        <x:f>'Quarterly data'!$E$66</x:f>
        <x:v>24267.6666666667</x:v>
      </x:c>
      <x:c r="H221" s="22" t="n">
        <x:f>100*F221/G221</x:f>
        <x:v>100.40314272763472</x:v>
      </x:c>
      <x:c r="I221" s="24" t="n">
        <x:f>H221/100-1</x:f>
        <x:v>0.004031427276347088</x:v>
      </x:c>
      <x:c r="J221" s="26" t="n">
        <x:v>4</x:v>
      </x:c>
      <x:c r="K221" s="7" t="b">
        <x:v>0</x:v>
      </x:c>
      <x:c r="L221" s="2" t="str">
        <x:v>Aug 10–23, 2026</x:v>
      </x:c>
      <x:c r="M221" s="2" t="str">
        <x:v>https://www.census.gov/hfp/btos/downloads/Sector.xlsx</x:v>
      </x:c>
    </x:row>
    <x:row r="222" ht="24" customHeight="1">
      <x:c r="A222" s="2" t="str">
        <x:v>Census BTOS</x:v>
      </x:c>
      <x:c r="B222" s="2" t="str">
        <x:v>Quintiles</x:v>
      </x:c>
      <x:c r="C222" s="2" t="str">
        <x:v>Q1</x:v>
      </x:c>
      <x:c r="D222" s="28" t="n">
        <x:v>45170</x:v>
      </x:c>
      <x:c r="E222" s="2" t="str">
        <x:v>2023Q3</x:v>
      </x:c>
      <x:c r="F222" s="20" t="n">
        <x:v>27206</x:v>
      </x:c>
      <x:c r="G222" s="20" t="n">
        <x:f>'Quarterly data'!$E$62</x:f>
        <x:v>26934</x:v>
      </x:c>
      <x:c r="H222" s="22" t="n">
        <x:f>100*F222/G222</x:f>
        <x:v>101.00987599316849</x:v>
      </x:c>
      <x:c r="I222" s="24" t="n">
        <x:f>H222/100-1</x:f>
        <x:v>0.010098759931684853</x:v>
      </x:c>
      <x:c r="J222" s="26" t="n">
        <x:v>4</x:v>
      </x:c>
      <x:c r="K222" s="7" t="b">
        <x:v>0</x:v>
      </x:c>
      <x:c r="L222" s="2" t="str">
        <x:v>Aug 10–23, 2026</x:v>
      </x:c>
      <x:c r="M222" s="2" t="str">
        <x:v>https://www.census.gov/hfp/btos/downloads/Sector.xlsx</x:v>
      </x:c>
    </x:row>
    <x:row r="223" ht="24" customHeight="1">
      <x:c r="A223" s="2" t="str">
        <x:v>Census BTOS</x:v>
      </x:c>
      <x:c r="B223" s="2" t="str">
        <x:v>Quintiles</x:v>
      </x:c>
      <x:c r="C223" s="2" t="str">
        <x:v>Q2</x:v>
      </x:c>
      <x:c r="D223" s="28" t="n">
        <x:v>45170</x:v>
      </x:c>
      <x:c r="E223" s="2" t="str">
        <x:v>2023Q3</x:v>
      </x:c>
      <x:c r="F223" s="20" t="n">
        <x:v>24163.8</x:v>
      </x:c>
      <x:c r="G223" s="20" t="n">
        <x:f>'Quarterly data'!$E$63</x:f>
        <x:v>24074.9666666667</x:v>
      </x:c>
      <x:c r="H223" s="22" t="n">
        <x:f>100*F223/G223</x:f>
        <x:v>100.36898631912248</x:v>
      </x:c>
      <x:c r="I223" s="24" t="n">
        <x:f>H223/100-1</x:f>
        <x:v>0.0036898631912247737</x:v>
      </x:c>
      <x:c r="J223" s="26" t="n">
        <x:v>3</x:v>
      </x:c>
      <x:c r="K223" s="7" t="b">
        <x:v>0</x:v>
      </x:c>
      <x:c r="L223" s="2" t="str">
        <x:v>Aug 10–23, 2026</x:v>
      </x:c>
      <x:c r="M223" s="2" t="str">
        <x:v>https://www.census.gov/hfp/btos/downloads/Sector.xlsx</x:v>
      </x:c>
    </x:row>
    <x:row r="224" ht="24" customHeight="1">
      <x:c r="A224" s="2" t="str">
        <x:v>Census BTOS</x:v>
      </x:c>
      <x:c r="B224" s="2" t="str">
        <x:v>Quintiles</x:v>
      </x:c>
      <x:c r="C224" s="2" t="str">
        <x:v>Q3</x:v>
      </x:c>
      <x:c r="D224" s="28" t="n">
        <x:v>45170</x:v>
      </x:c>
      <x:c r="E224" s="2" t="str">
        <x:v>2023Q3</x:v>
      </x:c>
      <x:c r="F224" s="20" t="n">
        <x:v>30849.8</x:v>
      </x:c>
      <x:c r="G224" s="20" t="n">
        <x:f>'Quarterly data'!$E$64</x:f>
        <x:v>30928.5333333333</x:v>
      </x:c>
      <x:c r="H224" s="22" t="n">
        <x:f>100*F224/G224</x:f>
        <x:v>99.7454346364092</x:v>
      </x:c>
      <x:c r="I224" s="24" t="n">
        <x:f>H224/100-1</x:f>
        <x:v>-0.002545653635907974</x:v>
      </x:c>
      <x:c r="J224" s="26" t="n">
        <x:v>4</x:v>
      </x:c>
      <x:c r="K224" s="7" t="b">
        <x:v>0</x:v>
      </x:c>
      <x:c r="L224" s="2" t="str">
        <x:v>Aug 10–23, 2026</x:v>
      </x:c>
      <x:c r="M224" s="2" t="str">
        <x:v>https://www.census.gov/hfp/btos/downloads/Sector.xlsx</x:v>
      </x:c>
    </x:row>
    <x:row r="225" ht="24" customHeight="1">
      <x:c r="A225" s="2" t="str">
        <x:v>Census BTOS</x:v>
      </x:c>
      <x:c r="B225" s="2" t="str">
        <x:v>Quintiles</x:v>
      </x:c>
      <x:c r="C225" s="2" t="str">
        <x:v>Q4</x:v>
      </x:c>
      <x:c r="D225" s="28" t="n">
        <x:v>45170</x:v>
      </x:c>
      <x:c r="E225" s="2" t="str">
        <x:v>2023Q3</x:v>
      </x:c>
      <x:c r="F225" s="20" t="n">
        <x:v>26844.9</x:v>
      </x:c>
      <x:c r="G225" s="20" t="n">
        <x:f>'Quarterly data'!$E$65</x:f>
        <x:v>26207.6666666667</x:v>
      </x:c>
      <x:c r="H225" s="22" t="n">
        <x:f>100*F225/G225</x:f>
        <x:v>102.43147679432214</x:v>
      </x:c>
      <x:c r="I225" s="24" t="n">
        <x:f>H225/100-1</x:f>
        <x:v>0.024314767943221405</x:v>
      </x:c>
      <x:c r="J225" s="26" t="n">
        <x:v>3</x:v>
      </x:c>
      <x:c r="K225" s="7" t="b">
        <x:v>0</x:v>
      </x:c>
      <x:c r="L225" s="2" t="str">
        <x:v>Aug 10–23, 2026</x:v>
      </x:c>
      <x:c r="M225" s="2" t="str">
        <x:v>https://www.census.gov/hfp/btos/downloads/Sector.xlsx</x:v>
      </x:c>
    </x:row>
    <x:row r="226" ht="24" customHeight="1">
      <x:c r="A226" s="2" t="str">
        <x:v>Census BTOS</x:v>
      </x:c>
      <x:c r="B226" s="2" t="str">
        <x:v>Quintiles</x:v>
      </x:c>
      <x:c r="C226" s="2" t="str">
        <x:v>Q5</x:v>
      </x:c>
      <x:c r="D226" s="28" t="n">
        <x:v>45170</x:v>
      </x:c>
      <x:c r="E226" s="2" t="str">
        <x:v>2023Q3</x:v>
      </x:c>
      <x:c r="F226" s="20" t="n">
        <x:v>24358.2</x:v>
      </x:c>
      <x:c r="G226" s="20" t="n">
        <x:f>'Quarterly data'!$E$66</x:f>
        <x:v>24267.6666666667</x:v>
      </x:c>
      <x:c r="H226" s="22" t="n">
        <x:f>100*F226/G226</x:f>
        <x:v>100.37306154966127</x:v>
      </x:c>
      <x:c r="I226" s="24" t="n">
        <x:f>H226/100-1</x:f>
        <x:v>0.003730615496612799</x:v>
      </x:c>
      <x:c r="J226" s="26" t="n">
        <x:v>4</x:v>
      </x:c>
      <x:c r="K226" s="7" t="b">
        <x:v>0</x:v>
      </x:c>
      <x:c r="L226" s="2" t="str">
        <x:v>Aug 10–23, 2026</x:v>
      </x:c>
      <x:c r="M226" s="2" t="str">
        <x:v>https://www.census.gov/hfp/btos/downloads/Sector.xlsx</x:v>
      </x:c>
    </x:row>
    <x:row r="227" ht="24" customHeight="1">
      <x:c r="A227" s="2" t="str">
        <x:v>Census BTOS</x:v>
      </x:c>
      <x:c r="B227" s="2" t="str">
        <x:v>Quintiles</x:v>
      </x:c>
      <x:c r="C227" s="2" t="str">
        <x:v>Q1</x:v>
      </x:c>
      <x:c r="D227" s="28" t="n">
        <x:v>45200</x:v>
      </x:c>
      <x:c r="E227" s="2" t="str">
        <x:v>2023Q4</x:v>
      </x:c>
      <x:c r="F227" s="20" t="n">
        <x:v>27231.2</x:v>
      </x:c>
      <x:c r="G227" s="20" t="n">
        <x:f>'Quarterly data'!$E$62</x:f>
        <x:v>26934</x:v>
      </x:c>
      <x:c r="H227" s="22" t="n">
        <x:f>100*F227/G227</x:f>
        <x:v>101.10343803371204</x:v>
      </x:c>
      <x:c r="I227" s="24" t="n">
        <x:f>H227/100-1</x:f>
        <x:v>0.011034380337120453</x:v>
      </x:c>
      <x:c r="J227" s="26" t="n">
        <x:v>4</x:v>
      </x:c>
      <x:c r="K227" s="7" t="b">
        <x:v>0</x:v>
      </x:c>
      <x:c r="L227" s="2" t="str">
        <x:v>Aug 10–23, 2026</x:v>
      </x:c>
      <x:c r="M227" s="2" t="str">
        <x:v>https://www.census.gov/hfp/btos/downloads/Sector.xlsx</x:v>
      </x:c>
    </x:row>
    <x:row r="228" ht="24" customHeight="1">
      <x:c r="A228" s="2" t="str">
        <x:v>Census BTOS</x:v>
      </x:c>
      <x:c r="B228" s="2" t="str">
        <x:v>Quintiles</x:v>
      </x:c>
      <x:c r="C228" s="2" t="str">
        <x:v>Q2</x:v>
      </x:c>
      <x:c r="D228" s="28" t="n">
        <x:v>45200</x:v>
      </x:c>
      <x:c r="E228" s="2" t="str">
        <x:v>2023Q4</x:v>
      </x:c>
      <x:c r="F228" s="20" t="n">
        <x:v>24205.3</x:v>
      </x:c>
      <x:c r="G228" s="20" t="n">
        <x:f>'Quarterly data'!$E$63</x:f>
        <x:v>24074.9666666667</x:v>
      </x:c>
      <x:c r="H228" s="22" t="n">
        <x:f>100*F228/G228</x:f>
        <x:v>100.54136454325295</x:v>
      </x:c>
      <x:c r="I228" s="24" t="n">
        <x:f>H228/100-1</x:f>
        <x:v>0.005413645432529535</x:v>
      </x:c>
      <x:c r="J228" s="26" t="n">
        <x:v>3</x:v>
      </x:c>
      <x:c r="K228" s="7" t="b">
        <x:v>0</x:v>
      </x:c>
      <x:c r="L228" s="2" t="str">
        <x:v>Aug 10–23, 2026</x:v>
      </x:c>
      <x:c r="M228" s="2" t="str">
        <x:v>https://www.census.gov/hfp/btos/downloads/Sector.xlsx</x:v>
      </x:c>
    </x:row>
    <x:row r="229" ht="24" customHeight="1">
      <x:c r="A229" s="2" t="str">
        <x:v>Census BTOS</x:v>
      </x:c>
      <x:c r="B229" s="2" t="str">
        <x:v>Quintiles</x:v>
      </x:c>
      <x:c r="C229" s="2" t="str">
        <x:v>Q3</x:v>
      </x:c>
      <x:c r="D229" s="28" t="n">
        <x:v>45200</x:v>
      </x:c>
      <x:c r="E229" s="2" t="str">
        <x:v>2023Q4</x:v>
      </x:c>
      <x:c r="F229" s="20" t="n">
        <x:v>30838.6</x:v>
      </x:c>
      <x:c r="G229" s="20" t="n">
        <x:f>'Quarterly data'!$E$64</x:f>
        <x:v>30928.5333333333</x:v>
      </x:c>
      <x:c r="H229" s="22" t="n">
        <x:f>100*F229/G229</x:f>
        <x:v>99.709222120674</x:v>
      </x:c>
      <x:c r="I229" s="24" t="n">
        <x:f>H229/100-1</x:f>
        <x:v>-0.0029077787932599852</x:v>
      </x:c>
      <x:c r="J229" s="26" t="n">
        <x:v>4</x:v>
      </x:c>
      <x:c r="K229" s="7" t="b">
        <x:v>0</x:v>
      </x:c>
      <x:c r="L229" s="2" t="str">
        <x:v>Aug 10–23, 2026</x:v>
      </x:c>
      <x:c r="M229" s="2" t="str">
        <x:v>https://www.census.gov/hfp/btos/downloads/Sector.xlsx</x:v>
      </x:c>
    </x:row>
    <x:row r="230" ht="24" customHeight="1">
      <x:c r="A230" s="2" t="str">
        <x:v>Census BTOS</x:v>
      </x:c>
      <x:c r="B230" s="2" t="str">
        <x:v>Quintiles</x:v>
      </x:c>
      <x:c r="C230" s="2" t="str">
        <x:v>Q4</x:v>
      </x:c>
      <x:c r="D230" s="28" t="n">
        <x:v>45200</x:v>
      </x:c>
      <x:c r="E230" s="2" t="str">
        <x:v>2023Q4</x:v>
      </x:c>
      <x:c r="F230" s="20" t="n">
        <x:v>26920.9</x:v>
      </x:c>
      <x:c r="G230" s="20" t="n">
        <x:f>'Quarterly data'!$E$65</x:f>
        <x:v>26207.6666666667</x:v>
      </x:c>
      <x:c r="H230" s="22" t="n">
        <x:f>100*F230/G230</x:f>
        <x:v>102.72146827264274</x:v>
      </x:c>
      <x:c r="I230" s="24" t="n">
        <x:f>H230/100-1</x:f>
        <x:v>0.027214682726427464</x:v>
      </x:c>
      <x:c r="J230" s="26" t="n">
        <x:v>3</x:v>
      </x:c>
      <x:c r="K230" s="7" t="b">
        <x:v>0</x:v>
      </x:c>
      <x:c r="L230" s="2" t="str">
        <x:v>Aug 10–23, 2026</x:v>
      </x:c>
      <x:c r="M230" s="2" t="str">
        <x:v>https://www.census.gov/hfp/btos/downloads/Sector.xlsx</x:v>
      </x:c>
    </x:row>
    <x:row r="231" ht="24" customHeight="1">
      <x:c r="A231" s="2" t="str">
        <x:v>Census BTOS</x:v>
      </x:c>
      <x:c r="B231" s="2" t="str">
        <x:v>Quintiles</x:v>
      </x:c>
      <x:c r="C231" s="2" t="str">
        <x:v>Q5</x:v>
      </x:c>
      <x:c r="D231" s="28" t="n">
        <x:v>45200</x:v>
      </x:c>
      <x:c r="E231" s="2" t="str">
        <x:v>2023Q4</x:v>
      </x:c>
      <x:c r="F231" s="20" t="n">
        <x:v>24340.3</x:v>
      </x:c>
      <x:c r="G231" s="20" t="n">
        <x:f>'Quarterly data'!$E$66</x:f>
        <x:v>24267.6666666667</x:v>
      </x:c>
      <x:c r="H231" s="22" t="n">
        <x:f>100*F231/G231</x:f>
        <x:v>100.29930085298669</x:v>
      </x:c>
      <x:c r="I231" s="24" t="n">
        <x:f>H231/100-1</x:f>
        <x:v>0.0029930085298668363</x:v>
      </x:c>
      <x:c r="J231" s="26" t="n">
        <x:v>4</x:v>
      </x:c>
      <x:c r="K231" s="7" t="b">
        <x:v>0</x:v>
      </x:c>
      <x:c r="L231" s="2" t="str">
        <x:v>Aug 10–23, 2026</x:v>
      </x:c>
      <x:c r="M231" s="2" t="str">
        <x:v>https://www.census.gov/hfp/btos/downloads/Sector.xlsx</x:v>
      </x:c>
    </x:row>
    <x:row r="232" ht="24" customHeight="1">
      <x:c r="A232" s="2" t="str">
        <x:v>Census BTOS</x:v>
      </x:c>
      <x:c r="B232" s="2" t="str">
        <x:v>Quintiles</x:v>
      </x:c>
      <x:c r="C232" s="2" t="str">
        <x:v>Q1</x:v>
      </x:c>
      <x:c r="D232" s="28" t="n">
        <x:v>45231</x:v>
      </x:c>
      <x:c r="E232" s="2" t="str">
        <x:v>2023Q4</x:v>
      </x:c>
      <x:c r="F232" s="20" t="n">
        <x:v>27247.8</x:v>
      </x:c>
      <x:c r="G232" s="20" t="n">
        <x:f>'Quarterly data'!$E$62</x:f>
        <x:v>26934</x:v>
      </x:c>
      <x:c r="H232" s="22" t="n">
        <x:f>100*F232/G232</x:f>
        <x:v>101.1650701715304</x:v>
      </x:c>
      <x:c r="I232" s="24" t="n">
        <x:f>H232/100-1</x:f>
        <x:v>0.011650701715304024</x:v>
      </x:c>
      <x:c r="J232" s="26" t="n">
        <x:v>4</x:v>
      </x:c>
      <x:c r="K232" s="7" t="b">
        <x:v>0</x:v>
      </x:c>
      <x:c r="L232" s="2" t="str">
        <x:v>Aug 10–23, 2026</x:v>
      </x:c>
      <x:c r="M232" s="2" t="str">
        <x:v>https://www.census.gov/hfp/btos/downloads/Sector.xlsx</x:v>
      </x:c>
    </x:row>
    <x:row r="233" ht="24" customHeight="1">
      <x:c r="A233" s="2" t="str">
        <x:v>Census BTOS</x:v>
      </x:c>
      <x:c r="B233" s="2" t="str">
        <x:v>Quintiles</x:v>
      </x:c>
      <x:c r="C233" s="2" t="str">
        <x:v>Q2</x:v>
      </x:c>
      <x:c r="D233" s="28" t="n">
        <x:v>45231</x:v>
      </x:c>
      <x:c r="E233" s="2" t="str">
        <x:v>2023Q4</x:v>
      </x:c>
      <x:c r="F233" s="20" t="n">
        <x:v>24181.6</x:v>
      </x:c>
      <x:c r="G233" s="20" t="n">
        <x:f>'Quarterly data'!$E$63</x:f>
        <x:v>24074.9666666667</x:v>
      </x:c>
      <x:c r="H233" s="22" t="n">
        <x:f>100*F233/G233</x:f>
        <x:v>100.44292203935194</x:v>
      </x:c>
      <x:c r="I233" s="24" t="n">
        <x:f>H233/100-1</x:f>
        <x:v>0.004429220393519451</x:v>
      </x:c>
      <x:c r="J233" s="26" t="n">
        <x:v>3</x:v>
      </x:c>
      <x:c r="K233" s="7" t="b">
        <x:v>0</x:v>
      </x:c>
      <x:c r="L233" s="2" t="str">
        <x:v>Aug 10–23, 2026</x:v>
      </x:c>
      <x:c r="M233" s="2" t="str">
        <x:v>https://www.census.gov/hfp/btos/downloads/Sector.xlsx</x:v>
      </x:c>
    </x:row>
    <x:row r="234" ht="24" customHeight="1">
      <x:c r="A234" s="2" t="str">
        <x:v>Census BTOS</x:v>
      </x:c>
      <x:c r="B234" s="2" t="str">
        <x:v>Quintiles</x:v>
      </x:c>
      <x:c r="C234" s="2" t="str">
        <x:v>Q3</x:v>
      </x:c>
      <x:c r="D234" s="28" t="n">
        <x:v>45231</x:v>
      </x:c>
      <x:c r="E234" s="2" t="str">
        <x:v>2023Q4</x:v>
      </x:c>
      <x:c r="F234" s="20" t="n">
        <x:v>30813.1</x:v>
      </x:c>
      <x:c r="G234" s="20" t="n">
        <x:f>'Quarterly data'!$E$64</x:f>
        <x:v>30928.5333333333</x:v>
      </x:c>
      <x:c r="H234" s="22" t="n">
        <x:f>100*F234/G234</x:f>
        <x:v>99.62677398216975</x:v>
      </x:c>
      <x:c r="I234" s="24" t="n">
        <x:f>H234/100-1</x:f>
        <x:v>-0.0037322601783025267</x:v>
      </x:c>
      <x:c r="J234" s="26" t="n">
        <x:v>4</x:v>
      </x:c>
      <x:c r="K234" s="7" t="b">
        <x:v>0</x:v>
      </x:c>
      <x:c r="L234" s="2" t="str">
        <x:v>Aug 10–23, 2026</x:v>
      </x:c>
      <x:c r="M234" s="2" t="str">
        <x:v>https://www.census.gov/hfp/btos/downloads/Sector.xlsx</x:v>
      </x:c>
    </x:row>
    <x:row r="235" ht="24" customHeight="1">
      <x:c r="A235" s="2" t="str">
        <x:v>Census BTOS</x:v>
      </x:c>
      <x:c r="B235" s="2" t="str">
        <x:v>Quintiles</x:v>
      </x:c>
      <x:c r="C235" s="2" t="str">
        <x:v>Q4</x:v>
      </x:c>
      <x:c r="D235" s="28" t="n">
        <x:v>45231</x:v>
      </x:c>
      <x:c r="E235" s="2" t="str">
        <x:v>2023Q4</x:v>
      </x:c>
      <x:c r="F235" s="20" t="n">
        <x:v>27029.8</x:v>
      </x:c>
      <x:c r="G235" s="20" t="n">
        <x:f>'Quarterly data'!$E$65</x:f>
        <x:v>26207.6666666667</x:v>
      </x:c>
      <x:c r="H235" s="22" t="n">
        <x:f>100*F235/G235</x:f>
        <x:v>103.13699553565738</x:v>
      </x:c>
      <x:c r="I235" s="24" t="n">
        <x:f>H235/100-1</x:f>
        <x:v>0.03136995535657383</x:v>
      </x:c>
      <x:c r="J235" s="26" t="n">
        <x:v>3</x:v>
      </x:c>
      <x:c r="K235" s="7" t="b">
        <x:v>0</x:v>
      </x:c>
      <x:c r="L235" s="2" t="str">
        <x:v>Aug 10–23, 2026</x:v>
      </x:c>
      <x:c r="M235" s="2" t="str">
        <x:v>https://www.census.gov/hfp/btos/downloads/Sector.xlsx</x:v>
      </x:c>
    </x:row>
    <x:row r="236" ht="24" customHeight="1">
      <x:c r="A236" s="2" t="str">
        <x:v>Census BTOS</x:v>
      </x:c>
      <x:c r="B236" s="2" t="str">
        <x:v>Quintiles</x:v>
      </x:c>
      <x:c r="C236" s="2" t="str">
        <x:v>Q5</x:v>
      </x:c>
      <x:c r="D236" s="28" t="n">
        <x:v>45231</x:v>
      </x:c>
      <x:c r="E236" s="2" t="str">
        <x:v>2023Q4</x:v>
      </x:c>
      <x:c r="F236" s="20" t="n">
        <x:v>24351</x:v>
      </x:c>
      <x:c r="G236" s="20" t="n">
        <x:f>'Quarterly data'!$E$66</x:f>
        <x:v>24267.6666666667</x:v>
      </x:c>
      <x:c r="H236" s="22" t="n">
        <x:f>100*F236/G236</x:f>
        <x:v>100.34339244261898</x:v>
      </x:c>
      <x:c r="I236" s="24" t="n">
        <x:f>H236/100-1</x:f>
        <x:v>0.0034339244261898383</x:v>
      </x:c>
      <x:c r="J236" s="26" t="n">
        <x:v>4</x:v>
      </x:c>
      <x:c r="K236" s="7" t="b">
        <x:v>0</x:v>
      </x:c>
      <x:c r="L236" s="2" t="str">
        <x:v>Aug 10–23, 2026</x:v>
      </x:c>
      <x:c r="M236" s="2" t="str">
        <x:v>https://www.census.gov/hfp/btos/downloads/Sector.xlsx</x:v>
      </x:c>
    </x:row>
    <x:row r="237" ht="24" customHeight="1">
      <x:c r="A237" s="2" t="str">
        <x:v>Census BTOS</x:v>
      </x:c>
      <x:c r="B237" s="2" t="str">
        <x:v>Quintiles</x:v>
      </x:c>
      <x:c r="C237" s="2" t="str">
        <x:v>Q1</x:v>
      </x:c>
      <x:c r="D237" s="28" t="n">
        <x:v>45261</x:v>
      </x:c>
      <x:c r="E237" s="2" t="str">
        <x:v>2023Q4</x:v>
      </x:c>
      <x:c r="F237" s="20" t="n">
        <x:v>27196.2</x:v>
      </x:c>
      <x:c r="G237" s="20" t="n">
        <x:f>'Quarterly data'!$E$62</x:f>
        <x:v>26934</x:v>
      </x:c>
      <x:c r="H237" s="22" t="n">
        <x:f>100*F237/G237</x:f>
        <x:v>100.97349075517933</x:v>
      </x:c>
      <x:c r="I237" s="24" t="n">
        <x:f>H237/100-1</x:f>
        <x:v>0.009734907551793182</x:v>
      </x:c>
      <x:c r="J237" s="26" t="n">
        <x:v>4</x:v>
      </x:c>
      <x:c r="K237" s="7" t="b">
        <x:v>0</x:v>
      </x:c>
      <x:c r="L237" s="2" t="str">
        <x:v>Aug 10–23, 2026</x:v>
      </x:c>
      <x:c r="M237" s="2" t="str">
        <x:v>https://www.census.gov/hfp/btos/downloads/Sector.xlsx</x:v>
      </x:c>
    </x:row>
    <x:row r="238" ht="24" customHeight="1">
      <x:c r="A238" s="2" t="str">
        <x:v>Census BTOS</x:v>
      </x:c>
      <x:c r="B238" s="2" t="str">
        <x:v>Quintiles</x:v>
      </x:c>
      <x:c r="C238" s="2" t="str">
        <x:v>Q2</x:v>
      </x:c>
      <x:c r="D238" s="28" t="n">
        <x:v>45261</x:v>
      </x:c>
      <x:c r="E238" s="2" t="str">
        <x:v>2023Q4</x:v>
      </x:c>
      <x:c r="F238" s="20" t="n">
        <x:v>24235.7</x:v>
      </x:c>
      <x:c r="G238" s="20" t="n">
        <x:f>'Quarterly data'!$E$63</x:f>
        <x:v>24074.9666666667</x:v>
      </x:c>
      <x:c r="H238" s="22" t="n">
        <x:f>100*F238/G238</x:f>
        <x:v>100.66763678454369</x:v>
      </x:c>
      <x:c r="I238" s="24" t="n">
        <x:f>H238/100-1</x:f>
        <x:v>0.0066763678454369035</x:v>
      </x:c>
      <x:c r="J238" s="26" t="n">
        <x:v>3</x:v>
      </x:c>
      <x:c r="K238" s="7" t="b">
        <x:v>0</x:v>
      </x:c>
      <x:c r="L238" s="2" t="str">
        <x:v>Aug 10–23, 2026</x:v>
      </x:c>
      <x:c r="M238" s="2" t="str">
        <x:v>https://www.census.gov/hfp/btos/downloads/Sector.xlsx</x:v>
      </x:c>
    </x:row>
    <x:row r="239" ht="24" customHeight="1">
      <x:c r="A239" s="2" t="str">
        <x:v>Census BTOS</x:v>
      </x:c>
      <x:c r="B239" s="2" t="str">
        <x:v>Quintiles</x:v>
      </x:c>
      <x:c r="C239" s="2" t="str">
        <x:v>Q3</x:v>
      </x:c>
      <x:c r="D239" s="28" t="n">
        <x:v>45261</x:v>
      </x:c>
      <x:c r="E239" s="2" t="str">
        <x:v>2023Q4</x:v>
      </x:c>
      <x:c r="F239" s="20" t="n">
        <x:v>30802.4</x:v>
      </x:c>
      <x:c r="G239" s="20" t="n">
        <x:f>'Quarterly data'!$E$64</x:f>
        <x:v>30928.5333333333</x:v>
      </x:c>
      <x:c r="H239" s="22" t="n">
        <x:f>100*F239/G239</x:f>
        <x:v>99.5921780966013</x:v>
      </x:c>
      <x:c r="I239" s="24" t="n">
        <x:f>H239/100-1</x:f>
        <x:v>-0.004078219033986974</x:v>
      </x:c>
      <x:c r="J239" s="26" t="n">
        <x:v>4</x:v>
      </x:c>
      <x:c r="K239" s="7" t="b">
        <x:v>0</x:v>
      </x:c>
      <x:c r="L239" s="2" t="str">
        <x:v>Aug 10–23, 2026</x:v>
      </x:c>
      <x:c r="M239" s="2" t="str">
        <x:v>https://www.census.gov/hfp/btos/downloads/Sector.xlsx</x:v>
      </x:c>
    </x:row>
    <x:row r="240" ht="24" customHeight="1">
      <x:c r="A240" s="2" t="str">
        <x:v>Census BTOS</x:v>
      </x:c>
      <x:c r="B240" s="2" t="str">
        <x:v>Quintiles</x:v>
      </x:c>
      <x:c r="C240" s="2" t="str">
        <x:v>Q4</x:v>
      </x:c>
      <x:c r="D240" s="28" t="n">
        <x:v>45261</x:v>
      </x:c>
      <x:c r="E240" s="2" t="str">
        <x:v>2023Q4</x:v>
      </x:c>
      <x:c r="F240" s="20" t="n">
        <x:v>27105.1</x:v>
      </x:c>
      <x:c r="G240" s="20" t="n">
        <x:f>'Quarterly data'!$E$65</x:f>
        <x:v>26207.6666666667</x:v>
      </x:c>
      <x:c r="H240" s="22" t="n">
        <x:f>100*F240/G240</x:f>
        <x:v>103.42431603983553</x:v>
      </x:c>
      <x:c r="I240" s="24" t="n">
        <x:f>H240/100-1</x:f>
        <x:v>0.03424316039835529</x:v>
      </x:c>
      <x:c r="J240" s="26" t="n">
        <x:v>3</x:v>
      </x:c>
      <x:c r="K240" s="7" t="b">
        <x:v>0</x:v>
      </x:c>
      <x:c r="L240" s="2" t="str">
        <x:v>Aug 10–23, 2026</x:v>
      </x:c>
      <x:c r="M240" s="2" t="str">
        <x:v>https://www.census.gov/hfp/btos/downloads/Sector.xlsx</x:v>
      </x:c>
    </x:row>
    <x:row r="241" ht="24" customHeight="1">
      <x:c r="A241" s="2" t="str">
        <x:v>Census BTOS</x:v>
      </x:c>
      <x:c r="B241" s="2" t="str">
        <x:v>Quintiles</x:v>
      </x:c>
      <x:c r="C241" s="2" t="str">
        <x:v>Q5</x:v>
      </x:c>
      <x:c r="D241" s="28" t="n">
        <x:v>45261</x:v>
      </x:c>
      <x:c r="E241" s="2" t="str">
        <x:v>2023Q4</x:v>
      </x:c>
      <x:c r="F241" s="20" t="n">
        <x:v>24383.1</x:v>
      </x:c>
      <x:c r="G241" s="20" t="n">
        <x:f>'Quarterly data'!$E$66</x:f>
        <x:v>24267.6666666667</x:v>
      </x:c>
      <x:c r="H241" s="22" t="n">
        <x:f>100*F241/G241</x:f>
        <x:v>100.47566721151587</x:v>
      </x:c>
      <x:c r="I241" s="24" t="n">
        <x:f>H241/100-1</x:f>
        <x:v>0.004756672115158622</x:v>
      </x:c>
      <x:c r="J241" s="26" t="n">
        <x:v>4</x:v>
      </x:c>
      <x:c r="K241" s="7" t="b">
        <x:v>0</x:v>
      </x:c>
      <x:c r="L241" s="2" t="str">
        <x:v>Aug 10–23, 2026</x:v>
      </x:c>
      <x:c r="M241" s="2" t="str">
        <x:v>https://www.census.gov/hfp/btos/downloads/Sector.xlsx</x:v>
      </x:c>
    </x:row>
    <x:row r="242" ht="24" customHeight="1">
      <x:c r="A242" s="2" t="str">
        <x:v>Census BTOS</x:v>
      </x:c>
      <x:c r="B242" s="2" t="str">
        <x:v>Quintiles</x:v>
      </x:c>
      <x:c r="C242" s="2" t="str">
        <x:v>Q1</x:v>
      </x:c>
      <x:c r="D242" s="28" t="n">
        <x:v>45292</x:v>
      </x:c>
      <x:c r="E242" s="2" t="str">
        <x:v>2024Q1</x:v>
      </x:c>
      <x:c r="F242" s="20" t="n">
        <x:v>27197.1</x:v>
      </x:c>
      <x:c r="G242" s="20" t="n">
        <x:f>'Quarterly data'!$E$62</x:f>
        <x:v>26934</x:v>
      </x:c>
      <x:c r="H242" s="22" t="n">
        <x:f>100*F242/G242</x:f>
        <x:v>100.9768322566273</x:v>
      </x:c>
      <x:c r="I242" s="24" t="n">
        <x:f>H242/100-1</x:f>
        <x:v>0.009768322566273024</x:v>
      </x:c>
      <x:c r="J242" s="26" t="n">
        <x:v>4</x:v>
      </x:c>
      <x:c r="K242" s="7" t="b">
        <x:v>0</x:v>
      </x:c>
      <x:c r="L242" s="2" t="str">
        <x:v>Aug 10–23, 2026</x:v>
      </x:c>
      <x:c r="M242" s="2" t="str">
        <x:v>https://www.census.gov/hfp/btos/downloads/Sector.xlsx</x:v>
      </x:c>
    </x:row>
    <x:row r="243" ht="24" customHeight="1">
      <x:c r="A243" s="2" t="str">
        <x:v>Census BTOS</x:v>
      </x:c>
      <x:c r="B243" s="2" t="str">
        <x:v>Quintiles</x:v>
      </x:c>
      <x:c r="C243" s="2" t="str">
        <x:v>Q2</x:v>
      </x:c>
      <x:c r="D243" s="28" t="n">
        <x:v>45292</x:v>
      </x:c>
      <x:c r="E243" s="2" t="str">
        <x:v>2024Q1</x:v>
      </x:c>
      <x:c r="F243" s="20" t="n">
        <x:v>24233.4</x:v>
      </x:c>
      <x:c r="G243" s="20" t="n">
        <x:f>'Quarterly data'!$E$63</x:f>
        <x:v>24074.9666666667</x:v>
      </x:c>
      <x:c r="H243" s="22" t="n">
        <x:f>100*F243/G243</x:f>
        <x:v>100.65808329260393</x:v>
      </x:c>
      <x:c r="I243" s="24" t="n">
        <x:f>H243/100-1</x:f>
        <x:v>0.006580832926039282</x:v>
      </x:c>
      <x:c r="J243" s="26" t="n">
        <x:v>3</x:v>
      </x:c>
      <x:c r="K243" s="7" t="b">
        <x:v>0</x:v>
      </x:c>
      <x:c r="L243" s="2" t="str">
        <x:v>Aug 10–23, 2026</x:v>
      </x:c>
      <x:c r="M243" s="2" t="str">
        <x:v>https://www.census.gov/hfp/btos/downloads/Sector.xlsx</x:v>
      </x:c>
    </x:row>
    <x:row r="244" ht="24" customHeight="1">
      <x:c r="A244" s="2" t="str">
        <x:v>Census BTOS</x:v>
      </x:c>
      <x:c r="B244" s="2" t="str">
        <x:v>Quintiles</x:v>
      </x:c>
      <x:c r="C244" s="2" t="str">
        <x:v>Q3</x:v>
      </x:c>
      <x:c r="D244" s="28" t="n">
        <x:v>45292</x:v>
      </x:c>
      <x:c r="E244" s="2" t="str">
        <x:v>2024Q1</x:v>
      </x:c>
      <x:c r="F244" s="20" t="n">
        <x:v>30834.5</x:v>
      </x:c>
      <x:c r="G244" s="20" t="n">
        <x:f>'Quarterly data'!$E$64</x:f>
        <x:v>30928.5333333333</x:v>
      </x:c>
      <x:c r="H244" s="22" t="n">
        <x:f>100*F244/G244</x:f>
        <x:v>99.69596575330665</x:v>
      </x:c>
      <x:c r="I244" s="24" t="n">
        <x:f>H244/100-1</x:f>
        <x:v>-0.003040342466933521</x:v>
      </x:c>
      <x:c r="J244" s="26" t="n">
        <x:v>4</x:v>
      </x:c>
      <x:c r="K244" s="7" t="b">
        <x:v>0</x:v>
      </x:c>
      <x:c r="L244" s="2" t="str">
        <x:v>Aug 10–23, 2026</x:v>
      </x:c>
      <x:c r="M244" s="2" t="str">
        <x:v>https://www.census.gov/hfp/btos/downloads/Sector.xlsx</x:v>
      </x:c>
    </x:row>
    <x:row r="245" ht="24" customHeight="1">
      <x:c r="A245" s="2" t="str">
        <x:v>Census BTOS</x:v>
      </x:c>
      <x:c r="B245" s="2" t="str">
        <x:v>Quintiles</x:v>
      </x:c>
      <x:c r="C245" s="2" t="str">
        <x:v>Q4</x:v>
      </x:c>
      <x:c r="D245" s="28" t="n">
        <x:v>45292</x:v>
      </x:c>
      <x:c r="E245" s="2" t="str">
        <x:v>2024Q1</x:v>
      </x:c>
      <x:c r="F245" s="20" t="n">
        <x:v>27178.4</x:v>
      </x:c>
      <x:c r="G245" s="20" t="n">
        <x:f>'Quarterly data'!$E$65</x:f>
        <x:v>26207.6666666667</x:v>
      </x:c>
      <x:c r="H245" s="22" t="n">
        <x:f>100*F245/G245</x:f>
        <x:v>103.70400518932105</x:v>
      </x:c>
      <x:c r="I245" s="24" t="n">
        <x:f>H245/100-1</x:f>
        <x:v>0.03704005189321058</x:v>
      </x:c>
      <x:c r="J245" s="26" t="n">
        <x:v>3</x:v>
      </x:c>
      <x:c r="K245" s="7" t="b">
        <x:v>0</x:v>
      </x:c>
      <x:c r="L245" s="2" t="str">
        <x:v>Aug 10–23, 2026</x:v>
      </x:c>
      <x:c r="M245" s="2" t="str">
        <x:v>https://www.census.gov/hfp/btos/downloads/Sector.xlsx</x:v>
      </x:c>
    </x:row>
    <x:row r="246" ht="24" customHeight="1">
      <x:c r="A246" s="2" t="str">
        <x:v>Census BTOS</x:v>
      </x:c>
      <x:c r="B246" s="2" t="str">
        <x:v>Quintiles</x:v>
      </x:c>
      <x:c r="C246" s="2" t="str">
        <x:v>Q5</x:v>
      </x:c>
      <x:c r="D246" s="28" t="n">
        <x:v>45292</x:v>
      </x:c>
      <x:c r="E246" s="2" t="str">
        <x:v>2024Q1</x:v>
      </x:c>
      <x:c r="F246" s="20" t="n">
        <x:v>24405.3</x:v>
      </x:c>
      <x:c r="G246" s="20" t="n">
        <x:f>'Quarterly data'!$E$66</x:f>
        <x:v>24267.6666666667</x:v>
      </x:c>
      <x:c r="H246" s="22" t="n">
        <x:f>100*F246/G246</x:f>
        <x:v>100.5671469582296</x:v>
      </x:c>
      <x:c r="I246" s="24" t="n">
        <x:f>H246/100-1</x:f>
        <x:v>0.005671469582295918</x:v>
      </x:c>
      <x:c r="J246" s="26" t="n">
        <x:v>4</x:v>
      </x:c>
      <x:c r="K246" s="7" t="b">
        <x:v>0</x:v>
      </x:c>
      <x:c r="L246" s="2" t="str">
        <x:v>Aug 10–23, 2026</x:v>
      </x:c>
      <x:c r="M246" s="2" t="str">
        <x:v>https://www.census.gov/hfp/btos/downloads/Sector.xlsx</x:v>
      </x:c>
    </x:row>
    <x:row r="247" ht="24" customHeight="1">
      <x:c r="A247" s="2" t="str">
        <x:v>Census BTOS</x:v>
      </x:c>
      <x:c r="B247" s="2" t="str">
        <x:v>Quintiles</x:v>
      </x:c>
      <x:c r="C247" s="2" t="str">
        <x:v>Q1</x:v>
      </x:c>
      <x:c r="D247" s="28" t="n">
        <x:v>45323</x:v>
      </x:c>
      <x:c r="E247" s="2" t="str">
        <x:v>2024Q1</x:v>
      </x:c>
      <x:c r="F247" s="20" t="n">
        <x:v>27275.7</x:v>
      </x:c>
      <x:c r="G247" s="20" t="n">
        <x:f>'Quarterly data'!$E$62</x:f>
        <x:v>26934</x:v>
      </x:c>
      <x:c r="H247" s="22" t="n">
        <x:f>100*F247/G247</x:f>
        <x:v>101.26865671641791</x:v>
      </x:c>
      <x:c r="I247" s="24" t="n">
        <x:f>H247/100-1</x:f>
        <x:v>0.012686567164179152</x:v>
      </x:c>
      <x:c r="J247" s="26" t="n">
        <x:v>4</x:v>
      </x:c>
      <x:c r="K247" s="7" t="b">
        <x:v>0</x:v>
      </x:c>
      <x:c r="L247" s="2" t="str">
        <x:v>Aug 10–23, 2026</x:v>
      </x:c>
      <x:c r="M247" s="2" t="str">
        <x:v>https://www.census.gov/hfp/btos/downloads/Sector.xlsx</x:v>
      </x:c>
    </x:row>
    <x:row r="248" ht="24" customHeight="1">
      <x:c r="A248" s="2" t="str">
        <x:v>Census BTOS</x:v>
      </x:c>
      <x:c r="B248" s="2" t="str">
        <x:v>Quintiles</x:v>
      </x:c>
      <x:c r="C248" s="2" t="str">
        <x:v>Q2</x:v>
      </x:c>
      <x:c r="D248" s="28" t="n">
        <x:v>45323</x:v>
      </x:c>
      <x:c r="E248" s="2" t="str">
        <x:v>2024Q1</x:v>
      </x:c>
      <x:c r="F248" s="20" t="n">
        <x:v>24250.4</x:v>
      </x:c>
      <x:c r="G248" s="20" t="n">
        <x:f>'Quarterly data'!$E$63</x:f>
        <x:v>24074.9666666667</x:v>
      </x:c>
      <x:c r="H248" s="22" t="n">
        <x:f>100*F248/G248</x:f>
        <x:v>100.72869605911521</x:v>
      </x:c>
      <x:c r="I248" s="24" t="n">
        <x:f>H248/100-1</x:f>
        <x:v>0.007286960591152081</x:v>
      </x:c>
      <x:c r="J248" s="26" t="n">
        <x:v>3</x:v>
      </x:c>
      <x:c r="K248" s="7" t="b">
        <x:v>0</x:v>
      </x:c>
      <x:c r="L248" s="2" t="str">
        <x:v>Aug 10–23, 2026</x:v>
      </x:c>
      <x:c r="M248" s="2" t="str">
        <x:v>https://www.census.gov/hfp/btos/downloads/Sector.xlsx</x:v>
      </x:c>
    </x:row>
    <x:row r="249" ht="24" customHeight="1">
      <x:c r="A249" s="2" t="str">
        <x:v>Census BTOS</x:v>
      </x:c>
      <x:c r="B249" s="2" t="str">
        <x:v>Quintiles</x:v>
      </x:c>
      <x:c r="C249" s="2" t="str">
        <x:v>Q3</x:v>
      </x:c>
      <x:c r="D249" s="28" t="n">
        <x:v>45323</x:v>
      </x:c>
      <x:c r="E249" s="2" t="str">
        <x:v>2024Q1</x:v>
      </x:c>
      <x:c r="F249" s="20" t="n">
        <x:v>30788.6</x:v>
      </x:c>
      <x:c r="G249" s="20" t="n">
        <x:f>'Quarterly data'!$E$64</x:f>
        <x:v>30928.5333333333</x:v>
      </x:c>
      <x:c r="H249" s="22" t="n">
        <x:f>100*F249/G249</x:f>
        <x:v>99.547559103999</x:v>
      </x:c>
      <x:c r="I249" s="24" t="n">
        <x:f>H249/100-1</x:f>
        <x:v>-0.00452440896000994</x:v>
      </x:c>
      <x:c r="J249" s="26" t="n">
        <x:v>4</x:v>
      </x:c>
      <x:c r="K249" s="7" t="b">
        <x:v>0</x:v>
      </x:c>
      <x:c r="L249" s="2" t="str">
        <x:v>Aug 10–23, 2026</x:v>
      </x:c>
      <x:c r="M249" s="2" t="str">
        <x:v>https://www.census.gov/hfp/btos/downloads/Sector.xlsx</x:v>
      </x:c>
    </x:row>
    <x:row r="250" ht="24" customHeight="1">
      <x:c r="A250" s="2" t="str">
        <x:v>Census BTOS</x:v>
      </x:c>
      <x:c r="B250" s="2" t="str">
        <x:v>Quintiles</x:v>
      </x:c>
      <x:c r="C250" s="2" t="str">
        <x:v>Q4</x:v>
      </x:c>
      <x:c r="D250" s="28" t="n">
        <x:v>45323</x:v>
      </x:c>
      <x:c r="E250" s="2" t="str">
        <x:v>2024Q1</x:v>
      </x:c>
      <x:c r="F250" s="20" t="n">
        <x:v>27276.3</x:v>
      </x:c>
      <x:c r="G250" s="20" t="n">
        <x:f>'Quarterly data'!$E$65</x:f>
        <x:v>26207.6666666667</x:v>
      </x:c>
      <x:c r="H250" s="22" t="n">
        <x:f>100*F250/G250</x:f>
        <x:v>104.07756000152614</x:v>
      </x:c>
      <x:c r="I250" s="24" t="n">
        <x:f>H250/100-1</x:f>
        <x:v>0.04077560001526148</x:v>
      </x:c>
      <x:c r="J250" s="26" t="n">
        <x:v>3</x:v>
      </x:c>
      <x:c r="K250" s="7" t="b">
        <x:v>0</x:v>
      </x:c>
      <x:c r="L250" s="2" t="str">
        <x:v>Aug 10–23, 2026</x:v>
      </x:c>
      <x:c r="M250" s="2" t="str">
        <x:v>https://www.census.gov/hfp/btos/downloads/Sector.xlsx</x:v>
      </x:c>
    </x:row>
    <x:row r="251" ht="24" customHeight="1">
      <x:c r="A251" s="2" t="str">
        <x:v>Census BTOS</x:v>
      </x:c>
      <x:c r="B251" s="2" t="str">
        <x:v>Quintiles</x:v>
      </x:c>
      <x:c r="C251" s="2" t="str">
        <x:v>Q5</x:v>
      </x:c>
      <x:c r="D251" s="28" t="n">
        <x:v>45323</x:v>
      </x:c>
      <x:c r="E251" s="2" t="str">
        <x:v>2024Q1</x:v>
      </x:c>
      <x:c r="F251" s="20" t="n">
        <x:v>24393.3</x:v>
      </x:c>
      <x:c r="G251" s="20" t="n">
        <x:f>'Quarterly data'!$E$66</x:f>
        <x:v>24267.6666666667</x:v>
      </x:c>
      <x:c r="H251" s="22" t="n">
        <x:f>100*F251/G251</x:f>
        <x:v>100.51769844649245</x:v>
      </x:c>
      <x:c r="I251" s="24" t="n">
        <x:f>H251/100-1</x:f>
        <x:v>0.005176984464924539</x:v>
      </x:c>
      <x:c r="J251" s="26" t="n">
        <x:v>4</x:v>
      </x:c>
      <x:c r="K251" s="7" t="b">
        <x:v>0</x:v>
      </x:c>
      <x:c r="L251" s="2" t="str">
        <x:v>Aug 10–23, 2026</x:v>
      </x:c>
      <x:c r="M251" s="2" t="str">
        <x:v>https://www.census.gov/hfp/btos/downloads/Sector.xlsx</x:v>
      </x:c>
    </x:row>
    <x:row r="252" ht="24" customHeight="1">
      <x:c r="A252" s="2" t="str">
        <x:v>Census BTOS</x:v>
      </x:c>
      <x:c r="B252" s="2" t="str">
        <x:v>Quintiles</x:v>
      </x:c>
      <x:c r="C252" s="2" t="str">
        <x:v>Q1</x:v>
      </x:c>
      <x:c r="D252" s="28" t="n">
        <x:v>45352</x:v>
      </x:c>
      <x:c r="E252" s="2" t="str">
        <x:v>2024Q1</x:v>
      </x:c>
      <x:c r="F252" s="20" t="n">
        <x:v>27320.4</x:v>
      </x:c>
      <x:c r="G252" s="20" t="n">
        <x:f>'Quarterly data'!$E$62</x:f>
        <x:v>26934</x:v>
      </x:c>
      <x:c r="H252" s="22" t="n">
        <x:f>100*F252/G252</x:f>
        <x:v>101.43461795500112</x:v>
      </x:c>
      <x:c r="I252" s="24" t="n">
        <x:f>H252/100-1</x:f>
        <x:v>0.014346179550011051</x:v>
      </x:c>
      <x:c r="J252" s="26" t="n">
        <x:v>4</x:v>
      </x:c>
      <x:c r="K252" s="7" t="b">
        <x:v>0</x:v>
      </x:c>
      <x:c r="L252" s="2" t="str">
        <x:v>Aug 10–23, 2026</x:v>
      </x:c>
      <x:c r="M252" s="2" t="str">
        <x:v>https://www.census.gov/hfp/btos/downloads/Sector.xlsx</x:v>
      </x:c>
    </x:row>
    <x:row r="253" ht="24" customHeight="1">
      <x:c r="A253" s="2" t="str">
        <x:v>Census BTOS</x:v>
      </x:c>
      <x:c r="B253" s="2" t="str">
        <x:v>Quintiles</x:v>
      </x:c>
      <x:c r="C253" s="2" t="str">
        <x:v>Q2</x:v>
      </x:c>
      <x:c r="D253" s="28" t="n">
        <x:v>45352</x:v>
      </x:c>
      <x:c r="E253" s="2" t="str">
        <x:v>2024Q1</x:v>
      </x:c>
      <x:c r="F253" s="20" t="n">
        <x:v>24282.1</x:v>
      </x:c>
      <x:c r="G253" s="20" t="n">
        <x:f>'Quarterly data'!$E$63</x:f>
        <x:v>24074.9666666667</x:v>
      </x:c>
      <x:c r="H253" s="22" t="n">
        <x:f>100*F253/G253</x:f>
        <x:v>100.86036810019799</x:v>
      </x:c>
      <x:c r="I253" s="24" t="n">
        <x:f>H253/100-1</x:f>
        <x:v>0.008603681001979835</x:v>
      </x:c>
      <x:c r="J253" s="26" t="n">
        <x:v>3</x:v>
      </x:c>
      <x:c r="K253" s="7" t="b">
        <x:v>0</x:v>
      </x:c>
      <x:c r="L253" s="2" t="str">
        <x:v>Aug 10–23, 2026</x:v>
      </x:c>
      <x:c r="M253" s="2" t="str">
        <x:v>https://www.census.gov/hfp/btos/downloads/Sector.xlsx</x:v>
      </x:c>
    </x:row>
    <x:row r="254" ht="24" customHeight="1">
      <x:c r="A254" s="2" t="str">
        <x:v>Census BTOS</x:v>
      </x:c>
      <x:c r="B254" s="2" t="str">
        <x:v>Quintiles</x:v>
      </x:c>
      <x:c r="C254" s="2" t="str">
        <x:v>Q3</x:v>
      </x:c>
      <x:c r="D254" s="28" t="n">
        <x:v>45352</x:v>
      </x:c>
      <x:c r="E254" s="2" t="str">
        <x:v>2024Q1</x:v>
      </x:c>
      <x:c r="F254" s="20" t="n">
        <x:v>30794</x:v>
      </x:c>
      <x:c r="G254" s="20" t="n">
        <x:f>'Quarterly data'!$E$64</x:f>
        <x:v>30928.5333333333</x:v>
      </x:c>
      <x:c r="H254" s="22" t="n">
        <x:f>100*F254/G254</x:f>
        <x:v>99.5650187097999</x:v>
      </x:c>
      <x:c r="I254" s="24" t="n">
        <x:f>H254/100-1</x:f>
        <x:v>-0.004349812902000982</x:v>
      </x:c>
      <x:c r="J254" s="26" t="n">
        <x:v>4</x:v>
      </x:c>
      <x:c r="K254" s="7" t="b">
        <x:v>0</x:v>
      </x:c>
      <x:c r="L254" s="2" t="str">
        <x:v>Aug 10–23, 2026</x:v>
      </x:c>
      <x:c r="M254" s="2" t="str">
        <x:v>https://www.census.gov/hfp/btos/downloads/Sector.xlsx</x:v>
      </x:c>
    </x:row>
    <x:row r="255" ht="24" customHeight="1">
      <x:c r="A255" s="2" t="str">
        <x:v>Census BTOS</x:v>
      </x:c>
      <x:c r="B255" s="2" t="str">
        <x:v>Quintiles</x:v>
      </x:c>
      <x:c r="C255" s="2" t="str">
        <x:v>Q4</x:v>
      </x:c>
      <x:c r="D255" s="28" t="n">
        <x:v>45352</x:v>
      </x:c>
      <x:c r="E255" s="2" t="str">
        <x:v>2024Q1</x:v>
      </x:c>
      <x:c r="F255" s="20" t="n">
        <x:v>27355.1</x:v>
      </x:c>
      <x:c r="G255" s="20" t="n">
        <x:f>'Quarterly data'!$E$65</x:f>
        <x:v>26207.6666666667</x:v>
      </x:c>
      <x:c r="H255" s="22" t="n">
        <x:f>100*F255/G255</x:f>
        <x:v>104.37823537641644</x:v>
      </x:c>
      <x:c r="I255" s="24" t="n">
        <x:f>H255/100-1</x:f>
        <x:v>0.043782353764164395</x:v>
      </x:c>
      <x:c r="J255" s="26" t="n">
        <x:v>3</x:v>
      </x:c>
      <x:c r="K255" s="7" t="b">
        <x:v>0</x:v>
      </x:c>
      <x:c r="L255" s="2" t="str">
        <x:v>Aug 10–23, 2026</x:v>
      </x:c>
      <x:c r="M255" s="2" t="str">
        <x:v>https://www.census.gov/hfp/btos/downloads/Sector.xlsx</x:v>
      </x:c>
    </x:row>
    <x:row r="256" ht="24" customHeight="1">
      <x:c r="A256" s="2" t="str">
        <x:v>Census BTOS</x:v>
      </x:c>
      <x:c r="B256" s="2" t="str">
        <x:v>Quintiles</x:v>
      </x:c>
      <x:c r="C256" s="2" t="str">
        <x:v>Q5</x:v>
      </x:c>
      <x:c r="D256" s="28" t="n">
        <x:v>45352</x:v>
      </x:c>
      <x:c r="E256" s="2" t="str">
        <x:v>2024Q1</x:v>
      </x:c>
      <x:c r="F256" s="20" t="n">
        <x:v>24376.4</x:v>
      </x:c>
      <x:c r="G256" s="20" t="n">
        <x:f>'Quarterly data'!$E$66</x:f>
        <x:v>24267.6666666667</x:v>
      </x:c>
      <x:c r="H256" s="22" t="n">
        <x:f>100*F256/G256</x:f>
        <x:v>100.44805845912929</x:v>
      </x:c>
      <x:c r="I256" s="24" t="n">
        <x:f>H256/100-1</x:f>
        <x:v>0.004480584591292747</x:v>
      </x:c>
      <x:c r="J256" s="26" t="n">
        <x:v>4</x:v>
      </x:c>
      <x:c r="K256" s="7" t="b">
        <x:v>0</x:v>
      </x:c>
      <x:c r="L256" s="2" t="str">
        <x:v>Aug 10–23, 2026</x:v>
      </x:c>
      <x:c r="M256" s="2" t="str">
        <x:v>https://www.census.gov/hfp/btos/downloads/Sector.xlsx</x:v>
      </x:c>
    </x:row>
    <x:row r="257" ht="24" customHeight="1">
      <x:c r="A257" s="2" t="str">
        <x:v>Census BTOS</x:v>
      </x:c>
      <x:c r="B257" s="2" t="str">
        <x:v>Quintiles</x:v>
      </x:c>
      <x:c r="C257" s="2" t="str">
        <x:v>Q1</x:v>
      </x:c>
      <x:c r="D257" s="28" t="n">
        <x:v>45383</x:v>
      </x:c>
      <x:c r="E257" s="2" t="str">
        <x:v>2024Q2</x:v>
      </x:c>
      <x:c r="F257" s="20" t="n">
        <x:v>27321</x:v>
      </x:c>
      <x:c r="G257" s="20" t="n">
        <x:f>'Quarterly data'!$E$62</x:f>
        <x:v>26934</x:v>
      </x:c>
      <x:c r="H257" s="22" t="n">
        <x:f>100*F257/G257</x:f>
        <x:v>101.4368456226331</x:v>
      </x:c>
      <x:c r="I257" s="24" t="n">
        <x:f>H257/100-1</x:f>
        <x:v>0.014368456226331094</x:v>
      </x:c>
      <x:c r="J257" s="26" t="n">
        <x:v>4</x:v>
      </x:c>
      <x:c r="K257" s="7" t="b">
        <x:v>0</x:v>
      </x:c>
      <x:c r="L257" s="2" t="str">
        <x:v>Aug 10–23, 2026</x:v>
      </x:c>
      <x:c r="M257" s="2" t="str">
        <x:v>https://www.census.gov/hfp/btos/downloads/Sector.xlsx</x:v>
      </x:c>
    </x:row>
    <x:row r="258" ht="24" customHeight="1">
      <x:c r="A258" s="2" t="str">
        <x:v>Census BTOS</x:v>
      </x:c>
      <x:c r="B258" s="2" t="str">
        <x:v>Quintiles</x:v>
      </x:c>
      <x:c r="C258" s="2" t="str">
        <x:v>Q2</x:v>
      </x:c>
      <x:c r="D258" s="28" t="n">
        <x:v>45383</x:v>
      </x:c>
      <x:c r="E258" s="2" t="str">
        <x:v>2024Q2</x:v>
      </x:c>
      <x:c r="F258" s="20" t="n">
        <x:v>24290.6</x:v>
      </x:c>
      <x:c r="G258" s="20" t="n">
        <x:f>'Quarterly data'!$E$63</x:f>
        <x:v>24074.9666666667</x:v>
      </x:c>
      <x:c r="H258" s="22" t="n">
        <x:f>100*F258/G258</x:f>
        <x:v>100.89567448345363</x:v>
      </x:c>
      <x:c r="I258" s="24" t="n">
        <x:f>H258/100-1</x:f>
        <x:v>0.008956744834536234</x:v>
      </x:c>
      <x:c r="J258" s="26" t="n">
        <x:v>3</x:v>
      </x:c>
      <x:c r="K258" s="7" t="b">
        <x:v>0</x:v>
      </x:c>
      <x:c r="L258" s="2" t="str">
        <x:v>Aug 10–23, 2026</x:v>
      </x:c>
      <x:c r="M258" s="2" t="str">
        <x:v>https://www.census.gov/hfp/btos/downloads/Sector.xlsx</x:v>
      </x:c>
    </x:row>
    <x:row r="259" ht="24" customHeight="1">
      <x:c r="A259" s="2" t="str">
        <x:v>Census BTOS</x:v>
      </x:c>
      <x:c r="B259" s="2" t="str">
        <x:v>Quintiles</x:v>
      </x:c>
      <x:c r="C259" s="2" t="str">
        <x:v>Q3</x:v>
      </x:c>
      <x:c r="D259" s="28" t="n">
        <x:v>45383</x:v>
      </x:c>
      <x:c r="E259" s="2" t="str">
        <x:v>2024Q2</x:v>
      </x:c>
      <x:c r="F259" s="20" t="n">
        <x:v>30776.5</x:v>
      </x:c>
      <x:c r="G259" s="20" t="n">
        <x:f>'Quarterly data'!$E$64</x:f>
        <x:v>30928.5333333333</x:v>
      </x:c>
      <x:c r="H259" s="22" t="n">
        <x:f>100*F259/G259</x:f>
        <x:v>99.50843665396366</x:v>
      </x:c>
      <x:c r="I259" s="24" t="n">
        <x:f>H259/100-1</x:f>
        <x:v>-0.004915633460363389</x:v>
      </x:c>
      <x:c r="J259" s="26" t="n">
        <x:v>4</x:v>
      </x:c>
      <x:c r="K259" s="7" t="b">
        <x:v>0</x:v>
      </x:c>
      <x:c r="L259" s="2" t="str">
        <x:v>Aug 10–23, 2026</x:v>
      </x:c>
      <x:c r="M259" s="2" t="str">
        <x:v>https://www.census.gov/hfp/btos/downloads/Sector.xlsx</x:v>
      </x:c>
    </x:row>
    <x:row r="260" ht="24" customHeight="1">
      <x:c r="A260" s="2" t="str">
        <x:v>Census BTOS</x:v>
      </x:c>
      <x:c r="B260" s="2" t="str">
        <x:v>Quintiles</x:v>
      </x:c>
      <x:c r="C260" s="2" t="str">
        <x:v>Q4</x:v>
      </x:c>
      <x:c r="D260" s="28" t="n">
        <x:v>45383</x:v>
      </x:c>
      <x:c r="E260" s="2" t="str">
        <x:v>2024Q2</x:v>
      </x:c>
      <x:c r="F260" s="20" t="n">
        <x:v>27425.8</x:v>
      </x:c>
      <x:c r="G260" s="20" t="n">
        <x:f>'Quarterly data'!$E$65</x:f>
        <x:v>26207.6666666667</x:v>
      </x:c>
      <x:c r="H260" s="22" t="n">
        <x:f>100*F260/G260</x:f>
        <x:v>104.64800376480152</x:v>
      </x:c>
      <x:c r="I260" s="24" t="n">
        <x:f>H260/100-1</x:f>
        <x:v>0.04648003764801523</x:v>
      </x:c>
      <x:c r="J260" s="26" t="n">
        <x:v>3</x:v>
      </x:c>
      <x:c r="K260" s="7" t="b">
        <x:v>0</x:v>
      </x:c>
      <x:c r="L260" s="2" t="str">
        <x:v>Aug 10–23, 2026</x:v>
      </x:c>
      <x:c r="M260" s="2" t="str">
        <x:v>https://www.census.gov/hfp/btos/downloads/Sector.xlsx</x:v>
      </x:c>
    </x:row>
    <x:row r="261" ht="24" customHeight="1">
      <x:c r="A261" s="2" t="str">
        <x:v>Census BTOS</x:v>
      </x:c>
      <x:c r="B261" s="2" t="str">
        <x:v>Quintiles</x:v>
      </x:c>
      <x:c r="C261" s="2" t="str">
        <x:v>Q5</x:v>
      </x:c>
      <x:c r="D261" s="28" t="n">
        <x:v>45383</x:v>
      </x:c>
      <x:c r="E261" s="2" t="str">
        <x:v>2024Q2</x:v>
      </x:c>
      <x:c r="F261" s="20" t="n">
        <x:v>24378</x:v>
      </x:c>
      <x:c r="G261" s="20" t="n">
        <x:f>'Quarterly data'!$E$66</x:f>
        <x:v>24267.6666666667</x:v>
      </x:c>
      <x:c r="H261" s="22" t="n">
        <x:f>100*F261/G261</x:f>
        <x:v>100.45465159402758</x:v>
      </x:c>
      <x:c r="I261" s="24" t="n">
        <x:f>H261/100-1</x:f>
        <x:v>0.004546515940275775</x:v>
      </x:c>
      <x:c r="J261" s="26" t="n">
        <x:v>4</x:v>
      </x:c>
      <x:c r="K261" s="7" t="b">
        <x:v>0</x:v>
      </x:c>
      <x:c r="L261" s="2" t="str">
        <x:v>Aug 10–23, 2026</x:v>
      </x:c>
      <x:c r="M261" s="2" t="str">
        <x:v>https://www.census.gov/hfp/btos/downloads/Sector.xlsx</x:v>
      </x:c>
    </x:row>
    <x:row r="262" ht="24" customHeight="1">
      <x:c r="A262" s="2" t="str">
        <x:v>Census BTOS</x:v>
      </x:c>
      <x:c r="B262" s="2" t="str">
        <x:v>Quintiles</x:v>
      </x:c>
      <x:c r="C262" s="2" t="str">
        <x:v>Q1</x:v>
      </x:c>
      <x:c r="D262" s="28" t="n">
        <x:v>45413</x:v>
      </x:c>
      <x:c r="E262" s="2" t="str">
        <x:v>2024Q2</x:v>
      </x:c>
      <x:c r="F262" s="20" t="n">
        <x:v>27297.1</x:v>
      </x:c>
      <x:c r="G262" s="20" t="n">
        <x:f>'Quarterly data'!$E$62</x:f>
        <x:v>26934</x:v>
      </x:c>
      <x:c r="H262" s="22" t="n">
        <x:f>100*F262/G262</x:f>
        <x:v>101.3481101952922</x:v>
      </x:c>
      <x:c r="I262" s="24" t="n">
        <x:f>H262/100-1</x:f>
        <x:v>0.013481101952921959</x:v>
      </x:c>
      <x:c r="J262" s="26" t="n">
        <x:v>4</x:v>
      </x:c>
      <x:c r="K262" s="7" t="b">
        <x:v>0</x:v>
      </x:c>
      <x:c r="L262" s="2" t="str">
        <x:v>Aug 10–23, 2026</x:v>
      </x:c>
      <x:c r="M262" s="2" t="str">
        <x:v>https://www.census.gov/hfp/btos/downloads/Sector.xlsx</x:v>
      </x:c>
    </x:row>
    <x:row r="263" ht="24" customHeight="1">
      <x:c r="A263" s="2" t="str">
        <x:v>Census BTOS</x:v>
      </x:c>
      <x:c r="B263" s="2" t="str">
        <x:v>Quintiles</x:v>
      </x:c>
      <x:c r="C263" s="2" t="str">
        <x:v>Q2</x:v>
      </x:c>
      <x:c r="D263" s="28" t="n">
        <x:v>45413</x:v>
      </x:c>
      <x:c r="E263" s="2" t="str">
        <x:v>2024Q2</x:v>
      </x:c>
      <x:c r="F263" s="20" t="n">
        <x:v>24302.6</x:v>
      </x:c>
      <x:c r="G263" s="20" t="n">
        <x:f>'Quarterly data'!$E$63</x:f>
        <x:v>24074.9666666667</x:v>
      </x:c>
      <x:c r="H263" s="22" t="n">
        <x:f>100*F263/G263</x:f>
        <x:v>100.94551878922628</x:v>
      </x:c>
      <x:c r="I263" s="24" t="n">
        <x:f>H263/100-1</x:f>
        <x:v>0.00945518789226285</x:v>
      </x:c>
      <x:c r="J263" s="26" t="n">
        <x:v>3</x:v>
      </x:c>
      <x:c r="K263" s="7" t="b">
        <x:v>0</x:v>
      </x:c>
      <x:c r="L263" s="2" t="str">
        <x:v>Aug 10–23, 2026</x:v>
      </x:c>
      <x:c r="M263" s="2" t="str">
        <x:v>https://www.census.gov/hfp/btos/downloads/Sector.xlsx</x:v>
      </x:c>
    </x:row>
    <x:row r="264" ht="24" customHeight="1">
      <x:c r="A264" s="2" t="str">
        <x:v>Census BTOS</x:v>
      </x:c>
      <x:c r="B264" s="2" t="str">
        <x:v>Quintiles</x:v>
      </x:c>
      <x:c r="C264" s="2" t="str">
        <x:v>Q3</x:v>
      </x:c>
      <x:c r="D264" s="28" t="n">
        <x:v>45413</x:v>
      </x:c>
      <x:c r="E264" s="2" t="str">
        <x:v>2024Q2</x:v>
      </x:c>
      <x:c r="F264" s="20" t="n">
        <x:v>30750.7</x:v>
      </x:c>
      <x:c r="G264" s="20" t="n">
        <x:f>'Quarterly data'!$E$64</x:f>
        <x:v>30928.5333333333</x:v>
      </x:c>
      <x:c r="H264" s="22" t="n">
        <x:f>100*F264/G264</x:f>
        <x:v>99.42501853735935</x:v>
      </x:c>
      <x:c r="I264" s="24" t="n">
        <x:f>H264/100-1</x:f>
        <x:v>-0.0057498146264065575</x:v>
      </x:c>
      <x:c r="J264" s="26" t="n">
        <x:v>4</x:v>
      </x:c>
      <x:c r="K264" s="7" t="b">
        <x:v>0</x:v>
      </x:c>
      <x:c r="L264" s="2" t="str">
        <x:v>Aug 10–23, 2026</x:v>
      </x:c>
      <x:c r="M264" s="2" t="str">
        <x:v>https://www.census.gov/hfp/btos/downloads/Sector.xlsx</x:v>
      </x:c>
    </x:row>
    <x:row r="265" ht="24" customHeight="1">
      <x:c r="A265" s="2" t="str">
        <x:v>Census BTOS</x:v>
      </x:c>
      <x:c r="B265" s="2" t="str">
        <x:v>Quintiles</x:v>
      </x:c>
      <x:c r="C265" s="2" t="str">
        <x:v>Q4</x:v>
      </x:c>
      <x:c r="D265" s="28" t="n">
        <x:v>45413</x:v>
      </x:c>
      <x:c r="E265" s="2" t="str">
        <x:v>2024Q2</x:v>
      </x:c>
      <x:c r="F265" s="20" t="n">
        <x:v>27485.7</x:v>
      </x:c>
      <x:c r="G265" s="20" t="n">
        <x:f>'Quarterly data'!$E$65</x:f>
        <x:v>26207.6666666667</x:v>
      </x:c>
      <x:c r="H265" s="22" t="n">
        <x:f>100*F265/G265</x:f>
        <x:v>104.8765628378463</x:v>
      </x:c>
      <x:c r="I265" s="24" t="n">
        <x:f>H265/100-1</x:f>
        <x:v>0.04876562837846299</x:v>
      </x:c>
      <x:c r="J265" s="26" t="n">
        <x:v>3</x:v>
      </x:c>
      <x:c r="K265" s="7" t="b">
        <x:v>0</x:v>
      </x:c>
      <x:c r="L265" s="2" t="str">
        <x:v>Aug 10–23, 2026</x:v>
      </x:c>
      <x:c r="M265" s="2" t="str">
        <x:v>https://www.census.gov/hfp/btos/downloads/Sector.xlsx</x:v>
      </x:c>
    </x:row>
    <x:row r="266" ht="24" customHeight="1">
      <x:c r="A266" s="2" t="str">
        <x:v>Census BTOS</x:v>
      </x:c>
      <x:c r="B266" s="2" t="str">
        <x:v>Quintiles</x:v>
      </x:c>
      <x:c r="C266" s="2" t="str">
        <x:v>Q5</x:v>
      </x:c>
      <x:c r="D266" s="28" t="n">
        <x:v>45413</x:v>
      </x:c>
      <x:c r="E266" s="2" t="str">
        <x:v>2024Q2</x:v>
      </x:c>
      <x:c r="F266" s="20" t="n">
        <x:v>24402.4</x:v>
      </x:c>
      <x:c r="G266" s="20" t="n">
        <x:f>'Quarterly data'!$E$66</x:f>
        <x:v>24267.6666666667</x:v>
      </x:c>
      <x:c r="H266" s="22" t="n">
        <x:f>100*F266/G266</x:f>
        <x:v>100.55519690122645</x:v>
      </x:c>
      <x:c r="I266" s="24" t="n">
        <x:f>H266/100-1</x:f>
        <x:v>0.005551969012264513</x:v>
      </x:c>
      <x:c r="J266" s="26" t="n">
        <x:v>4</x:v>
      </x:c>
      <x:c r="K266" s="7" t="b">
        <x:v>0</x:v>
      </x:c>
      <x:c r="L266" s="2" t="str">
        <x:v>Aug 10–23, 2026</x:v>
      </x:c>
      <x:c r="M266" s="2" t="str">
        <x:v>https://www.census.gov/hfp/btos/downloads/Sector.xlsx</x:v>
      </x:c>
    </x:row>
    <x:row r="267" ht="24" customHeight="1">
      <x:c r="A267" s="2" t="str">
        <x:v>Census BTOS</x:v>
      </x:c>
      <x:c r="B267" s="2" t="str">
        <x:v>Quintiles</x:v>
      </x:c>
      <x:c r="C267" s="2" t="str">
        <x:v>Q1</x:v>
      </x:c>
      <x:c r="D267" s="28" t="n">
        <x:v>45444</x:v>
      </x:c>
      <x:c r="E267" s="2" t="str">
        <x:v>2024Q2</x:v>
      </x:c>
      <x:c r="F267" s="20" t="n">
        <x:v>27316.5</x:v>
      </x:c>
      <x:c r="G267" s="20" t="n">
        <x:f>'Quarterly data'!$E$62</x:f>
        <x:v>26934</x:v>
      </x:c>
      <x:c r="H267" s="22" t="n">
        <x:f>100*F267/G267</x:f>
        <x:v>101.42013811539319</x:v>
      </x:c>
      <x:c r="I267" s="24" t="n">
        <x:f>H267/100-1</x:f>
        <x:v>0.01420138115393188</x:v>
      </x:c>
      <x:c r="J267" s="26" t="n">
        <x:v>4</x:v>
      </x:c>
      <x:c r="K267" s="7" t="b">
        <x:v>0</x:v>
      </x:c>
      <x:c r="L267" s="2" t="str">
        <x:v>Aug 10–23, 2026</x:v>
      </x:c>
      <x:c r="M267" s="2" t="str">
        <x:v>https://www.census.gov/hfp/btos/downloads/Sector.xlsx</x:v>
      </x:c>
    </x:row>
    <x:row r="268" ht="24" customHeight="1">
      <x:c r="A268" s="2" t="str">
        <x:v>Census BTOS</x:v>
      </x:c>
      <x:c r="B268" s="2" t="str">
        <x:v>Quintiles</x:v>
      </x:c>
      <x:c r="C268" s="2" t="str">
        <x:v>Q2</x:v>
      </x:c>
      <x:c r="D268" s="28" t="n">
        <x:v>45444</x:v>
      </x:c>
      <x:c r="E268" s="2" t="str">
        <x:v>2024Q2</x:v>
      </x:c>
      <x:c r="F268" s="20" t="n">
        <x:v>24288.3</x:v>
      </x:c>
      <x:c r="G268" s="20" t="n">
        <x:f>'Quarterly data'!$E$63</x:f>
        <x:v>24074.9666666667</x:v>
      </x:c>
      <x:c r="H268" s="22" t="n">
        <x:f>100*F268/G268</x:f>
        <x:v>100.88612099151386</x:v>
      </x:c>
      <x:c r="I268" s="24" t="n">
        <x:f>H268/100-1</x:f>
        <x:v>0.008861209915138613</x:v>
      </x:c>
      <x:c r="J268" s="26" t="n">
        <x:v>3</x:v>
      </x:c>
      <x:c r="K268" s="7" t="b">
        <x:v>0</x:v>
      </x:c>
      <x:c r="L268" s="2" t="str">
        <x:v>Aug 10–23, 2026</x:v>
      </x:c>
      <x:c r="M268" s="2" t="str">
        <x:v>https://www.census.gov/hfp/btos/downloads/Sector.xlsx</x:v>
      </x:c>
    </x:row>
    <x:row r="269" ht="24" customHeight="1">
      <x:c r="A269" s="2" t="str">
        <x:v>Census BTOS</x:v>
      </x:c>
      <x:c r="B269" s="2" t="str">
        <x:v>Quintiles</x:v>
      </x:c>
      <x:c r="C269" s="2" t="str">
        <x:v>Q3</x:v>
      </x:c>
      <x:c r="D269" s="28" t="n">
        <x:v>45444</x:v>
      </x:c>
      <x:c r="E269" s="2" t="str">
        <x:v>2024Q2</x:v>
      </x:c>
      <x:c r="F269" s="20" t="n">
        <x:v>30715.9</x:v>
      </x:c>
      <x:c r="G269" s="20" t="n">
        <x:f>'Quarterly data'!$E$64</x:f>
        <x:v>30928.5333333333</x:v>
      </x:c>
      <x:c r="H269" s="22" t="n">
        <x:f>100*F269/G269</x:f>
        <x:v>99.31250107775355</x:v>
      </x:c>
      <x:c r="I269" s="24" t="n">
        <x:f>H269/100-1</x:f>
        <x:v>-0.006874989222464434</x:v>
      </x:c>
      <x:c r="J269" s="26" t="n">
        <x:v>4</x:v>
      </x:c>
      <x:c r="K269" s="7" t="b">
        <x:v>0</x:v>
      </x:c>
      <x:c r="L269" s="2" t="str">
        <x:v>Aug 10–23, 2026</x:v>
      </x:c>
      <x:c r="M269" s="2" t="str">
        <x:v>https://www.census.gov/hfp/btos/downloads/Sector.xlsx</x:v>
      </x:c>
    </x:row>
    <x:row r="270" ht="24" customHeight="1">
      <x:c r="A270" s="2" t="str">
        <x:v>Census BTOS</x:v>
      </x:c>
      <x:c r="B270" s="2" t="str">
        <x:v>Quintiles</x:v>
      </x:c>
      <x:c r="C270" s="2" t="str">
        <x:v>Q4</x:v>
      </x:c>
      <x:c r="D270" s="28" t="n">
        <x:v>45444</x:v>
      </x:c>
      <x:c r="E270" s="2" t="str">
        <x:v>2024Q2</x:v>
      </x:c>
      <x:c r="F270" s="20" t="n">
        <x:v>27556.2</x:v>
      </x:c>
      <x:c r="G270" s="20" t="n">
        <x:f>'Quarterly data'!$E$65</x:f>
        <x:v>26207.6666666667</x:v>
      </x:c>
      <x:c r="H270" s="22" t="n">
        <x:f>100*F270/G270</x:f>
        <x:v>105.14556809076211</x:v>
      </x:c>
      <x:c r="I270" s="24" t="n">
        <x:f>H270/100-1</x:f>
        <x:v>0.051455680907621204</x:v>
      </x:c>
      <x:c r="J270" s="26" t="n">
        <x:v>3</x:v>
      </x:c>
      <x:c r="K270" s="7" t="b">
        <x:v>0</x:v>
      </x:c>
      <x:c r="L270" s="2" t="str">
        <x:v>Aug 10–23, 2026</x:v>
      </x:c>
      <x:c r="M270" s="2" t="str">
        <x:v>https://www.census.gov/hfp/btos/downloads/Sector.xlsx</x:v>
      </x:c>
    </x:row>
    <x:row r="271" ht="24" customHeight="1">
      <x:c r="A271" s="2" t="str">
        <x:v>Census BTOS</x:v>
      </x:c>
      <x:c r="B271" s="2" t="str">
        <x:v>Quintiles</x:v>
      </x:c>
      <x:c r="C271" s="2" t="str">
        <x:v>Q5</x:v>
      </x:c>
      <x:c r="D271" s="28" t="n">
        <x:v>45444</x:v>
      </x:c>
      <x:c r="E271" s="2" t="str">
        <x:v>2024Q2</x:v>
      </x:c>
      <x:c r="F271" s="20" t="n">
        <x:v>24440.3</x:v>
      </x:c>
      <x:c r="G271" s="20" t="n">
        <x:f>'Quarterly data'!$E$66</x:f>
        <x:v>24267.6666666667</x:v>
      </x:c>
      <x:c r="H271" s="22" t="n">
        <x:f>100*F271/G271</x:f>
        <x:v>100.71137178412964</x:v>
      </x:c>
      <x:c r="I271" s="24" t="n">
        <x:f>H271/100-1</x:f>
        <x:v>0.00711371784129633</x:v>
      </x:c>
      <x:c r="J271" s="26" t="n">
        <x:v>4</x:v>
      </x:c>
      <x:c r="K271" s="7" t="b">
        <x:v>0</x:v>
      </x:c>
      <x:c r="L271" s="2" t="str">
        <x:v>Aug 10–23, 2026</x:v>
      </x:c>
      <x:c r="M271" s="2" t="str">
        <x:v>https://www.census.gov/hfp/btos/downloads/Sector.xlsx</x:v>
      </x:c>
    </x:row>
    <x:row r="272" ht="24" customHeight="1">
      <x:c r="A272" s="2" t="str">
        <x:v>Census BTOS</x:v>
      </x:c>
      <x:c r="B272" s="2" t="str">
        <x:v>Quintiles</x:v>
      </x:c>
      <x:c r="C272" s="2" t="str">
        <x:v>Q1</x:v>
      </x:c>
      <x:c r="D272" s="28" t="n">
        <x:v>45474</x:v>
      </x:c>
      <x:c r="E272" s="2" t="str">
        <x:v>2024Q3</x:v>
      </x:c>
      <x:c r="F272" s="20" t="n">
        <x:v>27315.8</x:v>
      </x:c>
      <x:c r="G272" s="20" t="n">
        <x:f>'Quarterly data'!$E$62</x:f>
        <x:v>26934</x:v>
      </x:c>
      <x:c r="H272" s="22" t="n">
        <x:f>100*F272/G272</x:f>
        <x:v>101.41753916982253</x:v>
      </x:c>
      <x:c r="I272" s="24" t="n">
        <x:f>H272/100-1</x:f>
        <x:v>0.014175391698225237</x:v>
      </x:c>
      <x:c r="J272" s="26" t="n">
        <x:v>4</x:v>
      </x:c>
      <x:c r="K272" s="7" t="b">
        <x:v>0</x:v>
      </x:c>
      <x:c r="L272" s="2" t="str">
        <x:v>Aug 10–23, 2026</x:v>
      </x:c>
      <x:c r="M272" s="2" t="str">
        <x:v>https://www.census.gov/hfp/btos/downloads/Sector.xlsx</x:v>
      </x:c>
    </x:row>
    <x:row r="273" ht="24" customHeight="1">
      <x:c r="A273" s="2" t="str">
        <x:v>Census BTOS</x:v>
      </x:c>
      <x:c r="B273" s="2" t="str">
        <x:v>Quintiles</x:v>
      </x:c>
      <x:c r="C273" s="2" t="str">
        <x:v>Q2</x:v>
      </x:c>
      <x:c r="D273" s="28" t="n">
        <x:v>45474</x:v>
      </x:c>
      <x:c r="E273" s="2" t="str">
        <x:v>2024Q3</x:v>
      </x:c>
      <x:c r="F273" s="20" t="n">
        <x:v>24281.3</x:v>
      </x:c>
      <x:c r="G273" s="20" t="n">
        <x:f>'Quarterly data'!$E$63</x:f>
        <x:v>24074.9666666667</x:v>
      </x:c>
      <x:c r="H273" s="22" t="n">
        <x:f>100*F273/G273</x:f>
        <x:v>100.85704514647982</x:v>
      </x:c>
      <x:c r="I273" s="24" t="n">
        <x:f>H273/100-1</x:f>
        <x:v>0.008570451464798179</x:v>
      </x:c>
      <x:c r="J273" s="26" t="n">
        <x:v>3</x:v>
      </x:c>
      <x:c r="K273" s="7" t="b">
        <x:v>0</x:v>
      </x:c>
      <x:c r="L273" s="2" t="str">
        <x:v>Aug 10–23, 2026</x:v>
      </x:c>
      <x:c r="M273" s="2" t="str">
        <x:v>https://www.census.gov/hfp/btos/downloads/Sector.xlsx</x:v>
      </x:c>
    </x:row>
    <x:row r="274" ht="24" customHeight="1">
      <x:c r="A274" s="2" t="str">
        <x:v>Census BTOS</x:v>
      </x:c>
      <x:c r="B274" s="2" t="str">
        <x:v>Quintiles</x:v>
      </x:c>
      <x:c r="C274" s="2" t="str">
        <x:v>Q3</x:v>
      </x:c>
      <x:c r="D274" s="28" t="n">
        <x:v>45474</x:v>
      </x:c>
      <x:c r="E274" s="2" t="str">
        <x:v>2024Q3</x:v>
      </x:c>
      <x:c r="F274" s="20" t="n">
        <x:v>30702.8</x:v>
      </x:c>
      <x:c r="G274" s="20" t="n">
        <x:f>'Quarterly data'!$E$64</x:f>
        <x:v>30928.5333333333</x:v>
      </x:c>
      <x:c r="H274" s="22" t="n">
        <x:f>100*F274/G274</x:f>
        <x:v>99.2701453673847</x:v>
      </x:c>
      <x:c r="I274" s="24" t="n">
        <x:f>H274/100-1</x:f>
        <x:v>-0.00729854632615301</x:v>
      </x:c>
      <x:c r="J274" s="26" t="n">
        <x:v>4</x:v>
      </x:c>
      <x:c r="K274" s="7" t="b">
        <x:v>0</x:v>
      </x:c>
      <x:c r="L274" s="2" t="str">
        <x:v>Aug 10–23, 2026</x:v>
      </x:c>
      <x:c r="M274" s="2" t="str">
        <x:v>https://www.census.gov/hfp/btos/downloads/Sector.xlsx</x:v>
      </x:c>
    </x:row>
    <x:row r="275" ht="24" customHeight="1">
      <x:c r="A275" s="2" t="str">
        <x:v>Census BTOS</x:v>
      </x:c>
      <x:c r="B275" s="2" t="str">
        <x:v>Quintiles</x:v>
      </x:c>
      <x:c r="C275" s="2" t="str">
        <x:v>Q4</x:v>
      </x:c>
      <x:c r="D275" s="28" t="n">
        <x:v>45474</x:v>
      </x:c>
      <x:c r="E275" s="2" t="str">
        <x:v>2024Q3</x:v>
      </x:c>
      <x:c r="F275" s="20" t="n">
        <x:v>27606.7</x:v>
      </x:c>
      <x:c r="G275" s="20" t="n">
        <x:f>'Quarterly data'!$E$65</x:f>
        <x:v>26207.6666666667</x:v>
      </x:c>
      <x:c r="H275" s="22" t="n">
        <x:f>100*F275/G275</x:f>
        <x:v>105.33825979675144</x:v>
      </x:c>
      <x:c r="I275" s="24" t="n">
        <x:f>H275/100-1</x:f>
        <x:v>0.053382597967514434</x:v>
      </x:c>
      <x:c r="J275" s="26" t="n">
        <x:v>3</x:v>
      </x:c>
      <x:c r="K275" s="7" t="b">
        <x:v>0</x:v>
      </x:c>
      <x:c r="L275" s="2" t="str">
        <x:v>Aug 10–23, 2026</x:v>
      </x:c>
      <x:c r="M275" s="2" t="str">
        <x:v>https://www.census.gov/hfp/btos/downloads/Sector.xlsx</x:v>
      </x:c>
    </x:row>
    <x:row r="276" ht="24" customHeight="1">
      <x:c r="A276" s="2" t="str">
        <x:v>Census BTOS</x:v>
      </x:c>
      <x:c r="B276" s="2" t="str">
        <x:v>Quintiles</x:v>
      </x:c>
      <x:c r="C276" s="2" t="str">
        <x:v>Q5</x:v>
      </x:c>
      <x:c r="D276" s="28" t="n">
        <x:v>45474</x:v>
      </x:c>
      <x:c r="E276" s="2" t="str">
        <x:v>2024Q3</x:v>
      </x:c>
      <x:c r="F276" s="20" t="n">
        <x:v>24401.4</x:v>
      </x:c>
      <x:c r="G276" s="20" t="n">
        <x:f>'Quarterly data'!$E$66</x:f>
        <x:v>24267.6666666667</x:v>
      </x:c>
      <x:c r="H276" s="22" t="n">
        <x:f>100*F276/G276</x:f>
        <x:v>100.55107619191503</x:v>
      </x:c>
      <x:c r="I276" s="24" t="n">
        <x:f>H276/100-1</x:f>
        <x:v>0.005510761919150342</x:v>
      </x:c>
      <x:c r="J276" s="26" t="n">
        <x:v>4</x:v>
      </x:c>
      <x:c r="K276" s="7" t="b">
        <x:v>0</x:v>
      </x:c>
      <x:c r="L276" s="2" t="str">
        <x:v>Aug 10–23, 2026</x:v>
      </x:c>
      <x:c r="M276" s="2" t="str">
        <x:v>https://www.census.gov/hfp/btos/downloads/Sector.xlsx</x:v>
      </x:c>
    </x:row>
    <x:row r="277" ht="24" customHeight="1">
      <x:c r="A277" s="2" t="str">
        <x:v>Census BTOS</x:v>
      </x:c>
      <x:c r="B277" s="2" t="str">
        <x:v>Quintiles</x:v>
      </x:c>
      <x:c r="C277" s="2" t="str">
        <x:v>Q1</x:v>
      </x:c>
      <x:c r="D277" s="28" t="n">
        <x:v>45505</x:v>
      </x:c>
      <x:c r="E277" s="2" t="str">
        <x:v>2024Q3</x:v>
      </x:c>
      <x:c r="F277" s="20" t="n">
        <x:v>27295.3</x:v>
      </x:c>
      <x:c r="G277" s="20" t="n">
        <x:f>'Quarterly data'!$E$62</x:f>
        <x:v>26934</x:v>
      </x:c>
      <x:c r="H277" s="22" t="n">
        <x:f>100*F277/G277</x:f>
        <x:v>101.34142719239622</x:v>
      </x:c>
      <x:c r="I277" s="24" t="n">
        <x:f>H277/100-1</x:f>
        <x:v>0.013414271923962273</x:v>
      </x:c>
      <x:c r="J277" s="26" t="n">
        <x:v>4</x:v>
      </x:c>
      <x:c r="K277" s="7" t="b">
        <x:v>0</x:v>
      </x:c>
      <x:c r="L277" s="2" t="str">
        <x:v>Aug 10–23, 2026</x:v>
      </x:c>
      <x:c r="M277" s="2" t="str">
        <x:v>https://www.census.gov/hfp/btos/downloads/Sector.xlsx</x:v>
      </x:c>
    </x:row>
    <x:row r="278" ht="24" customHeight="1">
      <x:c r="A278" s="2" t="str">
        <x:v>Census BTOS</x:v>
      </x:c>
      <x:c r="B278" s="2" t="str">
        <x:v>Quintiles</x:v>
      </x:c>
      <x:c r="C278" s="2" t="str">
        <x:v>Q2</x:v>
      </x:c>
      <x:c r="D278" s="28" t="n">
        <x:v>45505</x:v>
      </x:c>
      <x:c r="E278" s="2" t="str">
        <x:v>2024Q3</x:v>
      </x:c>
      <x:c r="F278" s="20" t="n">
        <x:v>24288.2</x:v>
      </x:c>
      <x:c r="G278" s="20" t="n">
        <x:f>'Quarterly data'!$E$63</x:f>
        <x:v>24074.9666666667</x:v>
      </x:c>
      <x:c r="H278" s="22" t="n">
        <x:f>100*F278/G278</x:f>
        <x:v>100.8857056222991</x:v>
      </x:c>
      <x:c r="I278" s="24" t="n">
        <x:f>H278/100-1</x:f>
        <x:v>0.008857056222991044</x:v>
      </x:c>
      <x:c r="J278" s="26" t="n">
        <x:v>3</x:v>
      </x:c>
      <x:c r="K278" s="7" t="b">
        <x:v>0</x:v>
      </x:c>
      <x:c r="L278" s="2" t="str">
        <x:v>Aug 10–23, 2026</x:v>
      </x:c>
      <x:c r="M278" s="2" t="str">
        <x:v>https://www.census.gov/hfp/btos/downloads/Sector.xlsx</x:v>
      </x:c>
    </x:row>
    <x:row r="279" ht="24" customHeight="1">
      <x:c r="A279" s="2" t="str">
        <x:v>Census BTOS</x:v>
      </x:c>
      <x:c r="B279" s="2" t="str">
        <x:v>Quintiles</x:v>
      </x:c>
      <x:c r="C279" s="2" t="str">
        <x:v>Q3</x:v>
      </x:c>
      <x:c r="D279" s="28" t="n">
        <x:v>45505</x:v>
      </x:c>
      <x:c r="E279" s="2" t="str">
        <x:v>2024Q3</x:v>
      </x:c>
      <x:c r="F279" s="20" t="n">
        <x:v>30647</x:v>
      </x:c>
      <x:c r="G279" s="20" t="n">
        <x:f>'Quarterly data'!$E$64</x:f>
        <x:v>30928.5333333333</x:v>
      </x:c>
      <x:c r="H279" s="22" t="n">
        <x:f>100*F279/G279</x:f>
        <x:v>99.0897294407754</x:v>
      </x:c>
      <x:c r="I279" s="24" t="n">
        <x:f>H279/100-1</x:f>
        <x:v>-0.009102705592246019</x:v>
      </x:c>
      <x:c r="J279" s="26" t="n">
        <x:v>4</x:v>
      </x:c>
      <x:c r="K279" s="7" t="b">
        <x:v>0</x:v>
      </x:c>
      <x:c r="L279" s="2" t="str">
        <x:v>Aug 10–23, 2026</x:v>
      </x:c>
      <x:c r="M279" s="2" t="str">
        <x:v>https://www.census.gov/hfp/btos/downloads/Sector.xlsx</x:v>
      </x:c>
    </x:row>
    <x:row r="280" ht="24" customHeight="1">
      <x:c r="A280" s="2" t="str">
        <x:v>Census BTOS</x:v>
      </x:c>
      <x:c r="B280" s="2" t="str">
        <x:v>Quintiles</x:v>
      </x:c>
      <x:c r="C280" s="2" t="str">
        <x:v>Q4</x:v>
      </x:c>
      <x:c r="D280" s="28" t="n">
        <x:v>45505</x:v>
      </x:c>
      <x:c r="E280" s="2" t="str">
        <x:v>2024Q3</x:v>
      </x:c>
      <x:c r="F280" s="20" t="n">
        <x:v>27652.9</x:v>
      </x:c>
      <x:c r="G280" s="20" t="n">
        <x:f>'Quarterly data'!$E$65</x:f>
        <x:v>26207.6666666667</x:v>
      </x:c>
      <x:c r="H280" s="22" t="n">
        <x:f>100*F280/G280</x:f>
        <x:v>105.5145440901516</x:v>
      </x:c>
      <x:c r="I280" s="24" t="n">
        <x:f>H280/100-1</x:f>
        <x:v>0.05514544090151596</x:v>
      </x:c>
      <x:c r="J280" s="26" t="n">
        <x:v>3</x:v>
      </x:c>
      <x:c r="K280" s="7" t="b">
        <x:v>0</x:v>
      </x:c>
      <x:c r="L280" s="2" t="str">
        <x:v>Aug 10–23, 2026</x:v>
      </x:c>
      <x:c r="M280" s="2" t="str">
        <x:v>https://www.census.gov/hfp/btos/downloads/Sector.xlsx</x:v>
      </x:c>
    </x:row>
    <x:row r="281" ht="24" customHeight="1">
      <x:c r="A281" s="2" t="str">
        <x:v>Census BTOS</x:v>
      </x:c>
      <x:c r="B281" s="2" t="str">
        <x:v>Quintiles</x:v>
      </x:c>
      <x:c r="C281" s="2" t="str">
        <x:v>Q5</x:v>
      </x:c>
      <x:c r="D281" s="28" t="n">
        <x:v>45505</x:v>
      </x:c>
      <x:c r="E281" s="2" t="str">
        <x:v>2024Q3</x:v>
      </x:c>
      <x:c r="F281" s="20" t="n">
        <x:v>24398.1</x:v>
      </x:c>
      <x:c r="G281" s="20" t="n">
        <x:f>'Quarterly data'!$E$66</x:f>
        <x:v>24267.6666666667</x:v>
      </x:c>
      <x:c r="H281" s="22" t="n">
        <x:f>100*F281/G281</x:f>
        <x:v>100.5374778511873</x:v>
      </x:c>
      <x:c r="I281" s="24" t="n">
        <x:f>H281/100-1</x:f>
        <x:v>0.005374778511872957</x:v>
      </x:c>
      <x:c r="J281" s="26" t="n">
        <x:v>4</x:v>
      </x:c>
      <x:c r="K281" s="7" t="b">
        <x:v>0</x:v>
      </x:c>
      <x:c r="L281" s="2" t="str">
        <x:v>Aug 10–23, 2026</x:v>
      </x:c>
      <x:c r="M281" s="2" t="str">
        <x:v>https://www.census.gov/hfp/btos/downloads/Sector.xlsx</x:v>
      </x:c>
    </x:row>
    <x:row r="282" ht="24" customHeight="1">
      <x:c r="A282" s="2" t="str">
        <x:v>Census BTOS</x:v>
      </x:c>
      <x:c r="B282" s="2" t="str">
        <x:v>Quintiles</x:v>
      </x:c>
      <x:c r="C282" s="2" t="str">
        <x:v>Q1</x:v>
      </x:c>
      <x:c r="D282" s="28" t="n">
        <x:v>45536</x:v>
      </x:c>
      <x:c r="E282" s="2" t="str">
        <x:v>2024Q3</x:v>
      </x:c>
      <x:c r="F282" s="20" t="n">
        <x:v>27356.8</x:v>
      </x:c>
      <x:c r="G282" s="20" t="n">
        <x:f>'Quarterly data'!$E$62</x:f>
        <x:v>26934</x:v>
      </x:c>
      <x:c r="H282" s="22" t="n">
        <x:f>100*F282/G282</x:f>
        <x:v>101.56976312467513</x:v>
      </x:c>
      <x:c r="I282" s="24" t="n">
        <x:f>H282/100-1</x:f>
        <x:v>0.015697631246751387</x:v>
      </x:c>
      <x:c r="J282" s="26" t="n">
        <x:v>4</x:v>
      </x:c>
      <x:c r="K282" s="7" t="b">
        <x:v>0</x:v>
      </x:c>
      <x:c r="L282" s="2" t="str">
        <x:v>Aug 10–23, 2026</x:v>
      </x:c>
      <x:c r="M282" s="2" t="str">
        <x:v>https://www.census.gov/hfp/btos/downloads/Sector.xlsx</x:v>
      </x:c>
    </x:row>
    <x:row r="283" ht="24" customHeight="1">
      <x:c r="A283" s="2" t="str">
        <x:v>Census BTOS</x:v>
      </x:c>
      <x:c r="B283" s="2" t="str">
        <x:v>Quintiles</x:v>
      </x:c>
      <x:c r="C283" s="2" t="str">
        <x:v>Q2</x:v>
      </x:c>
      <x:c r="D283" s="28" t="n">
        <x:v>45536</x:v>
      </x:c>
      <x:c r="E283" s="2" t="str">
        <x:v>2024Q3</x:v>
      </x:c>
      <x:c r="F283" s="20" t="n">
        <x:v>24307.7</x:v>
      </x:c>
      <x:c r="G283" s="20" t="n">
        <x:f>'Quarterly data'!$E$63</x:f>
        <x:v>24074.9666666667</x:v>
      </x:c>
      <x:c r="H283" s="22" t="n">
        <x:f>100*F283/G283</x:f>
        <x:v>100.96670261917967</x:v>
      </x:c>
      <x:c r="I283" s="24" t="n">
        <x:f>H283/100-1</x:f>
        <x:v>0.009667026191796602</x:v>
      </x:c>
      <x:c r="J283" s="26" t="n">
        <x:v>3</x:v>
      </x:c>
      <x:c r="K283" s="7" t="b">
        <x:v>0</x:v>
      </x:c>
      <x:c r="L283" s="2" t="str">
        <x:v>Aug 10–23, 2026</x:v>
      </x:c>
      <x:c r="M283" s="2" t="str">
        <x:v>https://www.census.gov/hfp/btos/downloads/Sector.xlsx</x:v>
      </x:c>
    </x:row>
    <x:row r="284" ht="24" customHeight="1">
      <x:c r="A284" s="2" t="str">
        <x:v>Census BTOS</x:v>
      </x:c>
      <x:c r="B284" s="2" t="str">
        <x:v>Quintiles</x:v>
      </x:c>
      <x:c r="C284" s="2" t="str">
        <x:v>Q3</x:v>
      </x:c>
      <x:c r="D284" s="28" t="n">
        <x:v>45536</x:v>
      </x:c>
      <x:c r="E284" s="2" t="str">
        <x:v>2024Q3</x:v>
      </x:c>
      <x:c r="F284" s="20" t="n">
        <x:v>30593.1</x:v>
      </x:c>
      <x:c r="G284" s="20" t="n">
        <x:f>'Quarterly data'!$E$64</x:f>
        <x:v>30928.5333333333</x:v>
      </x:c>
      <x:c r="H284" s="22" t="n">
        <x:f>100*F284/G284</x:f>
        <x:v>98.91545670879975</x:v>
      </x:c>
      <x:c r="I284" s="24" t="n">
        <x:f>H284/100-1</x:f>
        <x:v>-0.010845432912002462</x:v>
      </x:c>
      <x:c r="J284" s="26" t="n">
        <x:v>4</x:v>
      </x:c>
      <x:c r="K284" s="7" t="b">
        <x:v>0</x:v>
      </x:c>
      <x:c r="L284" s="2" t="str">
        <x:v>Aug 10–23, 2026</x:v>
      </x:c>
      <x:c r="M284" s="2" t="str">
        <x:v>https://www.census.gov/hfp/btos/downloads/Sector.xlsx</x:v>
      </x:c>
    </x:row>
    <x:row r="285" ht="24" customHeight="1">
      <x:c r="A285" s="2" t="str">
        <x:v>Census BTOS</x:v>
      </x:c>
      <x:c r="B285" s="2" t="str">
        <x:v>Quintiles</x:v>
      </x:c>
      <x:c r="C285" s="2" t="str">
        <x:v>Q4</x:v>
      </x:c>
      <x:c r="D285" s="28" t="n">
        <x:v>45536</x:v>
      </x:c>
      <x:c r="E285" s="2" t="str">
        <x:v>2024Q3</x:v>
      </x:c>
      <x:c r="F285" s="20" t="n">
        <x:v>27739.3</x:v>
      </x:c>
      <x:c r="G285" s="20" t="n">
        <x:f>'Quarterly data'!$E$65</x:f>
        <x:v>26207.6666666667</x:v>
      </x:c>
      <x:c r="H285" s="22" t="n">
        <x:f>100*F285/G285</x:f>
        <x:v>105.84421861287396</x:v>
      </x:c>
      <x:c r="I285" s="24" t="n">
        <x:f>H285/100-1</x:f>
        <x:v>0.05844218612873964</x:v>
      </x:c>
      <x:c r="J285" s="26" t="n">
        <x:v>3</x:v>
      </x:c>
      <x:c r="K285" s="7" t="b">
        <x:v>0</x:v>
      </x:c>
      <x:c r="L285" s="2" t="str">
        <x:v>Aug 10–23, 2026</x:v>
      </x:c>
      <x:c r="M285" s="2" t="str">
        <x:v>https://www.census.gov/hfp/btos/downloads/Sector.xlsx</x:v>
      </x:c>
    </x:row>
    <x:row r="286" ht="24" customHeight="1">
      <x:c r="A286" s="2" t="str">
        <x:v>Census BTOS</x:v>
      </x:c>
      <x:c r="B286" s="2" t="str">
        <x:v>Quintiles</x:v>
      </x:c>
      <x:c r="C286" s="2" t="str">
        <x:v>Q5</x:v>
      </x:c>
      <x:c r="D286" s="28" t="n">
        <x:v>45536</x:v>
      </x:c>
      <x:c r="E286" s="2" t="str">
        <x:v>2024Q3</x:v>
      </x:c>
      <x:c r="F286" s="20" t="n">
        <x:v>24425.4</x:v>
      </x:c>
      <x:c r="G286" s="20" t="n">
        <x:f>'Quarterly data'!$E$66</x:f>
        <x:v>24267.6666666667</x:v>
      </x:c>
      <x:c r="H286" s="22" t="n">
        <x:f>100*F286/G286</x:f>
        <x:v>100.64997321538934</x:v>
      </x:c>
      <x:c r="I286" s="24" t="n">
        <x:f>H286/100-1</x:f>
        <x:v>0.006499732153893323</x:v>
      </x:c>
      <x:c r="J286" s="26" t="n">
        <x:v>4</x:v>
      </x:c>
      <x:c r="K286" s="7" t="b">
        <x:v>0</x:v>
      </x:c>
      <x:c r="L286" s="2" t="str">
        <x:v>Aug 10–23, 2026</x:v>
      </x:c>
      <x:c r="M286" s="2" t="str">
        <x:v>https://www.census.gov/hfp/btos/downloads/Sector.xlsx</x:v>
      </x:c>
    </x:row>
    <x:row r="287" ht="24" customHeight="1">
      <x:c r="A287" s="2" t="str">
        <x:v>Census BTOS</x:v>
      </x:c>
      <x:c r="B287" s="2" t="str">
        <x:v>Quintiles</x:v>
      </x:c>
      <x:c r="C287" s="2" t="str">
        <x:v>Q1</x:v>
      </x:c>
      <x:c r="D287" s="28" t="n">
        <x:v>45566</x:v>
      </x:c>
      <x:c r="E287" s="2" t="str">
        <x:v>2024Q4</x:v>
      </x:c>
      <x:c r="F287" s="20" t="n">
        <x:v>27360.9</x:v>
      </x:c>
      <x:c r="G287" s="20" t="n">
        <x:f>'Quarterly data'!$E$62</x:f>
        <x:v>26934</x:v>
      </x:c>
      <x:c r="H287" s="22" t="n">
        <x:f>100*F287/G287</x:f>
        <x:v>101.58498552016039</x:v>
      </x:c>
      <x:c r="I287" s="24" t="n">
        <x:f>H287/100-1</x:f>
        <x:v>0.01584985520160398</x:v>
      </x:c>
      <x:c r="J287" s="26" t="n">
        <x:v>4</x:v>
      </x:c>
      <x:c r="K287" s="7" t="b">
        <x:v>0</x:v>
      </x:c>
      <x:c r="L287" s="2" t="str">
        <x:v>Aug 10–23, 2026</x:v>
      </x:c>
      <x:c r="M287" s="2" t="str">
        <x:v>https://www.census.gov/hfp/btos/downloads/Sector.xlsx</x:v>
      </x:c>
    </x:row>
    <x:row r="288" ht="24" customHeight="1">
      <x:c r="A288" s="2" t="str">
        <x:v>Census BTOS</x:v>
      </x:c>
      <x:c r="B288" s="2" t="str">
        <x:v>Quintiles</x:v>
      </x:c>
      <x:c r="C288" s="2" t="str">
        <x:v>Q2</x:v>
      </x:c>
      <x:c r="D288" s="28" t="n">
        <x:v>45566</x:v>
      </x:c>
      <x:c r="E288" s="2" t="str">
        <x:v>2024Q4</x:v>
      </x:c>
      <x:c r="F288" s="20" t="n">
        <x:v>24310.7</x:v>
      </x:c>
      <x:c r="G288" s="20" t="n">
        <x:f>'Quarterly data'!$E$63</x:f>
        <x:v>24074.9666666667</x:v>
      </x:c>
      <x:c r="H288" s="22" t="n">
        <x:f>100*F288/G288</x:f>
        <x:v>100.97916369562284</x:v>
      </x:c>
      <x:c r="I288" s="24" t="n">
        <x:f>H288/100-1</x:f>
        <x:v>0.009791636956228533</x:v>
      </x:c>
      <x:c r="J288" s="26" t="n">
        <x:v>3</x:v>
      </x:c>
      <x:c r="K288" s="7" t="b">
        <x:v>0</x:v>
      </x:c>
      <x:c r="L288" s="2" t="str">
        <x:v>Aug 10–23, 2026</x:v>
      </x:c>
      <x:c r="M288" s="2" t="str">
        <x:v>https://www.census.gov/hfp/btos/downloads/Sector.xlsx</x:v>
      </x:c>
    </x:row>
    <x:row r="289" ht="24" customHeight="1">
      <x:c r="A289" s="2" t="str">
        <x:v>Census BTOS</x:v>
      </x:c>
      <x:c r="B289" s="2" t="str">
        <x:v>Quintiles</x:v>
      </x:c>
      <x:c r="C289" s="2" t="str">
        <x:v>Q3</x:v>
      </x:c>
      <x:c r="D289" s="28" t="n">
        <x:v>45566</x:v>
      </x:c>
      <x:c r="E289" s="2" t="str">
        <x:v>2024Q4</x:v>
      </x:c>
      <x:c r="F289" s="20" t="n">
        <x:v>30510.6</x:v>
      </x:c>
      <x:c r="G289" s="20" t="n">
        <x:f>'Quarterly data'!$E$64</x:f>
        <x:v>30928.5333333333</x:v>
      </x:c>
      <x:c r="H289" s="22" t="n">
        <x:f>100*F289/G289</x:f>
        <x:v>98.648712731286</x:v>
      </x:c>
      <x:c r="I289" s="24" t="n">
        <x:f>H289/100-1</x:f>
        <x:v>-0.013512872687140076</x:v>
      </x:c>
      <x:c r="J289" s="26" t="n">
        <x:v>4</x:v>
      </x:c>
      <x:c r="K289" s="7" t="b">
        <x:v>0</x:v>
      </x:c>
      <x:c r="L289" s="2" t="str">
        <x:v>Aug 10–23, 2026</x:v>
      </x:c>
      <x:c r="M289" s="2" t="str">
        <x:v>https://www.census.gov/hfp/btos/downloads/Sector.xlsx</x:v>
      </x:c>
    </x:row>
    <x:row r="290" ht="24" customHeight="1">
      <x:c r="A290" s="2" t="str">
        <x:v>Census BTOS</x:v>
      </x:c>
      <x:c r="B290" s="2" t="str">
        <x:v>Quintiles</x:v>
      </x:c>
      <x:c r="C290" s="2" t="str">
        <x:v>Q4</x:v>
      </x:c>
      <x:c r="D290" s="28" t="n">
        <x:v>45566</x:v>
      </x:c>
      <x:c r="E290" s="2" t="str">
        <x:v>2024Q4</x:v>
      </x:c>
      <x:c r="F290" s="20" t="n">
        <x:v>27825.8</x:v>
      </x:c>
      <x:c r="G290" s="20" t="n">
        <x:f>'Quarterly data'!$E$65</x:f>
        <x:v>26207.6666666667</x:v>
      </x:c>
      <x:c r="H290" s="22" t="n">
        <x:f>100*F290/G290</x:f>
        <x:v>106.17427470333095</x:v>
      </x:c>
      <x:c r="I290" s="24" t="n">
        <x:f>H290/100-1</x:f>
        <x:v>0.06174274703330962</x:v>
      </x:c>
      <x:c r="J290" s="26" t="n">
        <x:v>3</x:v>
      </x:c>
      <x:c r="K290" s="7" t="b">
        <x:v>0</x:v>
      </x:c>
      <x:c r="L290" s="2" t="str">
        <x:v>Aug 10–23, 2026</x:v>
      </x:c>
      <x:c r="M290" s="2" t="str">
        <x:v>https://www.census.gov/hfp/btos/downloads/Sector.xlsx</x:v>
      </x:c>
    </x:row>
    <x:row r="291" ht="24" customHeight="1">
      <x:c r="A291" s="2" t="str">
        <x:v>Census BTOS</x:v>
      </x:c>
      <x:c r="B291" s="2" t="str">
        <x:v>Quintiles</x:v>
      </x:c>
      <x:c r="C291" s="2" t="str">
        <x:v>Q5</x:v>
      </x:c>
      <x:c r="D291" s="28" t="n">
        <x:v>45566</x:v>
      </x:c>
      <x:c r="E291" s="2" t="str">
        <x:v>2024Q4</x:v>
      </x:c>
      <x:c r="F291" s="20" t="n">
        <x:v>24408.8</x:v>
      </x:c>
      <x:c r="G291" s="20" t="n">
        <x:f>'Quarterly data'!$E$66</x:f>
        <x:v>24267.6666666667</x:v>
      </x:c>
      <x:c r="H291" s="22" t="n">
        <x:f>100*F291/G291</x:f>
        <x:v>100.5815694408196</x:v>
      </x:c>
      <x:c r="I291" s="24" t="n">
        <x:f>H291/100-1</x:f>
        <x:v>0.005815694408195959</x:v>
      </x:c>
      <x:c r="J291" s="26" t="n">
        <x:v>4</x:v>
      </x:c>
      <x:c r="K291" s="7" t="b">
        <x:v>0</x:v>
      </x:c>
      <x:c r="L291" s="2" t="str">
        <x:v>Aug 10–23, 2026</x:v>
      </x:c>
      <x:c r="M291" s="2" t="str">
        <x:v>https://www.census.gov/hfp/btos/downloads/Sector.xlsx</x:v>
      </x:c>
    </x:row>
    <x:row r="292" ht="24" customHeight="1">
      <x:c r="A292" s="2" t="str">
        <x:v>Census BTOS</x:v>
      </x:c>
      <x:c r="B292" s="2" t="str">
        <x:v>Quintiles</x:v>
      </x:c>
      <x:c r="C292" s="2" t="str">
        <x:v>Q1</x:v>
      </x:c>
      <x:c r="D292" s="28" t="n">
        <x:v>45597</x:v>
      </x:c>
      <x:c r="E292" s="2" t="str">
        <x:v>2024Q4</x:v>
      </x:c>
      <x:c r="F292" s="20" t="n">
        <x:v>27387.3</x:v>
      </x:c>
      <x:c r="G292" s="20" t="n">
        <x:f>'Quarterly data'!$E$62</x:f>
        <x:v>26934</x:v>
      </x:c>
      <x:c r="H292" s="22" t="n">
        <x:f>100*F292/G292</x:f>
        <x:v>101.68300289596792</x:v>
      </x:c>
      <x:c r="I292" s="24" t="n">
        <x:f>H292/100-1</x:f>
        <x:v>0.016830028959679222</x:v>
      </x:c>
      <x:c r="J292" s="26" t="n">
        <x:v>4</x:v>
      </x:c>
      <x:c r="K292" s="7" t="b">
        <x:v>0</x:v>
      </x:c>
      <x:c r="L292" s="2" t="str">
        <x:v>Aug 10–23, 2026</x:v>
      </x:c>
      <x:c r="M292" s="2" t="str">
        <x:v>https://www.census.gov/hfp/btos/downloads/Sector.xlsx</x:v>
      </x:c>
    </x:row>
    <x:row r="293" ht="24" customHeight="1">
      <x:c r="A293" s="2" t="str">
        <x:v>Census BTOS</x:v>
      </x:c>
      <x:c r="B293" s="2" t="str">
        <x:v>Quintiles</x:v>
      </x:c>
      <x:c r="C293" s="2" t="str">
        <x:v>Q2</x:v>
      </x:c>
      <x:c r="D293" s="28" t="n">
        <x:v>45597</x:v>
      </x:c>
      <x:c r="E293" s="2" t="str">
        <x:v>2024Q4</x:v>
      </x:c>
      <x:c r="F293" s="20" t="n">
        <x:v>24273.3</x:v>
      </x:c>
      <x:c r="G293" s="20" t="n">
        <x:f>'Quarterly data'!$E$63</x:f>
        <x:v>24074.9666666667</x:v>
      </x:c>
      <x:c r="H293" s="22" t="n">
        <x:f>100*F293/G293</x:f>
        <x:v>100.82381560929804</x:v>
      </x:c>
      <x:c r="I293" s="24" t="n">
        <x:f>H293/100-1</x:f>
        <x:v>0.008238156092980287</x:v>
      </x:c>
      <x:c r="J293" s="26" t="n">
        <x:v>3</x:v>
      </x:c>
      <x:c r="K293" s="7" t="b">
        <x:v>0</x:v>
      </x:c>
      <x:c r="L293" s="2" t="str">
        <x:v>Aug 10–23, 2026</x:v>
      </x:c>
      <x:c r="M293" s="2" t="str">
        <x:v>https://www.census.gov/hfp/btos/downloads/Sector.xlsx</x:v>
      </x:c>
    </x:row>
    <x:row r="294" ht="24" customHeight="1">
      <x:c r="A294" s="2" t="str">
        <x:v>Census BTOS</x:v>
      </x:c>
      <x:c r="B294" s="2" t="str">
        <x:v>Quintiles</x:v>
      </x:c>
      <x:c r="C294" s="2" t="str">
        <x:v>Q3</x:v>
      </x:c>
      <x:c r="D294" s="28" t="n">
        <x:v>45597</x:v>
      </x:c>
      <x:c r="E294" s="2" t="str">
        <x:v>2024Q4</x:v>
      </x:c>
      <x:c r="F294" s="20" t="n">
        <x:v>30543.7</x:v>
      </x:c>
      <x:c r="G294" s="20" t="n">
        <x:f>'Quarterly data'!$E$64</x:f>
        <x:v>30928.5333333333</x:v>
      </x:c>
      <x:c r="H294" s="22" t="n">
        <x:f>100*F294/G294</x:f>
        <x:v>98.75573364832485</x:v>
      </x:c>
      <x:c r="I294" s="24" t="n">
        <x:f>H294/100-1</x:f>
        <x:v>-0.012442663516751495</x:v>
      </x:c>
      <x:c r="J294" s="26" t="n">
        <x:v>4</x:v>
      </x:c>
      <x:c r="K294" s="7" t="b">
        <x:v>0</x:v>
      </x:c>
      <x:c r="L294" s="2" t="str">
        <x:v>Aug 10–23, 2026</x:v>
      </x:c>
      <x:c r="M294" s="2" t="str">
        <x:v>https://www.census.gov/hfp/btos/downloads/Sector.xlsx</x:v>
      </x:c>
    </x:row>
    <x:row r="295" ht="24" customHeight="1">
      <x:c r="A295" s="2" t="str">
        <x:v>Census BTOS</x:v>
      </x:c>
      <x:c r="B295" s="2" t="str">
        <x:v>Quintiles</x:v>
      </x:c>
      <x:c r="C295" s="2" t="str">
        <x:v>Q4</x:v>
      </x:c>
      <x:c r="D295" s="28" t="n">
        <x:v>45597</x:v>
      </x:c>
      <x:c r="E295" s="2" t="str">
        <x:v>2024Q4</x:v>
      </x:c>
      <x:c r="F295" s="20" t="n">
        <x:v>27900.4</x:v>
      </x:c>
      <x:c r="G295" s="20" t="n">
        <x:f>'Quarterly data'!$E$65</x:f>
        <x:v>26207.6666666667</x:v>
      </x:c>
      <x:c r="H295" s="22" t="n">
        <x:f>100*F295/G295</x:f>
        <x:v>106.45892423336669</x:v>
      </x:c>
      <x:c r="I295" s="24" t="n">
        <x:f>H295/100-1</x:f>
        <x:v>0.06458924233366692</x:v>
      </x:c>
      <x:c r="J295" s="26" t="n">
        <x:v>3</x:v>
      </x:c>
      <x:c r="K295" s="7" t="b">
        <x:v>0</x:v>
      </x:c>
      <x:c r="L295" s="2" t="str">
        <x:v>Aug 10–23, 2026</x:v>
      </x:c>
      <x:c r="M295" s="2" t="str">
        <x:v>https://www.census.gov/hfp/btos/downloads/Sector.xlsx</x:v>
      </x:c>
    </x:row>
    <x:row r="296" ht="24" customHeight="1">
      <x:c r="A296" s="2" t="str">
        <x:v>Census BTOS</x:v>
      </x:c>
      <x:c r="B296" s="2" t="str">
        <x:v>Quintiles</x:v>
      </x:c>
      <x:c r="C296" s="2" t="str">
        <x:v>Q5</x:v>
      </x:c>
      <x:c r="D296" s="28" t="n">
        <x:v>45597</x:v>
      </x:c>
      <x:c r="E296" s="2" t="str">
        <x:v>2024Q4</x:v>
      </x:c>
      <x:c r="F296" s="20" t="n">
        <x:v>24430</x:v>
      </x:c>
      <x:c r="G296" s="20" t="n">
        <x:f>'Quarterly data'!$E$66</x:f>
        <x:v>24267.6666666667</x:v>
      </x:c>
      <x:c r="H296" s="22" t="n">
        <x:f>100*F296/G296</x:f>
        <x:v>100.66892847822191</x:v>
      </x:c>
      <x:c r="I296" s="24" t="n">
        <x:f>H296/100-1</x:f>
        <x:v>0.006689284782219085</x:v>
      </x:c>
      <x:c r="J296" s="26" t="n">
        <x:v>4</x:v>
      </x:c>
      <x:c r="K296" s="7" t="b">
        <x:v>0</x:v>
      </x:c>
      <x:c r="L296" s="2" t="str">
        <x:v>Aug 10–23, 2026</x:v>
      </x:c>
      <x:c r="M296" s="2" t="str">
        <x:v>https://www.census.gov/hfp/btos/downloads/Sector.xlsx</x:v>
      </x:c>
    </x:row>
    <x:row r="297" ht="24" customHeight="1">
      <x:c r="A297" s="2" t="str">
        <x:v>Census BTOS</x:v>
      </x:c>
      <x:c r="B297" s="2" t="str">
        <x:v>Quintiles</x:v>
      </x:c>
      <x:c r="C297" s="2" t="str">
        <x:v>Q1</x:v>
      </x:c>
      <x:c r="D297" s="28" t="n">
        <x:v>45627</x:v>
      </x:c>
      <x:c r="E297" s="2" t="str">
        <x:v>2024Q4</x:v>
      </x:c>
      <x:c r="F297" s="20" t="n">
        <x:v>27426.2</x:v>
      </x:c>
      <x:c r="G297" s="20" t="n">
        <x:f>'Quarterly data'!$E$62</x:f>
        <x:v>26934</x:v>
      </x:c>
      <x:c r="H297" s="22" t="n">
        <x:f>100*F297/G297</x:f>
        <x:v>101.82743001410856</x:v>
      </x:c>
      <x:c r="I297" s="24" t="n">
        <x:f>H297/100-1</x:f>
        <x:v>0.018274300141085664</x:v>
      </x:c>
      <x:c r="J297" s="26" t="n">
        <x:v>4</x:v>
      </x:c>
      <x:c r="K297" s="7" t="b">
        <x:v>0</x:v>
      </x:c>
      <x:c r="L297" s="2" t="str">
        <x:v>Aug 10–23, 2026</x:v>
      </x:c>
      <x:c r="M297" s="2" t="str">
        <x:v>https://www.census.gov/hfp/btos/downloads/Sector.xlsx</x:v>
      </x:c>
    </x:row>
    <x:row r="298" ht="24" customHeight="1">
      <x:c r="A298" s="2" t="str">
        <x:v>Census BTOS</x:v>
      </x:c>
      <x:c r="B298" s="2" t="str">
        <x:v>Quintiles</x:v>
      </x:c>
      <x:c r="C298" s="2" t="str">
        <x:v>Q2</x:v>
      </x:c>
      <x:c r="D298" s="28" t="n">
        <x:v>45627</x:v>
      </x:c>
      <x:c r="E298" s="2" t="str">
        <x:v>2024Q4</x:v>
      </x:c>
      <x:c r="F298" s="20" t="n">
        <x:v>24332</x:v>
      </x:c>
      <x:c r="G298" s="20" t="n">
        <x:f>'Quarterly data'!$E$63</x:f>
        <x:v>24074.9666666667</x:v>
      </x:c>
      <x:c r="H298" s="22" t="n">
        <x:f>100*F298/G298</x:f>
        <x:v>101.06763733836931</x:v>
      </x:c>
      <x:c r="I298" s="24" t="n">
        <x:f>H298/100-1</x:f>
        <x:v>0.010676373383692983</x:v>
      </x:c>
      <x:c r="J298" s="26" t="n">
        <x:v>3</x:v>
      </x:c>
      <x:c r="K298" s="7" t="b">
        <x:v>0</x:v>
      </x:c>
      <x:c r="L298" s="2" t="str">
        <x:v>Aug 10–23, 2026</x:v>
      </x:c>
      <x:c r="M298" s="2" t="str">
        <x:v>https://www.census.gov/hfp/btos/downloads/Sector.xlsx</x:v>
      </x:c>
    </x:row>
    <x:row r="299" ht="24" customHeight="1">
      <x:c r="A299" s="2" t="str">
        <x:v>Census BTOS</x:v>
      </x:c>
      <x:c r="B299" s="2" t="str">
        <x:v>Quintiles</x:v>
      </x:c>
      <x:c r="C299" s="2" t="str">
        <x:v>Q3</x:v>
      </x:c>
      <x:c r="D299" s="28" t="n">
        <x:v>45627</x:v>
      </x:c>
      <x:c r="E299" s="2" t="str">
        <x:v>2024Q4</x:v>
      </x:c>
      <x:c r="F299" s="20" t="n">
        <x:v>30536.1</x:v>
      </x:c>
      <x:c r="G299" s="20" t="n">
        <x:f>'Quarterly data'!$E$64</x:f>
        <x:v>30928.5333333333</x:v>
      </x:c>
      <x:c r="H299" s="22" t="n">
        <x:f>100*F299/G299</x:f>
        <x:v>98.73116086979024</x:v>
      </x:c>
      <x:c r="I299" s="24" t="n">
        <x:f>H299/100-1</x:f>
        <x:v>-0.012688391302097535</x:v>
      </x:c>
      <x:c r="J299" s="26" t="n">
        <x:v>4</x:v>
      </x:c>
      <x:c r="K299" s="7" t="b">
        <x:v>0</x:v>
      </x:c>
      <x:c r="L299" s="2" t="str">
        <x:v>Aug 10–23, 2026</x:v>
      </x:c>
      <x:c r="M299" s="2" t="str">
        <x:v>https://www.census.gov/hfp/btos/downloads/Sector.xlsx</x:v>
      </x:c>
    </x:row>
    <x:row r="300" ht="24" customHeight="1">
      <x:c r="A300" s="2" t="str">
        <x:v>Census BTOS</x:v>
      </x:c>
      <x:c r="B300" s="2" t="str">
        <x:v>Quintiles</x:v>
      </x:c>
      <x:c r="C300" s="2" t="str">
        <x:v>Q4</x:v>
      </x:c>
      <x:c r="D300" s="28" t="n">
        <x:v>45627</x:v>
      </x:c>
      <x:c r="E300" s="2" t="str">
        <x:v>2024Q4</x:v>
      </x:c>
      <x:c r="F300" s="20" t="n">
        <x:v>27976.2</x:v>
      </x:c>
      <x:c r="G300" s="20" t="n">
        <x:f>'Quarterly data'!$E$65</x:f>
        <x:v>26207.6666666667</x:v>
      </x:c>
      <x:c r="H300" s="22" t="n">
        <x:f>100*F300/G300</x:f>
        <x:v>106.74815257621802</x:v>
      </x:c>
      <x:c r="I300" s="24" t="n">
        <x:f>H300/100-1</x:f>
        <x:v>0.06748152576218014</x:v>
      </x:c>
      <x:c r="J300" s="26" t="n">
        <x:v>3</x:v>
      </x:c>
      <x:c r="K300" s="7" t="b">
        <x:v>0</x:v>
      </x:c>
      <x:c r="L300" s="2" t="str">
        <x:v>Aug 10–23, 2026</x:v>
      </x:c>
      <x:c r="M300" s="2" t="str">
        <x:v>https://www.census.gov/hfp/btos/downloads/Sector.xlsx</x:v>
      </x:c>
    </x:row>
    <x:row r="301" ht="24" customHeight="1">
      <x:c r="A301" s="2" t="str">
        <x:v>Census BTOS</x:v>
      </x:c>
      <x:c r="B301" s="2" t="str">
        <x:v>Quintiles</x:v>
      </x:c>
      <x:c r="C301" s="2" t="str">
        <x:v>Q5</x:v>
      </x:c>
      <x:c r="D301" s="28" t="n">
        <x:v>45627</x:v>
      </x:c>
      <x:c r="E301" s="2" t="str">
        <x:v>2024Q4</x:v>
      </x:c>
      <x:c r="F301" s="20" t="n">
        <x:v>24476.5</x:v>
      </x:c>
      <x:c r="G301" s="20" t="n">
        <x:f>'Quarterly data'!$E$66</x:f>
        <x:v>24267.6666666667</x:v>
      </x:c>
      <x:c r="H301" s="22" t="n">
        <x:f>100*F301/G301</x:f>
        <x:v>100.86054146120338</x:v>
      </x:c>
      <x:c r="I301" s="24" t="n">
        <x:f>H301/100-1</x:f>
        <x:v>0.00860541461203379</x:v>
      </x:c>
      <x:c r="J301" s="26" t="n">
        <x:v>4</x:v>
      </x:c>
      <x:c r="K301" s="7" t="b">
        <x:v>0</x:v>
      </x:c>
      <x:c r="L301" s="2" t="str">
        <x:v>Aug 10–23, 2026</x:v>
      </x:c>
      <x:c r="M301" s="2" t="str">
        <x:v>https://www.census.gov/hfp/btos/downloads/Sector.xlsx</x:v>
      </x:c>
    </x:row>
    <x:row r="302" ht="24" customHeight="1">
      <x:c r="A302" s="2" t="str">
        <x:v>Census BTOS</x:v>
      </x:c>
      <x:c r="B302" s="2" t="str">
        <x:v>Quintiles</x:v>
      </x:c>
      <x:c r="C302" s="2" t="str">
        <x:v>Q1</x:v>
      </x:c>
      <x:c r="D302" s="28" t="n">
        <x:v>45658</x:v>
      </x:c>
      <x:c r="E302" s="2" t="str">
        <x:v>2025Q1</x:v>
      </x:c>
      <x:c r="F302" s="20" t="n">
        <x:v>27401.4</x:v>
      </x:c>
      <x:c r="G302" s="20" t="n">
        <x:f>'Quarterly data'!$E$62</x:f>
        <x:v>26934</x:v>
      </x:c>
      <x:c r="H302" s="22" t="n">
        <x:f>100*F302/G302</x:f>
        <x:v>101.73535308531967</x:v>
      </x:c>
      <x:c r="I302" s="24" t="n">
        <x:f>H302/100-1</x:f>
        <x:v>0.017353530853196686</x:v>
      </x:c>
      <x:c r="J302" s="26" t="n">
        <x:v>4</x:v>
      </x:c>
      <x:c r="K302" s="7" t="b">
        <x:v>0</x:v>
      </x:c>
      <x:c r="L302" s="2" t="str">
        <x:v>Aug 10–23, 2026</x:v>
      </x:c>
      <x:c r="M302" s="2" t="str">
        <x:v>https://www.census.gov/hfp/btos/downloads/Sector.xlsx</x:v>
      </x:c>
    </x:row>
    <x:row r="303" ht="24" customHeight="1">
      <x:c r="A303" s="2" t="str">
        <x:v>Census BTOS</x:v>
      </x:c>
      <x:c r="B303" s="2" t="str">
        <x:v>Quintiles</x:v>
      </x:c>
      <x:c r="C303" s="2" t="str">
        <x:v>Q2</x:v>
      </x:c>
      <x:c r="D303" s="28" t="n">
        <x:v>45658</x:v>
      </x:c>
      <x:c r="E303" s="2" t="str">
        <x:v>2025Q1</x:v>
      </x:c>
      <x:c r="F303" s="20" t="n">
        <x:v>24320.3</x:v>
      </x:c>
      <x:c r="G303" s="20" t="n">
        <x:f>'Quarterly data'!$E$63</x:f>
        <x:v>24074.9666666667</x:v>
      </x:c>
      <x:c r="H303" s="22" t="n">
        <x:f>100*F303/G303</x:f>
        <x:v>101.01903914024096</x:v>
      </x:c>
      <x:c r="I303" s="24" t="n">
        <x:f>H303/100-1</x:f>
        <x:v>0.010190391402409738</x:v>
      </x:c>
      <x:c r="J303" s="26" t="n">
        <x:v>3</x:v>
      </x:c>
      <x:c r="K303" s="7" t="b">
        <x:v>0</x:v>
      </x:c>
      <x:c r="L303" s="2" t="str">
        <x:v>Aug 10–23, 2026</x:v>
      </x:c>
      <x:c r="M303" s="2" t="str">
        <x:v>https://www.census.gov/hfp/btos/downloads/Sector.xlsx</x:v>
      </x:c>
    </x:row>
    <x:row r="304" ht="24" customHeight="1">
      <x:c r="A304" s="2" t="str">
        <x:v>Census BTOS</x:v>
      </x:c>
      <x:c r="B304" s="2" t="str">
        <x:v>Quintiles</x:v>
      </x:c>
      <x:c r="C304" s="2" t="str">
        <x:v>Q3</x:v>
      </x:c>
      <x:c r="D304" s="28" t="n">
        <x:v>45658</x:v>
      </x:c>
      <x:c r="E304" s="2" t="str">
        <x:v>2025Q1</x:v>
      </x:c>
      <x:c r="F304" s="20" t="n">
        <x:v>30469.9</x:v>
      </x:c>
      <x:c r="G304" s="20" t="n">
        <x:f>'Quarterly data'!$E$64</x:f>
        <x:v>30928.5333333333</x:v>
      </x:c>
      <x:c r="H304" s="22" t="n">
        <x:f>100*F304/G304</x:f>
        <x:v>98.51711903571254</x:v>
      </x:c>
      <x:c r="I304" s="24" t="n">
        <x:f>H304/100-1</x:f>
        <x:v>-0.014828809642874585</x:v>
      </x:c>
      <x:c r="J304" s="26" t="n">
        <x:v>4</x:v>
      </x:c>
      <x:c r="K304" s="7" t="b">
        <x:v>0</x:v>
      </x:c>
      <x:c r="L304" s="2" t="str">
        <x:v>Aug 10–23, 2026</x:v>
      </x:c>
      <x:c r="M304" s="2" t="str">
        <x:v>https://www.census.gov/hfp/btos/downloads/Sector.xlsx</x:v>
      </x:c>
    </x:row>
    <x:row r="305" ht="24" customHeight="1">
      <x:c r="A305" s="2" t="str">
        <x:v>Census BTOS</x:v>
      </x:c>
      <x:c r="B305" s="2" t="str">
        <x:v>Quintiles</x:v>
      </x:c>
      <x:c r="C305" s="2" t="str">
        <x:v>Q4</x:v>
      </x:c>
      <x:c r="D305" s="28" t="n">
        <x:v>45658</x:v>
      </x:c>
      <x:c r="E305" s="2" t="str">
        <x:v>2025Q1</x:v>
      </x:c>
      <x:c r="F305" s="20" t="n">
        <x:v>28032.2</x:v>
      </x:c>
      <x:c r="G305" s="20" t="n">
        <x:f>'Quarterly data'!$E$65</x:f>
        <x:v>26207.6666666667</x:v>
      </x:c>
      <x:c r="H305" s="22" t="n">
        <x:f>100*F305/G305</x:f>
        <x:v>106.96183050761213</x:v>
      </x:c>
      <x:c r="I305" s="24" t="n">
        <x:f>H305/100-1</x:f>
        <x:v>0.06961830507612143</x:v>
      </x:c>
      <x:c r="J305" s="26" t="n">
        <x:v>3</x:v>
      </x:c>
      <x:c r="K305" s="7" t="b">
        <x:v>0</x:v>
      </x:c>
      <x:c r="L305" s="2" t="str">
        <x:v>Aug 10–23, 2026</x:v>
      </x:c>
      <x:c r="M305" s="2" t="str">
        <x:v>https://www.census.gov/hfp/btos/downloads/Sector.xlsx</x:v>
      </x:c>
    </x:row>
    <x:row r="306" ht="24" customHeight="1">
      <x:c r="A306" s="2" t="str">
        <x:v>Census BTOS</x:v>
      </x:c>
      <x:c r="B306" s="2" t="str">
        <x:v>Quintiles</x:v>
      </x:c>
      <x:c r="C306" s="2" t="str">
        <x:v>Q5</x:v>
      </x:c>
      <x:c r="D306" s="28" t="n">
        <x:v>45658</x:v>
      </x:c>
      <x:c r="E306" s="2" t="str">
        <x:v>2025Q1</x:v>
      </x:c>
      <x:c r="F306" s="20" t="n">
        <x:v>24446.2</x:v>
      </x:c>
      <x:c r="G306" s="20" t="n">
        <x:f>'Quarterly data'!$E$66</x:f>
        <x:v>24267.6666666667</x:v>
      </x:c>
      <x:c r="H306" s="22" t="n">
        <x:f>100*F306/G306</x:f>
        <x:v>100.73568396906707</x:v>
      </x:c>
      <x:c r="I306" s="24" t="n">
        <x:f>H306/100-1</x:f>
        <x:v>0.007356839690670691</x:v>
      </x:c>
      <x:c r="J306" s="26" t="n">
        <x:v>4</x:v>
      </x:c>
      <x:c r="K306" s="7" t="b">
        <x:v>0</x:v>
      </x:c>
      <x:c r="L306" s="2" t="str">
        <x:v>Aug 10–23, 2026</x:v>
      </x:c>
      <x:c r="M306" s="2" t="str">
        <x:v>https://www.census.gov/hfp/btos/downloads/Sector.xlsx</x:v>
      </x:c>
    </x:row>
    <x:row r="307" ht="24" customHeight="1">
      <x:c r="A307" s="2" t="str">
        <x:v>Census BTOS</x:v>
      </x:c>
      <x:c r="B307" s="2" t="str">
        <x:v>Quintiles</x:v>
      </x:c>
      <x:c r="C307" s="2" t="str">
        <x:v>Q1</x:v>
      </x:c>
      <x:c r="D307" s="28" t="n">
        <x:v>45689</x:v>
      </x:c>
      <x:c r="E307" s="2" t="str">
        <x:v>2025Q1</x:v>
      </x:c>
      <x:c r="F307" s="20" t="n">
        <x:v>27383</x:v>
      </x:c>
      <x:c r="G307" s="20" t="n">
        <x:f>'Quarterly data'!$E$62</x:f>
        <x:v>26934</x:v>
      </x:c>
      <x:c r="H307" s="22" t="n">
        <x:f>100*F307/G307</x:f>
        <x:v>101.66703794460533</x:v>
      </x:c>
      <x:c r="I307" s="24" t="n">
        <x:f>H307/100-1</x:f>
        <x:v>0.016670379446053207</x:v>
      </x:c>
      <x:c r="J307" s="26" t="n">
        <x:v>4</x:v>
      </x:c>
      <x:c r="K307" s="7" t="b">
        <x:v>0</x:v>
      </x:c>
      <x:c r="L307" s="2" t="str">
        <x:v>Aug 10–23, 2026</x:v>
      </x:c>
      <x:c r="M307" s="2" t="str">
        <x:v>https://www.census.gov/hfp/btos/downloads/Sector.xlsx</x:v>
      </x:c>
    </x:row>
    <x:row r="308" ht="24" customHeight="1">
      <x:c r="A308" s="2" t="str">
        <x:v>Census BTOS</x:v>
      </x:c>
      <x:c r="B308" s="2" t="str">
        <x:v>Quintiles</x:v>
      </x:c>
      <x:c r="C308" s="2" t="str">
        <x:v>Q2</x:v>
      </x:c>
      <x:c r="D308" s="28" t="n">
        <x:v>45689</x:v>
      </x:c>
      <x:c r="E308" s="2" t="str">
        <x:v>2025Q1</x:v>
      </x:c>
      <x:c r="F308" s="20" t="n">
        <x:v>24307.6</x:v>
      </x:c>
      <x:c r="G308" s="20" t="n">
        <x:f>'Quarterly data'!$E$63</x:f>
        <x:v>24074.9666666667</x:v>
      </x:c>
      <x:c r="H308" s="22" t="n">
        <x:f>100*F308/G308</x:f>
        <x:v>100.9662872499649</x:v>
      </x:c>
      <x:c r="I308" s="24" t="n">
        <x:f>H308/100-1</x:f>
        <x:v>0.009662872499649033</x:v>
      </x:c>
      <x:c r="J308" s="26" t="n">
        <x:v>3</x:v>
      </x:c>
      <x:c r="K308" s="7" t="b">
        <x:v>0</x:v>
      </x:c>
      <x:c r="L308" s="2" t="str">
        <x:v>Aug 10–23, 2026</x:v>
      </x:c>
      <x:c r="M308" s="2" t="str">
        <x:v>https://www.census.gov/hfp/btos/downloads/Sector.xlsx</x:v>
      </x:c>
    </x:row>
    <x:row r="309" ht="24" customHeight="1">
      <x:c r="A309" s="2" t="str">
        <x:v>Census BTOS</x:v>
      </x:c>
      <x:c r="B309" s="2" t="str">
        <x:v>Quintiles</x:v>
      </x:c>
      <x:c r="C309" s="2" t="str">
        <x:v>Q3</x:v>
      </x:c>
      <x:c r="D309" s="28" t="n">
        <x:v>45689</x:v>
      </x:c>
      <x:c r="E309" s="2" t="str">
        <x:v>2025Q1</x:v>
      </x:c>
      <x:c r="F309" s="20" t="n">
        <x:v>30484.4</x:v>
      </x:c>
      <x:c r="G309" s="20" t="n">
        <x:f>'Quarterly data'!$E$64</x:f>
        <x:v>30928.5333333333</x:v>
      </x:c>
      <x:c r="H309" s="22" t="n">
        <x:f>100*F309/G309</x:f>
        <x:v>98.56400131054829</x:v>
      </x:c>
      <x:c r="I309" s="24" t="n">
        <x:f>H309/100-1</x:f>
        <x:v>-0.014359986894517118</x:v>
      </x:c>
      <x:c r="J309" s="26" t="n">
        <x:v>4</x:v>
      </x:c>
      <x:c r="K309" s="7" t="b">
        <x:v>0</x:v>
      </x:c>
      <x:c r="L309" s="2" t="str">
        <x:v>Aug 10–23, 2026</x:v>
      </x:c>
      <x:c r="M309" s="2" t="str">
        <x:v>https://www.census.gov/hfp/btos/downloads/Sector.xlsx</x:v>
      </x:c>
    </x:row>
    <x:row r="310" ht="24" customHeight="1">
      <x:c r="A310" s="2" t="str">
        <x:v>Census BTOS</x:v>
      </x:c>
      <x:c r="B310" s="2" t="str">
        <x:v>Quintiles</x:v>
      </x:c>
      <x:c r="C310" s="2" t="str">
        <x:v>Q4</x:v>
      </x:c>
      <x:c r="D310" s="28" t="n">
        <x:v>45689</x:v>
      </x:c>
      <x:c r="E310" s="2" t="str">
        <x:v>2025Q1</x:v>
      </x:c>
      <x:c r="F310" s="20" t="n">
        <x:v>28081.9</x:v>
      </x:c>
      <x:c r="G310" s="20" t="n">
        <x:f>'Quarterly data'!$E$65</x:f>
        <x:v>26207.6666666667</x:v>
      </x:c>
      <x:c r="H310" s="22" t="n">
        <x:f>100*F310/G310</x:f>
        <x:v>107.15146967172441</x:v>
      </x:c>
      <x:c r="I310" s="24" t="n">
        <x:f>H310/100-1</x:f>
        <x:v>0.0715146967172442</x:v>
      </x:c>
      <x:c r="J310" s="26" t="n">
        <x:v>3</x:v>
      </x:c>
      <x:c r="K310" s="7" t="b">
        <x:v>0</x:v>
      </x:c>
      <x:c r="L310" s="2" t="str">
        <x:v>Aug 10–23, 2026</x:v>
      </x:c>
      <x:c r="M310" s="2" t="str">
        <x:v>https://www.census.gov/hfp/btos/downloads/Sector.xlsx</x:v>
      </x:c>
    </x:row>
    <x:row r="311" ht="24" customHeight="1">
      <x:c r="A311" s="2" t="str">
        <x:v>Census BTOS</x:v>
      </x:c>
      <x:c r="B311" s="2" t="str">
        <x:v>Quintiles</x:v>
      </x:c>
      <x:c r="C311" s="2" t="str">
        <x:v>Q5</x:v>
      </x:c>
      <x:c r="D311" s="28" t="n">
        <x:v>45689</x:v>
      </x:c>
      <x:c r="E311" s="2" t="str">
        <x:v>2025Q1</x:v>
      </x:c>
      <x:c r="F311" s="20" t="n">
        <x:v>24451.9</x:v>
      </x:c>
      <x:c r="G311" s="20" t="n">
        <x:f>'Quarterly data'!$E$66</x:f>
        <x:v>24267.6666666667</x:v>
      </x:c>
      <x:c r="H311" s="22" t="n">
        <x:f>100*F311/G311</x:f>
        <x:v>100.75917201214222</x:v>
      </x:c>
      <x:c r="I311" s="24" t="n">
        <x:f>H311/100-1</x:f>
        <x:v>0.007591720121422174</x:v>
      </x:c>
      <x:c r="J311" s="26" t="n">
        <x:v>4</x:v>
      </x:c>
      <x:c r="K311" s="7" t="b">
        <x:v>0</x:v>
      </x:c>
      <x:c r="L311" s="2" t="str">
        <x:v>Aug 10–23, 2026</x:v>
      </x:c>
      <x:c r="M311" s="2" t="str">
        <x:v>https://www.census.gov/hfp/btos/downloads/Sector.xlsx</x:v>
      </x:c>
    </x:row>
    <x:row r="312" ht="24" customHeight="1">
      <x:c r="A312" s="2" t="str">
        <x:v>Census BTOS</x:v>
      </x:c>
      <x:c r="B312" s="2" t="str">
        <x:v>Quintiles</x:v>
      </x:c>
      <x:c r="C312" s="2" t="str">
        <x:v>Q1</x:v>
      </x:c>
      <x:c r="D312" s="28" t="n">
        <x:v>45717</x:v>
      </x:c>
      <x:c r="E312" s="2" t="str">
        <x:v>2025Q1</x:v>
      </x:c>
      <x:c r="F312" s="20" t="n">
        <x:v>27390.3</x:v>
      </x:c>
      <x:c r="G312" s="20" t="n">
        <x:f>'Quarterly data'!$E$62</x:f>
        <x:v>26934</x:v>
      </x:c>
      <x:c r="H312" s="22" t="n">
        <x:f>100*F312/G312</x:f>
        <x:v>101.69414123412787</x:v>
      </x:c>
      <x:c r="I312" s="24" t="n">
        <x:f>H312/100-1</x:f>
        <x:v>0.016941412341278772</x:v>
      </x:c>
      <x:c r="J312" s="26" t="n">
        <x:v>4</x:v>
      </x:c>
      <x:c r="K312" s="7" t="b">
        <x:v>0</x:v>
      </x:c>
      <x:c r="L312" s="2" t="str">
        <x:v>Aug 10–23, 2026</x:v>
      </x:c>
      <x:c r="M312" s="2" t="str">
        <x:v>https://www.census.gov/hfp/btos/downloads/Sector.xlsx</x:v>
      </x:c>
    </x:row>
    <x:row r="313" ht="24" customHeight="1">
      <x:c r="A313" s="2" t="str">
        <x:v>Census BTOS</x:v>
      </x:c>
      <x:c r="B313" s="2" t="str">
        <x:v>Quintiles</x:v>
      </x:c>
      <x:c r="C313" s="2" t="str">
        <x:v>Q2</x:v>
      </x:c>
      <x:c r="D313" s="28" t="n">
        <x:v>45717</x:v>
      </x:c>
      <x:c r="E313" s="2" t="str">
        <x:v>2025Q1</x:v>
      </x:c>
      <x:c r="F313" s="20" t="n">
        <x:v>24330.9</x:v>
      </x:c>
      <x:c r="G313" s="20" t="n">
        <x:f>'Quarterly data'!$E$63</x:f>
        <x:v>24074.9666666667</x:v>
      </x:c>
      <x:c r="H313" s="22" t="n">
        <x:f>100*F313/G313</x:f>
        <x:v>101.06306827700682</x:v>
      </x:c>
      <x:c r="I313" s="24" t="n">
        <x:f>H313/100-1</x:f>
        <x:v>0.010630682770068178</x:v>
      </x:c>
      <x:c r="J313" s="26" t="n">
        <x:v>3</x:v>
      </x:c>
      <x:c r="K313" s="7" t="b">
        <x:v>0</x:v>
      </x:c>
      <x:c r="L313" s="2" t="str">
        <x:v>Aug 10–23, 2026</x:v>
      </x:c>
      <x:c r="M313" s="2" t="str">
        <x:v>https://www.census.gov/hfp/btos/downloads/Sector.xlsx</x:v>
      </x:c>
    </x:row>
    <x:row r="314" ht="24" customHeight="1">
      <x:c r="A314" s="2" t="str">
        <x:v>Census BTOS</x:v>
      </x:c>
      <x:c r="B314" s="2" t="str">
        <x:v>Quintiles</x:v>
      </x:c>
      <x:c r="C314" s="2" t="str">
        <x:v>Q3</x:v>
      </x:c>
      <x:c r="D314" s="28" t="n">
        <x:v>45717</x:v>
      </x:c>
      <x:c r="E314" s="2" t="str">
        <x:v>2025Q1</x:v>
      </x:c>
      <x:c r="F314" s="20" t="n">
        <x:v>30451.9</x:v>
      </x:c>
      <x:c r="G314" s="20" t="n">
        <x:f>'Quarterly data'!$E$64</x:f>
        <x:v>30928.5333333333</x:v>
      </x:c>
      <x:c r="H314" s="22" t="n">
        <x:f>100*F314/G314</x:f>
        <x:v>98.45892034970954</x:v>
      </x:c>
      <x:c r="I314" s="24" t="n">
        <x:f>H314/100-1</x:f>
        <x:v>-0.015410796502904556</x:v>
      </x:c>
      <x:c r="J314" s="26" t="n">
        <x:v>4</x:v>
      </x:c>
      <x:c r="K314" s="7" t="b">
        <x:v>0</x:v>
      </x:c>
      <x:c r="L314" s="2" t="str">
        <x:v>Aug 10–23, 2026</x:v>
      </x:c>
      <x:c r="M314" s="2" t="str">
        <x:v>https://www.census.gov/hfp/btos/downloads/Sector.xlsx</x:v>
      </x:c>
    </x:row>
    <x:row r="315" ht="24" customHeight="1">
      <x:c r="A315" s="2" t="str">
        <x:v>Census BTOS</x:v>
      </x:c>
      <x:c r="B315" s="2" t="str">
        <x:v>Quintiles</x:v>
      </x:c>
      <x:c r="C315" s="2" t="str">
        <x:v>Q4</x:v>
      </x:c>
      <x:c r="D315" s="28" t="n">
        <x:v>45717</x:v>
      </x:c>
      <x:c r="E315" s="2" t="str">
        <x:v>2025Q1</x:v>
      </x:c>
      <x:c r="F315" s="20" t="n">
        <x:v>28155</x:v>
      </x:c>
      <x:c r="G315" s="20" t="n">
        <x:f>'Quarterly data'!$E$65</x:f>
        <x:v>26207.6666666667</x:v>
      </x:c>
      <x:c r="H315" s="22" t="n">
        <x:f>100*F315/G315</x:f>
        <x:v>107.43039568574068</x:v>
      </x:c>
      <x:c r="I315" s="24" t="n">
        <x:f>H315/100-1</x:f>
        <x:v>0.07430395685740687</x:v>
      </x:c>
      <x:c r="J315" s="26" t="n">
        <x:v>3</x:v>
      </x:c>
      <x:c r="K315" s="7" t="b">
        <x:v>0</x:v>
      </x:c>
      <x:c r="L315" s="2" t="str">
        <x:v>Aug 10–23, 2026</x:v>
      </x:c>
      <x:c r="M315" s="2" t="str">
        <x:v>https://www.census.gov/hfp/btos/downloads/Sector.xlsx</x:v>
      </x:c>
    </x:row>
    <x:row r="316" ht="24" customHeight="1">
      <x:c r="A316" s="2" t="str">
        <x:v>Census BTOS</x:v>
      </x:c>
      <x:c r="B316" s="2" t="str">
        <x:v>Quintiles</x:v>
      </x:c>
      <x:c r="C316" s="2" t="str">
        <x:v>Q5</x:v>
      </x:c>
      <x:c r="D316" s="28" t="n">
        <x:v>45717</x:v>
      </x:c>
      <x:c r="E316" s="2" t="str">
        <x:v>2025Q1</x:v>
      </x:c>
      <x:c r="F316" s="20" t="n">
        <x:v>24447.8</x:v>
      </x:c>
      <x:c r="G316" s="20" t="n">
        <x:f>'Quarterly data'!$E$66</x:f>
        <x:v>24267.6666666667</x:v>
      </x:c>
      <x:c r="H316" s="22" t="n">
        <x:f>100*F316/G316</x:f>
        <x:v>100.74227710396535</x:v>
      </x:c>
      <x:c r="I316" s="24" t="n">
        <x:f>H316/100-1</x:f>
        <x:v>0.007422771039653497</x:v>
      </x:c>
      <x:c r="J316" s="26" t="n">
        <x:v>4</x:v>
      </x:c>
      <x:c r="K316" s="7" t="b">
        <x:v>0</x:v>
      </x:c>
      <x:c r="L316" s="2" t="str">
        <x:v>Aug 10–23, 2026</x:v>
      </x:c>
      <x:c r="M316" s="2" t="str">
        <x:v>https://www.census.gov/hfp/btos/downloads/Sector.xlsx</x:v>
      </x:c>
    </x:row>
    <x:row r="317" ht="24" customHeight="1">
      <x:c r="A317" s="2" t="str">
        <x:v>Census BTOS</x:v>
      </x:c>
      <x:c r="B317" s="2" t="str">
        <x:v>Quintiles</x:v>
      </x:c>
      <x:c r="C317" s="2" t="str">
        <x:v>Q1</x:v>
      </x:c>
      <x:c r="D317" s="28" t="n">
        <x:v>45748</x:v>
      </x:c>
      <x:c r="E317" s="2" t="str">
        <x:v>2025Q2</x:v>
      </x:c>
      <x:c r="F317" s="20" t="n">
        <x:v>27390.3</x:v>
      </x:c>
      <x:c r="G317" s="20" t="n">
        <x:f>'Quarterly data'!$E$62</x:f>
        <x:v>26934</x:v>
      </x:c>
      <x:c r="H317" s="22" t="n">
        <x:f>100*F317/G317</x:f>
        <x:v>101.69414123412787</x:v>
      </x:c>
      <x:c r="I317" s="24" t="n">
        <x:f>H317/100-1</x:f>
        <x:v>0.016941412341278772</x:v>
      </x:c>
      <x:c r="J317" s="26" t="n">
        <x:v>4</x:v>
      </x:c>
      <x:c r="K317" s="7" t="b">
        <x:v>0</x:v>
      </x:c>
      <x:c r="L317" s="2" t="str">
        <x:v>Aug 10–23, 2026</x:v>
      </x:c>
      <x:c r="M317" s="2" t="str">
        <x:v>https://www.census.gov/hfp/btos/downloads/Sector.xlsx</x:v>
      </x:c>
    </x:row>
    <x:row r="318" ht="24" customHeight="1">
      <x:c r="A318" s="2" t="str">
        <x:v>Census BTOS</x:v>
      </x:c>
      <x:c r="B318" s="2" t="str">
        <x:v>Quintiles</x:v>
      </x:c>
      <x:c r="C318" s="2" t="str">
        <x:v>Q2</x:v>
      </x:c>
      <x:c r="D318" s="28" t="n">
        <x:v>45748</x:v>
      </x:c>
      <x:c r="E318" s="2" t="str">
        <x:v>2025Q2</x:v>
      </x:c>
      <x:c r="F318" s="20" t="n">
        <x:v>24331.7</x:v>
      </x:c>
      <x:c r="G318" s="20" t="n">
        <x:f>'Quarterly data'!$E$63</x:f>
        <x:v>24074.9666666667</x:v>
      </x:c>
      <x:c r="H318" s="22" t="n">
        <x:f>100*F318/G318</x:f>
        <x:v>101.066391230725</x:v>
      </x:c>
      <x:c r="I318" s="24" t="n">
        <x:f>H318/100-1</x:f>
        <x:v>0.010663912307250056</x:v>
      </x:c>
      <x:c r="J318" s="26" t="n">
        <x:v>3</x:v>
      </x:c>
      <x:c r="K318" s="7" t="b">
        <x:v>0</x:v>
      </x:c>
      <x:c r="L318" s="2" t="str">
        <x:v>Aug 10–23, 2026</x:v>
      </x:c>
      <x:c r="M318" s="2" t="str">
        <x:v>https://www.census.gov/hfp/btos/downloads/Sector.xlsx</x:v>
      </x:c>
    </x:row>
    <x:row r="319" ht="24" customHeight="1">
      <x:c r="A319" s="2" t="str">
        <x:v>Census BTOS</x:v>
      </x:c>
      <x:c r="B319" s="2" t="str">
        <x:v>Quintiles</x:v>
      </x:c>
      <x:c r="C319" s="2" t="str">
        <x:v>Q3</x:v>
      </x:c>
      <x:c r="D319" s="28" t="n">
        <x:v>45748</x:v>
      </x:c>
      <x:c r="E319" s="2" t="str">
        <x:v>2025Q2</x:v>
      </x:c>
      <x:c r="F319" s="20" t="n">
        <x:v>30456.5</x:v>
      </x:c>
      <x:c r="G319" s="20" t="n">
        <x:f>'Quarterly data'!$E$64</x:f>
        <x:v>30928.5333333333</x:v>
      </x:c>
      <x:c r="H319" s="22" t="n">
        <x:f>100*F319/G319</x:f>
        <x:v>98.47379334724364</x:v>
      </x:c>
      <x:c r="I319" s="24" t="n">
        <x:f>H319/100-1</x:f>
        <x:v>-0.015262066527563567</x:v>
      </x:c>
      <x:c r="J319" s="26" t="n">
        <x:v>4</x:v>
      </x:c>
      <x:c r="K319" s="7" t="b">
        <x:v>0</x:v>
      </x:c>
      <x:c r="L319" s="2" t="str">
        <x:v>Aug 10–23, 2026</x:v>
      </x:c>
      <x:c r="M319" s="2" t="str">
        <x:v>https://www.census.gov/hfp/btos/downloads/Sector.xlsx</x:v>
      </x:c>
    </x:row>
    <x:row r="320" ht="24" customHeight="1">
      <x:c r="A320" s="2" t="str">
        <x:v>Census BTOS</x:v>
      </x:c>
      <x:c r="B320" s="2" t="str">
        <x:v>Quintiles</x:v>
      </x:c>
      <x:c r="C320" s="2" t="str">
        <x:v>Q4</x:v>
      </x:c>
      <x:c r="D320" s="28" t="n">
        <x:v>45748</x:v>
      </x:c>
      <x:c r="E320" s="2" t="str">
        <x:v>2025Q2</x:v>
      </x:c>
      <x:c r="F320" s="20" t="n">
        <x:v>28240.2</x:v>
      </x:c>
      <x:c r="G320" s="20" t="n">
        <x:f>'Quarterly data'!$E$65</x:f>
        <x:v>26207.6666666667</x:v>
      </x:c>
      <x:c r="H320" s="22" t="n">
        <x:f>100*F320/G320</x:f>
        <x:v>107.75549139564744</x:v>
      </x:c>
      <x:c r="I320" s="24" t="n">
        <x:f>H320/100-1</x:f>
        <x:v>0.0775549139564744</x:v>
      </x:c>
      <x:c r="J320" s="26" t="n">
        <x:v>3</x:v>
      </x:c>
      <x:c r="K320" s="7" t="b">
        <x:v>0</x:v>
      </x:c>
      <x:c r="L320" s="2" t="str">
        <x:v>Aug 10–23, 2026</x:v>
      </x:c>
      <x:c r="M320" s="2" t="str">
        <x:v>https://www.census.gov/hfp/btos/downloads/Sector.xlsx</x:v>
      </x:c>
    </x:row>
    <x:row r="321" ht="24" customHeight="1">
      <x:c r="A321" s="2" t="str">
        <x:v>Census BTOS</x:v>
      </x:c>
      <x:c r="B321" s="2" t="str">
        <x:v>Quintiles</x:v>
      </x:c>
      <x:c r="C321" s="2" t="str">
        <x:v>Q5</x:v>
      </x:c>
      <x:c r="D321" s="28" t="n">
        <x:v>45748</x:v>
      </x:c>
      <x:c r="E321" s="2" t="str">
        <x:v>2025Q2</x:v>
      </x:c>
      <x:c r="F321" s="20" t="n">
        <x:v>24455.6</x:v>
      </x:c>
      <x:c r="G321" s="20" t="n">
        <x:f>'Quarterly data'!$E$66</x:f>
        <x:v>24267.6666666667</x:v>
      </x:c>
      <x:c r="H321" s="22" t="n">
        <x:f>100*F321/G321</x:f>
        <x:v>100.7744186365945</x:v>
      </x:c>
      <x:c r="I321" s="24" t="n">
        <x:f>H321/100-1</x:f>
        <x:v>0.007744186365945094</x:v>
      </x:c>
      <x:c r="J321" s="26" t="n">
        <x:v>4</x:v>
      </x:c>
      <x:c r="K321" s="7" t="b">
        <x:v>0</x:v>
      </x:c>
      <x:c r="L321" s="2" t="str">
        <x:v>Aug 10–23, 2026</x:v>
      </x:c>
      <x:c r="M321" s="2" t="str">
        <x:v>https://www.census.gov/hfp/btos/downloads/Sector.xlsx</x:v>
      </x:c>
    </x:row>
    <x:row r="322" ht="24" customHeight="1">
      <x:c r="A322" s="2" t="str">
        <x:v>Census BTOS</x:v>
      </x:c>
      <x:c r="B322" s="2" t="str">
        <x:v>Quintiles</x:v>
      </x:c>
      <x:c r="C322" s="2" t="str">
        <x:v>Q1</x:v>
      </x:c>
      <x:c r="D322" s="28" t="n">
        <x:v>45778</x:v>
      </x:c>
      <x:c r="E322" s="2" t="str">
        <x:v>2025Q2</x:v>
      </x:c>
      <x:c r="F322" s="20" t="n">
        <x:v>27384.4</x:v>
      </x:c>
      <x:c r="G322" s="20" t="n">
        <x:f>'Quarterly data'!$E$62</x:f>
        <x:v>26934</x:v>
      </x:c>
      <x:c r="H322" s="22" t="n">
        <x:f>100*F322/G322</x:f>
        <x:v>101.67223583574663</x:v>
      </x:c>
      <x:c r="I322" s="24" t="n">
        <x:f>H322/100-1</x:f>
        <x:v>0.01672235835746627</x:v>
      </x:c>
      <x:c r="J322" s="26" t="n">
        <x:v>4</x:v>
      </x:c>
      <x:c r="K322" s="7" t="b">
        <x:v>0</x:v>
      </x:c>
      <x:c r="L322" s="2" t="str">
        <x:v>Aug 10–23, 2026</x:v>
      </x:c>
      <x:c r="M322" s="2" t="str">
        <x:v>https://www.census.gov/hfp/btos/downloads/Sector.xlsx</x:v>
      </x:c>
    </x:row>
    <x:row r="323" ht="24" customHeight="1">
      <x:c r="A323" s="2" t="str">
        <x:v>Census BTOS</x:v>
      </x:c>
      <x:c r="B323" s="2" t="str">
        <x:v>Quintiles</x:v>
      </x:c>
      <x:c r="C323" s="2" t="str">
        <x:v>Q2</x:v>
      </x:c>
      <x:c r="D323" s="28" t="n">
        <x:v>45778</x:v>
      </x:c>
      <x:c r="E323" s="2" t="str">
        <x:v>2025Q2</x:v>
      </x:c>
      <x:c r="F323" s="20" t="n">
        <x:v>24310.7</x:v>
      </x:c>
      <x:c r="G323" s="20" t="n">
        <x:f>'Quarterly data'!$E$63</x:f>
        <x:v>24074.9666666667</x:v>
      </x:c>
      <x:c r="H323" s="22" t="n">
        <x:f>100*F323/G323</x:f>
        <x:v>100.97916369562284</x:v>
      </x:c>
      <x:c r="I323" s="24" t="n">
        <x:f>H323/100-1</x:f>
        <x:v>0.009791636956228533</x:v>
      </x:c>
      <x:c r="J323" s="26" t="n">
        <x:v>3</x:v>
      </x:c>
      <x:c r="K323" s="7" t="b">
        <x:v>0</x:v>
      </x:c>
      <x:c r="L323" s="2" t="str">
        <x:v>Aug 10–23, 2026</x:v>
      </x:c>
      <x:c r="M323" s="2" t="str">
        <x:v>https://www.census.gov/hfp/btos/downloads/Sector.xlsx</x:v>
      </x:c>
    </x:row>
    <x:row r="324" ht="24" customHeight="1">
      <x:c r="A324" s="2" t="str">
        <x:v>Census BTOS</x:v>
      </x:c>
      <x:c r="B324" s="2" t="str">
        <x:v>Quintiles</x:v>
      </x:c>
      <x:c r="C324" s="2" t="str">
        <x:v>Q3</x:v>
      </x:c>
      <x:c r="D324" s="28" t="n">
        <x:v>45778</x:v>
      </x:c>
      <x:c r="E324" s="2" t="str">
        <x:v>2025Q2</x:v>
      </x:c>
      <x:c r="F324" s="20" t="n">
        <x:v>30440.3</x:v>
      </x:c>
      <x:c r="G324" s="20" t="n">
        <x:f>'Quarterly data'!$E$64</x:f>
        <x:v>30928.5333333333</x:v>
      </x:c>
      <x:c r="H324" s="22" t="n">
        <x:f>100*F324/G324</x:f>
        <x:v>98.42141452984094</x:v>
      </x:c>
      <x:c r="I324" s="24" t="n">
        <x:f>H324/100-1</x:f>
        <x:v>-0.01578585470159055</x:v>
      </x:c>
      <x:c r="J324" s="26" t="n">
        <x:v>4</x:v>
      </x:c>
      <x:c r="K324" s="7" t="b">
        <x:v>0</x:v>
      </x:c>
      <x:c r="L324" s="2" t="str">
        <x:v>Aug 10–23, 2026</x:v>
      </x:c>
      <x:c r="M324" s="2" t="str">
        <x:v>https://www.census.gov/hfp/btos/downloads/Sector.xlsx</x:v>
      </x:c>
    </x:row>
    <x:row r="325" ht="24" customHeight="1">
      <x:c r="A325" s="2" t="str">
        <x:v>Census BTOS</x:v>
      </x:c>
      <x:c r="B325" s="2" t="str">
        <x:v>Quintiles</x:v>
      </x:c>
      <x:c r="C325" s="2" t="str">
        <x:v>Q4</x:v>
      </x:c>
      <x:c r="D325" s="28" t="n">
        <x:v>45778</x:v>
      </x:c>
      <x:c r="E325" s="2" t="str">
        <x:v>2025Q2</x:v>
      </x:c>
      <x:c r="F325" s="20" t="n">
        <x:v>28308.1</x:v>
      </x:c>
      <x:c r="G325" s="20" t="n">
        <x:f>'Quarterly data'!$E$65</x:f>
        <x:v>26207.6666666667</x:v>
      </x:c>
      <x:c r="H325" s="22" t="n">
        <x:f>100*F325/G325</x:f>
        <x:v>108.01457588746281</x:v>
      </x:c>
      <x:c r="I325" s="24" t="n">
        <x:f>H325/100-1</x:f>
        <x:v>0.08014575887462816</x:v>
      </x:c>
      <x:c r="J325" s="26" t="n">
        <x:v>3</x:v>
      </x:c>
      <x:c r="K325" s="7" t="b">
        <x:v>0</x:v>
      </x:c>
      <x:c r="L325" s="2" t="str">
        <x:v>Aug 10–23, 2026</x:v>
      </x:c>
      <x:c r="M325" s="2" t="str">
        <x:v>https://www.census.gov/hfp/btos/downloads/Sector.xlsx</x:v>
      </x:c>
    </x:row>
    <x:row r="326" ht="24" customHeight="1">
      <x:c r="A326" s="2" t="str">
        <x:v>Census BTOS</x:v>
      </x:c>
      <x:c r="B326" s="2" t="str">
        <x:v>Quintiles</x:v>
      </x:c>
      <x:c r="C326" s="2" t="str">
        <x:v>Q5</x:v>
      </x:c>
      <x:c r="D326" s="28" t="n">
        <x:v>45778</x:v>
      </x:c>
      <x:c r="E326" s="2" t="str">
        <x:v>2025Q2</x:v>
      </x:c>
      <x:c r="F326" s="20" t="n">
        <x:v>24451.4</x:v>
      </x:c>
      <x:c r="G326" s="20" t="n">
        <x:f>'Quarterly data'!$E$66</x:f>
        <x:v>24267.6666666667</x:v>
      </x:c>
      <x:c r="H326" s="22" t="n">
        <x:f>100*F326/G326</x:f>
        <x:v>100.7571116574865</x:v>
      </x:c>
      <x:c r="I326" s="24" t="n">
        <x:f>H326/100-1</x:f>
        <x:v>0.007571116574865089</x:v>
      </x:c>
      <x:c r="J326" s="26" t="n">
        <x:v>4</x:v>
      </x:c>
      <x:c r="K326" s="7" t="b">
        <x:v>0</x:v>
      </x:c>
      <x:c r="L326" s="2" t="str">
        <x:v>Aug 10–23, 2026</x:v>
      </x:c>
      <x:c r="M326" s="2" t="str">
        <x:v>https://www.census.gov/hfp/btos/downloads/Sector.xlsx</x:v>
      </x:c>
    </x:row>
    <x:row r="327" ht="24" customHeight="1">
      <x:c r="A327" s="2" t="str">
        <x:v>Census BTOS</x:v>
      </x:c>
      <x:c r="B327" s="2" t="str">
        <x:v>Quintiles</x:v>
      </x:c>
      <x:c r="C327" s="2" t="str">
        <x:v>Q1</x:v>
      </x:c>
      <x:c r="D327" s="28" t="n">
        <x:v>45809</x:v>
      </x:c>
      <x:c r="E327" s="2" t="str">
        <x:v>2025Q2</x:v>
      </x:c>
      <x:c r="F327" s="20" t="n">
        <x:v>27361.2</x:v>
      </x:c>
      <x:c r="G327" s="20" t="n">
        <x:f>'Quarterly data'!$E$62</x:f>
        <x:v>26934</x:v>
      </x:c>
      <x:c r="H327" s="22" t="n">
        <x:f>100*F327/G327</x:f>
        <x:v>101.58609935397638</x:v>
      </x:c>
      <x:c r="I327" s="24" t="n">
        <x:f>H327/100-1</x:f>
        <x:v>0.01586099353976378</x:v>
      </x:c>
      <x:c r="J327" s="26" t="n">
        <x:v>4</x:v>
      </x:c>
      <x:c r="K327" s="7" t="b">
        <x:v>0</x:v>
      </x:c>
      <x:c r="L327" s="2" t="str">
        <x:v>Aug 10–23, 2026</x:v>
      </x:c>
      <x:c r="M327" s="2" t="str">
        <x:v>https://www.census.gov/hfp/btos/downloads/Sector.xlsx</x:v>
      </x:c>
    </x:row>
    <x:row r="328" ht="24" customHeight="1">
      <x:c r="A328" s="2" t="str">
        <x:v>Census BTOS</x:v>
      </x:c>
      <x:c r="B328" s="2" t="str">
        <x:v>Quintiles</x:v>
      </x:c>
      <x:c r="C328" s="2" t="str">
        <x:v>Q2</x:v>
      </x:c>
      <x:c r="D328" s="28" t="n">
        <x:v>45809</x:v>
      </x:c>
      <x:c r="E328" s="2" t="str">
        <x:v>2025Q2</x:v>
      </x:c>
      <x:c r="F328" s="20" t="n">
        <x:v>24294.7</x:v>
      </x:c>
      <x:c r="G328" s="20" t="n">
        <x:f>'Quarterly data'!$E$63</x:f>
        <x:v>24074.9666666667</x:v>
      </x:c>
      <x:c r="H328" s="22" t="n">
        <x:f>100*F328/G328</x:f>
        <x:v>100.9127046212593</x:v>
      </x:c>
      <x:c r="I328" s="24" t="n">
        <x:f>H328/100-1</x:f>
        <x:v>0.00912704621259297</x:v>
      </x:c>
      <x:c r="J328" s="26" t="n">
        <x:v>3</x:v>
      </x:c>
      <x:c r="K328" s="7" t="b">
        <x:v>0</x:v>
      </x:c>
      <x:c r="L328" s="2" t="str">
        <x:v>Aug 10–23, 2026</x:v>
      </x:c>
      <x:c r="M328" s="2" t="str">
        <x:v>https://www.census.gov/hfp/btos/downloads/Sector.xlsx</x:v>
      </x:c>
    </x:row>
    <x:row r="329" ht="24" customHeight="1">
      <x:c r="A329" s="2" t="str">
        <x:v>Census BTOS</x:v>
      </x:c>
      <x:c r="B329" s="2" t="str">
        <x:v>Quintiles</x:v>
      </x:c>
      <x:c r="C329" s="2" t="str">
        <x:v>Q3</x:v>
      </x:c>
      <x:c r="D329" s="28" t="n">
        <x:v>45809</x:v>
      </x:c>
      <x:c r="E329" s="2" t="str">
        <x:v>2025Q2</x:v>
      </x:c>
      <x:c r="F329" s="20" t="n">
        <x:v>30408.1</x:v>
      </x:c>
      <x:c r="G329" s="20" t="n">
        <x:f>'Quarterly data'!$E$64</x:f>
        <x:v>30928.5333333333</x:v>
      </x:c>
      <x:c r="H329" s="22" t="n">
        <x:f>100*F329/G329</x:f>
        <x:v>98.31730354710224</x:v>
      </x:c>
      <x:c r="I329" s="24" t="n">
        <x:f>H329/100-1</x:f>
        <x:v>-0.016826964528977584</x:v>
      </x:c>
      <x:c r="J329" s="26" t="n">
        <x:v>4</x:v>
      </x:c>
      <x:c r="K329" s="7" t="b">
        <x:v>0</x:v>
      </x:c>
      <x:c r="L329" s="2" t="str">
        <x:v>Aug 10–23, 2026</x:v>
      </x:c>
      <x:c r="M329" s="2" t="str">
        <x:v>https://www.census.gov/hfp/btos/downloads/Sector.xlsx</x:v>
      </x:c>
    </x:row>
    <x:row r="330" ht="24" customHeight="1">
      <x:c r="A330" s="2" t="str">
        <x:v>Census BTOS</x:v>
      </x:c>
      <x:c r="B330" s="2" t="str">
        <x:v>Quintiles</x:v>
      </x:c>
      <x:c r="C330" s="2" t="str">
        <x:v>Q4</x:v>
      </x:c>
      <x:c r="D330" s="28" t="n">
        <x:v>45809</x:v>
      </x:c>
      <x:c r="E330" s="2" t="str">
        <x:v>2025Q2</x:v>
      </x:c>
      <x:c r="F330" s="20" t="n">
        <x:v>28365.8</x:v>
      </x:c>
      <x:c r="G330" s="20" t="n">
        <x:f>'Quarterly data'!$E$65</x:f>
        <x:v>26207.6666666667</x:v>
      </x:c>
      <x:c r="H330" s="22" t="n">
        <x:f>100*F330/G330</x:f>
        <x:v>108.23474047034568</x:v>
      </x:c>
      <x:c r="I330" s="24" t="n">
        <x:f>H330/100-1</x:f>
        <x:v>0.08234740470345692</x:v>
      </x:c>
      <x:c r="J330" s="26" t="n">
        <x:v>3</x:v>
      </x:c>
      <x:c r="K330" s="7" t="b">
        <x:v>0</x:v>
      </x:c>
      <x:c r="L330" s="2" t="str">
        <x:v>Aug 10–23, 2026</x:v>
      </x:c>
      <x:c r="M330" s="2" t="str">
        <x:v>https://www.census.gov/hfp/btos/downloads/Sector.xlsx</x:v>
      </x:c>
    </x:row>
    <x:row r="331" ht="24" customHeight="1">
      <x:c r="A331" s="2" t="str">
        <x:v>Census BTOS</x:v>
      </x:c>
      <x:c r="B331" s="2" t="str">
        <x:v>Quintiles</x:v>
      </x:c>
      <x:c r="C331" s="2" t="str">
        <x:v>Q5</x:v>
      </x:c>
      <x:c r="D331" s="28" t="n">
        <x:v>45809</x:v>
      </x:c>
      <x:c r="E331" s="2" t="str">
        <x:v>2025Q2</x:v>
      </x:c>
      <x:c r="F331" s="20" t="n">
        <x:v>24420.2</x:v>
      </x:c>
      <x:c r="G331" s="20" t="n">
        <x:f>'Quarterly data'!$E$66</x:f>
        <x:v>24267.6666666667</x:v>
      </x:c>
      <x:c r="H331" s="22" t="n">
        <x:f>100*F331/G331</x:f>
        <x:v>100.6285455269699</x:v>
      </x:c>
      <x:c r="I331" s="24" t="n">
        <x:f>H331/100-1</x:f>
        <x:v>0.006285455269698925</x:v>
      </x:c>
      <x:c r="J331" s="26" t="n">
        <x:v>4</x:v>
      </x:c>
      <x:c r="K331" s="7" t="b">
        <x:v>0</x:v>
      </x:c>
      <x:c r="L331" s="2" t="str">
        <x:v>Aug 10–23, 2026</x:v>
      </x:c>
      <x:c r="M331" s="2" t="str">
        <x:v>https://www.census.gov/hfp/btos/downloads/Sector.xlsx</x:v>
      </x:c>
    </x:row>
    <x:row r="332" ht="24" customHeight="1">
      <x:c r="A332" s="2" t="str">
        <x:v>Census BTOS</x:v>
      </x:c>
      <x:c r="B332" s="2" t="str">
        <x:v>Quintiles</x:v>
      </x:c>
      <x:c r="C332" s="2" t="str">
        <x:v>Q1</x:v>
      </x:c>
      <x:c r="D332" s="28" t="n">
        <x:v>45839</x:v>
      </x:c>
      <x:c r="E332" s="2" t="str">
        <x:v>2025Q3</x:v>
      </x:c>
      <x:c r="F332" s="20" t="n">
        <x:v>27370.5</x:v>
      </x:c>
      <x:c r="G332" s="20" t="n">
        <x:f>'Quarterly data'!$E$62</x:f>
        <x:v>26934</x:v>
      </x:c>
      <x:c r="H332" s="22" t="n">
        <x:f>100*F332/G332</x:f>
        <x:v>101.62062820227221</x:v>
      </x:c>
      <x:c r="I332" s="24" t="n">
        <x:f>H332/100-1</x:f>
        <x:v>0.01620628202272223</x:v>
      </x:c>
      <x:c r="J332" s="26" t="n">
        <x:v>4</x:v>
      </x:c>
      <x:c r="K332" s="7" t="b">
        <x:v>0</x:v>
      </x:c>
      <x:c r="L332" s="2" t="str">
        <x:v>Aug 10–23, 2026</x:v>
      </x:c>
      <x:c r="M332" s="2" t="str">
        <x:v>https://www.census.gov/hfp/btos/downloads/Sector.xlsx</x:v>
      </x:c>
    </x:row>
    <x:row r="333" ht="24" customHeight="1">
      <x:c r="A333" s="2" t="str">
        <x:v>Census BTOS</x:v>
      </x:c>
      <x:c r="B333" s="2" t="str">
        <x:v>Quintiles</x:v>
      </x:c>
      <x:c r="C333" s="2" t="str">
        <x:v>Q2</x:v>
      </x:c>
      <x:c r="D333" s="28" t="n">
        <x:v>45839</x:v>
      </x:c>
      <x:c r="E333" s="2" t="str">
        <x:v>2025Q3</x:v>
      </x:c>
      <x:c r="F333" s="20" t="n">
        <x:v>24293.8</x:v>
      </x:c>
      <x:c r="G333" s="20" t="n">
        <x:f>'Quarterly data'!$E$63</x:f>
        <x:v>24074.9666666667</x:v>
      </x:c>
      <x:c r="H333" s="22" t="n">
        <x:f>100*F333/G333</x:f>
        <x:v>100.90896629832633</x:v>
      </x:c>
      <x:c r="I333" s="24" t="n">
        <x:f>H333/100-1</x:f>
        <x:v>0.009089662983263302</x:v>
      </x:c>
      <x:c r="J333" s="26" t="n">
        <x:v>3</x:v>
      </x:c>
      <x:c r="K333" s="7" t="b">
        <x:v>0</x:v>
      </x:c>
      <x:c r="L333" s="2" t="str">
        <x:v>Aug 10–23, 2026</x:v>
      </x:c>
      <x:c r="M333" s="2" t="str">
        <x:v>https://www.census.gov/hfp/btos/downloads/Sector.xlsx</x:v>
      </x:c>
    </x:row>
    <x:row r="334" ht="24" customHeight="1">
      <x:c r="A334" s="2" t="str">
        <x:v>Census BTOS</x:v>
      </x:c>
      <x:c r="B334" s="2" t="str">
        <x:v>Quintiles</x:v>
      </x:c>
      <x:c r="C334" s="2" t="str">
        <x:v>Q3</x:v>
      </x:c>
      <x:c r="D334" s="28" t="n">
        <x:v>45839</x:v>
      </x:c>
      <x:c r="E334" s="2" t="str">
        <x:v>2025Q3</x:v>
      </x:c>
      <x:c r="F334" s="20" t="n">
        <x:v>30377.2</x:v>
      </x:c>
      <x:c r="G334" s="20" t="n">
        <x:f>'Quarterly data'!$E$64</x:f>
        <x:v>30928.5333333333</x:v>
      </x:c>
      <x:c r="H334" s="22" t="n">
        <x:f>100*F334/G334</x:f>
        <x:v>98.21739580279709</x:v>
      </x:c>
      <x:c r="I334" s="24" t="n">
        <x:f>H334/100-1</x:f>
        <x:v>-0.017826041972029194</x:v>
      </x:c>
      <x:c r="J334" s="26" t="n">
        <x:v>4</x:v>
      </x:c>
      <x:c r="K334" s="7" t="b">
        <x:v>0</x:v>
      </x:c>
      <x:c r="L334" s="2" t="str">
        <x:v>Aug 10–23, 2026</x:v>
      </x:c>
      <x:c r="M334" s="2" t="str">
        <x:v>https://www.census.gov/hfp/btos/downloads/Sector.xlsx</x:v>
      </x:c>
    </x:row>
    <x:row r="335" ht="24" customHeight="1">
      <x:c r="A335" s="2" t="str">
        <x:v>Census BTOS</x:v>
      </x:c>
      <x:c r="B335" s="2" t="str">
        <x:v>Quintiles</x:v>
      </x:c>
      <x:c r="C335" s="2" t="str">
        <x:v>Q4</x:v>
      </x:c>
      <x:c r="D335" s="28" t="n">
        <x:v>45839</x:v>
      </x:c>
      <x:c r="E335" s="2" t="str">
        <x:v>2025Q3</x:v>
      </x:c>
      <x:c r="F335" s="20" t="n">
        <x:v>28441.6</x:v>
      </x:c>
      <x:c r="G335" s="20" t="n">
        <x:f>'Quarterly data'!$E$65</x:f>
        <x:v>26207.6666666667</x:v>
      </x:c>
      <x:c r="H335" s="22" t="n">
        <x:f>100*F335/G335</x:f>
        <x:v>108.52396881319702</x:v>
      </x:c>
      <x:c r="I335" s="24" t="n">
        <x:f>H335/100-1</x:f>
        <x:v>0.08523968813197014</x:v>
      </x:c>
      <x:c r="J335" s="26" t="n">
        <x:v>3</x:v>
      </x:c>
      <x:c r="K335" s="7" t="b">
        <x:v>0</x:v>
      </x:c>
      <x:c r="L335" s="2" t="str">
        <x:v>Aug 10–23, 2026</x:v>
      </x:c>
      <x:c r="M335" s="2" t="str">
        <x:v>https://www.census.gov/hfp/btos/downloads/Sector.xlsx</x:v>
      </x:c>
    </x:row>
    <x:row r="336" ht="24" customHeight="1">
      <x:c r="A336" s="2" t="str">
        <x:v>Census BTOS</x:v>
      </x:c>
      <x:c r="B336" s="2" t="str">
        <x:v>Quintiles</x:v>
      </x:c>
      <x:c r="C336" s="2" t="str">
        <x:v>Q5</x:v>
      </x:c>
      <x:c r="D336" s="28" t="n">
        <x:v>45839</x:v>
      </x:c>
      <x:c r="E336" s="2" t="str">
        <x:v>2025Q3</x:v>
      </x:c>
      <x:c r="F336" s="20" t="n">
        <x:v>24432.8</x:v>
      </x:c>
      <x:c r="G336" s="20" t="n">
        <x:f>'Quarterly data'!$E$66</x:f>
        <x:v>24267.6666666667</x:v>
      </x:c>
      <x:c r="H336" s="22" t="n">
        <x:f>100*F336/G336</x:f>
        <x:v>100.68046646429391</x:v>
      </x:c>
      <x:c r="I336" s="24" t="n">
        <x:f>H336/100-1</x:f>
        <x:v>0.006804664642939162</x:v>
      </x:c>
      <x:c r="J336" s="26" t="n">
        <x:v>4</x:v>
      </x:c>
      <x:c r="K336" s="7" t="b">
        <x:v>0</x:v>
      </x:c>
      <x:c r="L336" s="2" t="str">
        <x:v>Aug 10–23, 2026</x:v>
      </x:c>
      <x:c r="M336" s="2" t="str">
        <x:v>https://www.census.gov/hfp/btos/downloads/Sector.xlsx</x:v>
      </x:c>
    </x:row>
    <x:row r="337" ht="24" customHeight="1">
      <x:c r="A337" s="2" t="str">
        <x:v>Census BTOS</x:v>
      </x:c>
      <x:c r="B337" s="2" t="str">
        <x:v>Quintiles</x:v>
      </x:c>
      <x:c r="C337" s="2" t="str">
        <x:v>Q1</x:v>
      </x:c>
      <x:c r="D337" s="28" t="n">
        <x:v>45870</x:v>
      </x:c>
      <x:c r="E337" s="2" t="str">
        <x:v>2025Q3</x:v>
      </x:c>
      <x:c r="F337" s="20" t="n">
        <x:v>27401.9</x:v>
      </x:c>
      <x:c r="G337" s="20" t="n">
        <x:f>'Quarterly data'!$E$62</x:f>
        <x:v>26934</x:v>
      </x:c>
      <x:c r="H337" s="22" t="n">
        <x:f>100*F337/G337</x:f>
        <x:v>101.73720947501299</x:v>
      </x:c>
      <x:c r="I337" s="24" t="n">
        <x:f>H337/100-1</x:f>
        <x:v>0.017372094750129907</x:v>
      </x:c>
      <x:c r="J337" s="26" t="n">
        <x:v>4</x:v>
      </x:c>
      <x:c r="K337" s="7" t="b">
        <x:v>0</x:v>
      </x:c>
      <x:c r="L337" s="2" t="str">
        <x:v>Aug 10–23, 2026</x:v>
      </x:c>
      <x:c r="M337" s="2" t="str">
        <x:v>https://www.census.gov/hfp/btos/downloads/Sector.xlsx</x:v>
      </x:c>
    </x:row>
    <x:row r="338" ht="24" customHeight="1">
      <x:c r="A338" s="2" t="str">
        <x:v>Census BTOS</x:v>
      </x:c>
      <x:c r="B338" s="2" t="str">
        <x:v>Quintiles</x:v>
      </x:c>
      <x:c r="C338" s="2" t="str">
        <x:v>Q2</x:v>
      </x:c>
      <x:c r="D338" s="28" t="n">
        <x:v>45870</x:v>
      </x:c>
      <x:c r="E338" s="2" t="str">
        <x:v>2025Q3</x:v>
      </x:c>
      <x:c r="F338" s="20" t="n">
        <x:v>24280.7</x:v>
      </x:c>
      <x:c r="G338" s="20" t="n">
        <x:f>'Quarterly data'!$E$63</x:f>
        <x:v>24074.9666666667</x:v>
      </x:c>
      <x:c r="H338" s="22" t="n">
        <x:f>100*F338/G338</x:f>
        <x:v>100.85455293119118</x:v>
      </x:c>
      <x:c r="I338" s="24" t="n">
        <x:f>H338/100-1</x:f>
        <x:v>0.008545529311911881</x:v>
      </x:c>
      <x:c r="J338" s="26" t="n">
        <x:v>3</x:v>
      </x:c>
      <x:c r="K338" s="7" t="b">
        <x:v>0</x:v>
      </x:c>
      <x:c r="L338" s="2" t="str">
        <x:v>Aug 10–23, 2026</x:v>
      </x:c>
      <x:c r="M338" s="2" t="str">
        <x:v>https://www.census.gov/hfp/btos/downloads/Sector.xlsx</x:v>
      </x:c>
    </x:row>
    <x:row r="339" ht="24" customHeight="1">
      <x:c r="A339" s="2" t="str">
        <x:v>Census BTOS</x:v>
      </x:c>
      <x:c r="B339" s="2" t="str">
        <x:v>Quintiles</x:v>
      </x:c>
      <x:c r="C339" s="2" t="str">
        <x:v>Q3</x:v>
      </x:c>
      <x:c r="D339" s="28" t="n">
        <x:v>45870</x:v>
      </x:c>
      <x:c r="E339" s="2" t="str">
        <x:v>2025Q3</x:v>
      </x:c>
      <x:c r="F339" s="20" t="n">
        <x:v>30342.5</x:v>
      </x:c>
      <x:c r="G339" s="20" t="n">
        <x:f>'Quarterly data'!$E$64</x:f>
        <x:v>30928.5333333333</x:v>
      </x:c>
      <x:c r="H339" s="22" t="n">
        <x:f>100*F339/G339</x:f>
        <x:v>98.10520166922464</x:v>
      </x:c>
      <x:c r="I339" s="24" t="n">
        <x:f>H339/100-1</x:f>
        <x:v>-0.018947983307753602</x:v>
      </x:c>
      <x:c r="J339" s="26" t="n">
        <x:v>4</x:v>
      </x:c>
      <x:c r="K339" s="7" t="b">
        <x:v>0</x:v>
      </x:c>
      <x:c r="L339" s="2" t="str">
        <x:v>Aug 10–23, 2026</x:v>
      </x:c>
      <x:c r="M339" s="2" t="str">
        <x:v>https://www.census.gov/hfp/btos/downloads/Sector.xlsx</x:v>
      </x:c>
    </x:row>
    <x:row r="340" ht="24" customHeight="1">
      <x:c r="A340" s="2" t="str">
        <x:v>Census BTOS</x:v>
      </x:c>
      <x:c r="B340" s="2" t="str">
        <x:v>Quintiles</x:v>
      </x:c>
      <x:c r="C340" s="2" t="str">
        <x:v>Q4</x:v>
      </x:c>
      <x:c r="D340" s="28" t="n">
        <x:v>45870</x:v>
      </x:c>
      <x:c r="E340" s="2" t="str">
        <x:v>2025Q3</x:v>
      </x:c>
      <x:c r="F340" s="20" t="n">
        <x:v>28460.2</x:v>
      </x:c>
      <x:c r="G340" s="20" t="n">
        <x:f>'Quarterly data'!$E$65</x:f>
        <x:v>26207.6666666667</x:v>
      </x:c>
      <x:c r="H340" s="22" t="n">
        <x:f>100*F340/G340</x:f>
        <x:v>108.59494041183864</x:v>
      </x:c>
      <x:c r="I340" s="24" t="n">
        <x:f>H340/100-1</x:f>
        <x:v>0.08594940411838636</x:v>
      </x:c>
      <x:c r="J340" s="26" t="n">
        <x:v>3</x:v>
      </x:c>
      <x:c r="K340" s="7" t="b">
        <x:v>0</x:v>
      </x:c>
      <x:c r="L340" s="2" t="str">
        <x:v>Aug 10–23, 2026</x:v>
      </x:c>
      <x:c r="M340" s="2" t="str">
        <x:v>https://www.census.gov/hfp/btos/downloads/Sector.xlsx</x:v>
      </x:c>
    </x:row>
    <x:row r="341" ht="24" customHeight="1">
      <x:c r="A341" s="2" t="str">
        <x:v>Census BTOS</x:v>
      </x:c>
      <x:c r="B341" s="2" t="str">
        <x:v>Quintiles</x:v>
      </x:c>
      <x:c r="C341" s="2" t="str">
        <x:v>Q5</x:v>
      </x:c>
      <x:c r="D341" s="28" t="n">
        <x:v>45870</x:v>
      </x:c>
      <x:c r="E341" s="2" t="str">
        <x:v>2025Q3</x:v>
      </x:c>
      <x:c r="F341" s="20" t="n">
        <x:v>24411.3</x:v>
      </x:c>
      <x:c r="G341" s="20" t="n">
        <x:f>'Quarterly data'!$E$66</x:f>
        <x:v>24267.6666666667</x:v>
      </x:c>
      <x:c r="H341" s="22" t="n">
        <x:f>100*F341/G341</x:f>
        <x:v>100.59187121409818</x:v>
      </x:c>
      <x:c r="I341" s="24" t="n">
        <x:f>H341/100-1</x:f>
        <x:v>0.00591871214098183</x:v>
      </x:c>
      <x:c r="J341" s="26" t="n">
        <x:v>4</x:v>
      </x:c>
      <x:c r="K341" s="7" t="b">
        <x:v>0</x:v>
      </x:c>
      <x:c r="L341" s="2" t="str">
        <x:v>Aug 10–23, 2026</x:v>
      </x:c>
      <x:c r="M341" s="2" t="str">
        <x:v>https://www.census.gov/hfp/btos/downloads/Sector.xlsx</x:v>
      </x:c>
    </x:row>
    <x:row r="342" ht="24" customHeight="1">
      <x:c r="A342" s="2" t="str">
        <x:v>Census BTOS</x:v>
      </x:c>
      <x:c r="B342" s="2" t="str">
        <x:v>Quintiles</x:v>
      </x:c>
      <x:c r="C342" s="2" t="str">
        <x:v>Q1</x:v>
      </x:c>
      <x:c r="D342" s="28" t="n">
        <x:v>45901</x:v>
      </x:c>
      <x:c r="E342" s="2" t="str">
        <x:v>2025Q3</x:v>
      </x:c>
      <x:c r="F342" s="20" t="n">
        <x:v>27394.9</x:v>
      </x:c>
      <x:c r="G342" s="20" t="n">
        <x:f>'Quarterly data'!$E$62</x:f>
        <x:v>26934</x:v>
      </x:c>
      <x:c r="H342" s="22" t="n">
        <x:f>100*F342/G342</x:f>
        <x:v>101.71122001930645</x:v>
      </x:c>
      <x:c r="I342" s="24" t="n">
        <x:f>H342/100-1</x:f>
        <x:v>0.017112200193064586</x:v>
      </x:c>
      <x:c r="J342" s="26" t="n">
        <x:v>4</x:v>
      </x:c>
      <x:c r="K342" s="7" t="b">
        <x:v>0</x:v>
      </x:c>
      <x:c r="L342" s="2" t="str">
        <x:v>Aug 10–23, 2026</x:v>
      </x:c>
      <x:c r="M342" s="2" t="str">
        <x:v>https://www.census.gov/hfp/btos/downloads/Sector.xlsx</x:v>
      </x:c>
    </x:row>
    <x:row r="343" ht="24" customHeight="1">
      <x:c r="A343" s="2" t="str">
        <x:v>Census BTOS</x:v>
      </x:c>
      <x:c r="B343" s="2" t="str">
        <x:v>Quintiles</x:v>
      </x:c>
      <x:c r="C343" s="2" t="str">
        <x:v>Q2</x:v>
      </x:c>
      <x:c r="D343" s="28" t="n">
        <x:v>45901</x:v>
      </x:c>
      <x:c r="E343" s="2" t="str">
        <x:v>2025Q3</x:v>
      </x:c>
      <x:c r="F343" s="20" t="n">
        <x:v>24309.8</x:v>
      </x:c>
      <x:c r="G343" s="20" t="n">
        <x:f>'Quarterly data'!$E$63</x:f>
        <x:v>24074.9666666667</x:v>
      </x:c>
      <x:c r="H343" s="22" t="n">
        <x:f>100*F343/G343</x:f>
        <x:v>100.97542537268988</x:v>
      </x:c>
      <x:c r="I343" s="24" t="n">
        <x:f>H343/100-1</x:f>
        <x:v>0.009754253726898865</x:v>
      </x:c>
      <x:c r="J343" s="26" t="n">
        <x:v>3</x:v>
      </x:c>
      <x:c r="K343" s="7" t="b">
        <x:v>0</x:v>
      </x:c>
      <x:c r="L343" s="2" t="str">
        <x:v>Aug 10–23, 2026</x:v>
      </x:c>
      <x:c r="M343" s="2" t="str">
        <x:v>https://www.census.gov/hfp/btos/downloads/Sector.xlsx</x:v>
      </x:c>
    </x:row>
    <x:row r="344" ht="24" customHeight="1">
      <x:c r="A344" s="2" t="str">
        <x:v>Census BTOS</x:v>
      </x:c>
      <x:c r="B344" s="2" t="str">
        <x:v>Quintiles</x:v>
      </x:c>
      <x:c r="C344" s="2" t="str">
        <x:v>Q3</x:v>
      </x:c>
      <x:c r="D344" s="28" t="n">
        <x:v>45901</x:v>
      </x:c>
      <x:c r="E344" s="2" t="str">
        <x:v>2025Q3</x:v>
      </x:c>
      <x:c r="F344" s="20" t="n">
        <x:v>30335.6</x:v>
      </x:c>
      <x:c r="G344" s="20" t="n">
        <x:f>'Quarterly data'!$E$64</x:f>
        <x:v>30928.5333333333</x:v>
      </x:c>
      <x:c r="H344" s="22" t="n">
        <x:f>100*F344/G344</x:f>
        <x:v>98.0828921729235</x:v>
      </x:c>
      <x:c r="I344" s="24" t="n">
        <x:f>H344/100-1</x:f>
        <x:v>-0.01917107827076503</x:v>
      </x:c>
      <x:c r="J344" s="26" t="n">
        <x:v>4</x:v>
      </x:c>
      <x:c r="K344" s="7" t="b">
        <x:v>0</x:v>
      </x:c>
      <x:c r="L344" s="2" t="str">
        <x:v>Aug 10–23, 2026</x:v>
      </x:c>
      <x:c r="M344" s="2" t="str">
        <x:v>https://www.census.gov/hfp/btos/downloads/Sector.xlsx</x:v>
      </x:c>
    </x:row>
    <x:row r="345" ht="24" customHeight="1">
      <x:c r="A345" s="2" t="str">
        <x:v>Census BTOS</x:v>
      </x:c>
      <x:c r="B345" s="2" t="str">
        <x:v>Quintiles</x:v>
      </x:c>
      <x:c r="C345" s="2" t="str">
        <x:v>Q4</x:v>
      </x:c>
      <x:c r="D345" s="28" t="n">
        <x:v>45901</x:v>
      </x:c>
      <x:c r="E345" s="2" t="str">
        <x:v>2025Q3</x:v>
      </x:c>
      <x:c r="F345" s="20" t="n">
        <x:v>28517.3</x:v>
      </x:c>
      <x:c r="G345" s="20" t="n">
        <x:f>'Quarterly data'!$E$65</x:f>
        <x:v>26207.6666666667</x:v>
      </x:c>
      <x:c r="H345" s="22" t="n">
        <x:f>100*F345/G345</x:f>
        <x:v>108.81281558831371</x:v>
      </x:c>
      <x:c r="I345" s="24" t="n">
        <x:f>H345/100-1</x:f>
        <x:v>0.08812815588313705</x:v>
      </x:c>
      <x:c r="J345" s="26" t="n">
        <x:v>3</x:v>
      </x:c>
      <x:c r="K345" s="7" t="b">
        <x:v>0</x:v>
      </x:c>
      <x:c r="L345" s="2" t="str">
        <x:v>Aug 10–23, 2026</x:v>
      </x:c>
      <x:c r="M345" s="2" t="str">
        <x:v>https://www.census.gov/hfp/btos/downloads/Sector.xlsx</x:v>
      </x:c>
    </x:row>
    <x:row r="346" ht="24" customHeight="1">
      <x:c r="A346" s="2" t="str">
        <x:v>Census BTOS</x:v>
      </x:c>
      <x:c r="B346" s="2" t="str">
        <x:v>Quintiles</x:v>
      </x:c>
      <x:c r="C346" s="2" t="str">
        <x:v>Q5</x:v>
      </x:c>
      <x:c r="D346" s="28" t="n">
        <x:v>45901</x:v>
      </x:c>
      <x:c r="E346" s="2" t="str">
        <x:v>2025Q3</x:v>
      </x:c>
      <x:c r="F346" s="20" t="n">
        <x:v>24407.8</x:v>
      </x:c>
      <x:c r="G346" s="20" t="n">
        <x:f>'Quarterly data'!$E$66</x:f>
        <x:v>24267.6666666667</x:v>
      </x:c>
      <x:c r="H346" s="22" t="n">
        <x:f>100*F346/G346</x:f>
        <x:v>100.57744873150817</x:v>
      </x:c>
      <x:c r="I346" s="24" t="n">
        <x:f>H346/100-1</x:f>
        <x:v>0.005774487315081789</x:v>
      </x:c>
      <x:c r="J346" s="26" t="n">
        <x:v>4</x:v>
      </x:c>
      <x:c r="K346" s="7" t="b">
        <x:v>0</x:v>
      </x:c>
      <x:c r="L346" s="2" t="str">
        <x:v>Aug 10–23, 2026</x:v>
      </x:c>
      <x:c r="M346" s="2" t="str">
        <x:v>https://www.census.gov/hfp/btos/downloads/Sector.xlsx</x:v>
      </x:c>
    </x:row>
    <x:row r="347" ht="24" customHeight="1">
      <x:c r="A347" s="2" t="str">
        <x:v>Census BTOS</x:v>
      </x:c>
      <x:c r="B347" s="2" t="str">
        <x:v>Quintiles</x:v>
      </x:c>
      <x:c r="C347" s="2" t="str">
        <x:v>Q1</x:v>
      </x:c>
      <x:c r="D347" s="28" t="n">
        <x:v>45931</x:v>
      </x:c>
      <x:c r="E347" s="2" t="str">
        <x:v>2025Q4</x:v>
      </x:c>
      <x:c r="F347" s="20" t="n">
        <x:v>27436.1</x:v>
      </x:c>
      <x:c r="G347" s="20" t="n">
        <x:f>'Quarterly data'!$E$62</x:f>
        <x:v>26934</x:v>
      </x:c>
      <x:c r="H347" s="22" t="n">
        <x:f>100*F347/G347</x:f>
        <x:v>101.86418653003639</x:v>
      </x:c>
      <x:c r="I347" s="24" t="n">
        <x:f>H347/100-1</x:f>
        <x:v>0.018641865300363936</x:v>
      </x:c>
      <x:c r="J347" s="26" t="n">
        <x:v>4</x:v>
      </x:c>
      <x:c r="K347" s="7" t="b">
        <x:v>0</x:v>
      </x:c>
      <x:c r="L347" s="2" t="str">
        <x:v>Aug 10–23, 2026</x:v>
      </x:c>
      <x:c r="M347" s="2" t="str">
        <x:v>https://www.census.gov/hfp/btos/downloads/Sector.xlsx</x:v>
      </x:c>
    </x:row>
    <x:row r="348" ht="24" customHeight="1">
      <x:c r="A348" s="2" t="str">
        <x:v>Census BTOS</x:v>
      </x:c>
      <x:c r="B348" s="2" t="str">
        <x:v>Quintiles</x:v>
      </x:c>
      <x:c r="C348" s="2" t="str">
        <x:v>Q2</x:v>
      </x:c>
      <x:c r="D348" s="28" t="n">
        <x:v>45931</x:v>
      </x:c>
      <x:c r="E348" s="2" t="str">
        <x:v>2025Q4</x:v>
      </x:c>
      <x:c r="F348" s="20" t="n">
        <x:v>24282.9</x:v>
      </x:c>
      <x:c r="G348" s="20" t="n">
        <x:f>'Quarterly data'!$E$63</x:f>
        <x:v>24074.9666666667</x:v>
      </x:c>
      <x:c r="H348" s="22" t="n">
        <x:f>100*F348/G348</x:f>
        <x:v>100.86369105391617</x:v>
      </x:c>
      <x:c r="I348" s="24" t="n">
        <x:f>H348/100-1</x:f>
        <x:v>0.008636910539161713</x:v>
      </x:c>
      <x:c r="J348" s="26" t="n">
        <x:v>3</x:v>
      </x:c>
      <x:c r="K348" s="7" t="b">
        <x:v>0</x:v>
      </x:c>
      <x:c r="L348" s="2" t="str">
        <x:v>Aug 10–23, 2026</x:v>
      </x:c>
      <x:c r="M348" s="2" t="str">
        <x:v>https://www.census.gov/hfp/btos/downloads/Sector.xlsx</x:v>
      </x:c>
    </x:row>
    <x:row r="349" ht="24" customHeight="1">
      <x:c r="A349" s="2" t="str">
        <x:v>Census BTOS</x:v>
      </x:c>
      <x:c r="B349" s="2" t="str">
        <x:v>Quintiles</x:v>
      </x:c>
      <x:c r="C349" s="2" t="str">
        <x:v>Q3</x:v>
      </x:c>
      <x:c r="D349" s="28" t="n">
        <x:v>45931</x:v>
      </x:c>
      <x:c r="E349" s="2" t="str">
        <x:v>2025Q4</x:v>
      </x:c>
      <x:c r="F349" s="20" t="n">
        <x:v>30311.1</x:v>
      </x:c>
      <x:c r="G349" s="20" t="n">
        <x:f>'Quarterly data'!$E$64</x:f>
        <x:v>30928.5333333333</x:v>
      </x:c>
      <x:c r="H349" s="22" t="n">
        <x:f>100*F349/G349</x:f>
        <x:v>98.00367729475273</x:v>
      </x:c>
      <x:c r="I349" s="24" t="n">
        <x:f>H349/100-1</x:f>
        <x:v>-0.019963227052472665</x:v>
      </x:c>
      <x:c r="J349" s="26" t="n">
        <x:v>4</x:v>
      </x:c>
      <x:c r="K349" s="7" t="b">
        <x:v>0</x:v>
      </x:c>
      <x:c r="L349" s="2" t="str">
        <x:v>Aug 10–23, 2026</x:v>
      </x:c>
      <x:c r="M349" s="2" t="str">
        <x:v>https://www.census.gov/hfp/btos/downloads/Sector.xlsx</x:v>
      </x:c>
    </x:row>
    <x:row r="350" ht="24" customHeight="1">
      <x:c r="A350" s="2" t="str">
        <x:v>Census BTOS</x:v>
      </x:c>
      <x:c r="B350" s="2" t="str">
        <x:v>Quintiles</x:v>
      </x:c>
      <x:c r="C350" s="2" t="str">
        <x:v>Q4</x:v>
      </x:c>
      <x:c r="D350" s="28" t="n">
        <x:v>45931</x:v>
      </x:c>
      <x:c r="E350" s="2" t="str">
        <x:v>2025Q4</x:v>
      </x:c>
      <x:c r="F350" s="20" t="n">
        <x:v>28556.8</x:v>
      </x:c>
      <x:c r="G350" s="20" t="n">
        <x:f>'Quarterly data'!$E$65</x:f>
        <x:v>26207.6666666667</x:v>
      </x:c>
      <x:c r="H350" s="22" t="n">
        <x:f>100*F350/G350</x:f>
        <x:v>108.96353484349349</x:v>
      </x:c>
      <x:c r="I350" s="24" t="n">
        <x:f>H350/100-1</x:f>
        <x:v>0.08963534843493481</x:v>
      </x:c>
      <x:c r="J350" s="26" t="n">
        <x:v>3</x:v>
      </x:c>
      <x:c r="K350" s="7" t="b">
        <x:v>0</x:v>
      </x:c>
      <x:c r="L350" s="2" t="str">
        <x:v>Aug 10–23, 2026</x:v>
      </x:c>
      <x:c r="M350" s="2" t="str">
        <x:v>https://www.census.gov/hfp/btos/downloads/Sector.xlsx</x:v>
      </x:c>
    </x:row>
    <x:row r="351" ht="24" customHeight="1">
      <x:c r="A351" s="2" t="str">
        <x:v>Census BTOS</x:v>
      </x:c>
      <x:c r="B351" s="2" t="str">
        <x:v>Quintiles</x:v>
      </x:c>
      <x:c r="C351" s="2" t="str">
        <x:v>Q5</x:v>
      </x:c>
      <x:c r="D351" s="28" t="n">
        <x:v>45931</x:v>
      </x:c>
      <x:c r="E351" s="2" t="str">
        <x:v>2025Q4</x:v>
      </x:c>
      <x:c r="F351" s="20" t="n">
        <x:v>24392.1</x:v>
      </x:c>
      <x:c r="G351" s="20" t="n">
        <x:f>'Quarterly data'!$E$66</x:f>
        <x:v>24267.6666666667</x:v>
      </x:c>
      <x:c r="H351" s="22" t="n">
        <x:f>100*F351/G351</x:f>
        <x:v>100.51275359531873</x:v>
      </x:c>
      <x:c r="I351" s="24" t="n">
        <x:f>H351/100-1</x:f>
        <x:v>0.005127535953187268</x:v>
      </x:c>
      <x:c r="J351" s="26" t="n">
        <x:v>4</x:v>
      </x:c>
      <x:c r="K351" s="7" t="b">
        <x:v>0</x:v>
      </x:c>
      <x:c r="L351" s="2" t="str">
        <x:v>Aug 10–23, 2026</x:v>
      </x:c>
      <x:c r="M351" s="2" t="str">
        <x:v>https://www.census.gov/hfp/btos/downloads/Sector.xlsx</x:v>
      </x:c>
    </x:row>
    <x:row r="352" ht="24" customHeight="1">
      <x:c r="A352" s="2" t="str">
        <x:v>Census BTOS</x:v>
      </x:c>
      <x:c r="B352" s="2" t="str">
        <x:v>Quintiles</x:v>
      </x:c>
      <x:c r="C352" s="2" t="str">
        <x:v>Q1</x:v>
      </x:c>
      <x:c r="D352" s="28" t="n">
        <x:v>45962</x:v>
      </x:c>
      <x:c r="E352" s="2" t="str">
        <x:v>2025Q4</x:v>
      </x:c>
      <x:c r="F352" s="20" t="n">
        <x:v>27413.4</x:v>
      </x:c>
      <x:c r="G352" s="20" t="n">
        <x:f>'Quarterly data'!$E$62</x:f>
        <x:v>26934</x:v>
      </x:c>
      <x:c r="H352" s="22" t="n">
        <x:f>100*F352/G352</x:f>
        <x:v>101.77990643795945</x:v>
      </x:c>
      <x:c r="I352" s="24" t="n">
        <x:f>H352/100-1</x:f>
        <x:v>0.017799064379594443</x:v>
      </x:c>
      <x:c r="J352" s="26" t="n">
        <x:v>4</x:v>
      </x:c>
      <x:c r="K352" s="7" t="b">
        <x:v>0</x:v>
      </x:c>
      <x:c r="L352" s="2" t="str">
        <x:v>Aug 10–23, 2026</x:v>
      </x:c>
      <x:c r="M352" s="2" t="str">
        <x:v>https://www.census.gov/hfp/btos/downloads/Sector.xlsx</x:v>
      </x:c>
    </x:row>
    <x:row r="353" ht="24" customHeight="1">
      <x:c r="A353" s="2" t="str">
        <x:v>Census BTOS</x:v>
      </x:c>
      <x:c r="B353" s="2" t="str">
        <x:v>Quintiles</x:v>
      </x:c>
      <x:c r="C353" s="2" t="str">
        <x:v>Q2</x:v>
      </x:c>
      <x:c r="D353" s="28" t="n">
        <x:v>45962</x:v>
      </x:c>
      <x:c r="E353" s="2" t="str">
        <x:v>2025Q4</x:v>
      </x:c>
      <x:c r="F353" s="20" t="n">
        <x:v>24319.9</x:v>
      </x:c>
      <x:c r="G353" s="20" t="n">
        <x:f>'Quarterly data'!$E$63</x:f>
        <x:v>24074.9666666667</x:v>
      </x:c>
      <x:c r="H353" s="22" t="n">
        <x:f>100*F353/G353</x:f>
        <x:v>101.01737766338188</x:v>
      </x:c>
      <x:c r="I353" s="24" t="n">
        <x:f>H353/100-1</x:f>
        <x:v>0.010173776633818798</x:v>
      </x:c>
      <x:c r="J353" s="26" t="n">
        <x:v>3</x:v>
      </x:c>
      <x:c r="K353" s="7" t="b">
        <x:v>0</x:v>
      </x:c>
      <x:c r="L353" s="2" t="str">
        <x:v>Aug 10–23, 2026</x:v>
      </x:c>
      <x:c r="M353" s="2" t="str">
        <x:v>https://www.census.gov/hfp/btos/downloads/Sector.xlsx</x:v>
      </x:c>
    </x:row>
    <x:row r="354" ht="24" customHeight="1">
      <x:c r="A354" s="2" t="str">
        <x:v>Census BTOS</x:v>
      </x:c>
      <x:c r="B354" s="2" t="str">
        <x:v>Quintiles</x:v>
      </x:c>
      <x:c r="C354" s="2" t="str">
        <x:v>Q3</x:v>
      </x:c>
      <x:c r="D354" s="28" t="n">
        <x:v>45962</x:v>
      </x:c>
      <x:c r="E354" s="2" t="str">
        <x:v>2025Q4</x:v>
      </x:c>
      <x:c r="F354" s="20" t="n">
        <x:v>30279.9</x:v>
      </x:c>
      <x:c r="G354" s="20" t="n">
        <x:f>'Quarterly data'!$E$64</x:f>
        <x:v>30928.5333333333</x:v>
      </x:c>
      <x:c r="H354" s="22" t="n">
        <x:f>100*F354/G354</x:f>
        <x:v>97.90279957234753</x:v>
      </x:c>
      <x:c r="I354" s="24" t="n">
        <x:f>H354/100-1</x:f>
        <x:v>-0.02097200427652468</x:v>
      </x:c>
      <x:c r="J354" s="26" t="n">
        <x:v>4</x:v>
      </x:c>
      <x:c r="K354" s="7" t="b">
        <x:v>0</x:v>
      </x:c>
      <x:c r="L354" s="2" t="str">
        <x:v>Aug 10–23, 2026</x:v>
      </x:c>
      <x:c r="M354" s="2" t="str">
        <x:v>https://www.census.gov/hfp/btos/downloads/Sector.xlsx</x:v>
      </x:c>
    </x:row>
    <x:row r="355" ht="24" customHeight="1">
      <x:c r="A355" s="2" t="str">
        <x:v>Census BTOS</x:v>
      </x:c>
      <x:c r="B355" s="2" t="str">
        <x:v>Quintiles</x:v>
      </x:c>
      <x:c r="C355" s="2" t="str">
        <x:v>Q4</x:v>
      </x:c>
      <x:c r="D355" s="28" t="n">
        <x:v>45962</x:v>
      </x:c>
      <x:c r="E355" s="2" t="str">
        <x:v>2025Q4</x:v>
      </x:c>
      <x:c r="F355" s="20" t="n">
        <x:v>28622.1</x:v>
      </x:c>
      <x:c r="G355" s="20" t="n">
        <x:f>'Quarterly data'!$E$65</x:f>
        <x:v>26207.6666666667</x:v>
      </x:c>
      <x:c r="H355" s="22" t="n">
        <x:f>100*F355/G355</x:f>
        <x:v>109.21269857420842</x:v>
      </x:c>
      <x:c r="I355" s="24" t="n">
        <x:f>H355/100-1</x:f>
        <x:v>0.09212698574208411</x:v>
      </x:c>
      <x:c r="J355" s="26" t="n">
        <x:v>3</x:v>
      </x:c>
      <x:c r="K355" s="7" t="b">
        <x:v>0</x:v>
      </x:c>
      <x:c r="L355" s="2" t="str">
        <x:v>Aug 10–23, 2026</x:v>
      </x:c>
      <x:c r="M355" s="2" t="str">
        <x:v>https://www.census.gov/hfp/btos/downloads/Sector.xlsx</x:v>
      </x:c>
    </x:row>
    <x:row r="356" ht="24" customHeight="1">
      <x:c r="A356" s="2" t="str">
        <x:v>Census BTOS</x:v>
      </x:c>
      <x:c r="B356" s="2" t="str">
        <x:v>Quintiles</x:v>
      </x:c>
      <x:c r="C356" s="2" t="str">
        <x:v>Q5</x:v>
      </x:c>
      <x:c r="D356" s="28" t="n">
        <x:v>45962</x:v>
      </x:c>
      <x:c r="E356" s="2" t="str">
        <x:v>2025Q4</x:v>
      </x:c>
      <x:c r="F356" s="20" t="n">
        <x:v>24417.4</x:v>
      </x:c>
      <x:c r="G356" s="20" t="n">
        <x:f>'Quarterly data'!$E$66</x:f>
        <x:v>24267.6666666667</x:v>
      </x:c>
      <x:c r="H356" s="22" t="n">
        <x:f>100*F356/G356</x:f>
        <x:v>100.6170075408979</x:v>
      </x:c>
      <x:c r="I356" s="24" t="n">
        <x:f>H356/100-1</x:f>
        <x:v>0.00617007540897907</x:v>
      </x:c>
      <x:c r="J356" s="26" t="n">
        <x:v>4</x:v>
      </x:c>
      <x:c r="K356" s="7" t="b">
        <x:v>0</x:v>
      </x:c>
      <x:c r="L356" s="2" t="str">
        <x:v>Aug 10–23, 2026</x:v>
      </x:c>
      <x:c r="M356" s="2" t="str">
        <x:v>https://www.census.gov/hfp/btos/downloads/Sector.xlsx</x:v>
      </x:c>
    </x:row>
    <x:row r="357" ht="24" customHeight="1">
      <x:c r="A357" s="2" t="str">
        <x:v>Census BTOS</x:v>
      </x:c>
      <x:c r="B357" s="2" t="str">
        <x:v>Quintiles</x:v>
      </x:c>
      <x:c r="C357" s="2" t="str">
        <x:v>Q1</x:v>
      </x:c>
      <x:c r="D357" s="28" t="n">
        <x:v>45992</x:v>
      </x:c>
      <x:c r="E357" s="2" t="str">
        <x:v>2025Q4</x:v>
      </x:c>
      <x:c r="F357" s="20" t="n">
        <x:v>27426.5</x:v>
      </x:c>
      <x:c r="G357" s="20" t="n">
        <x:f>'Quarterly data'!$E$62</x:f>
        <x:v>26934</x:v>
      </x:c>
      <x:c r="H357" s="22" t="n">
        <x:f>100*F357/G357</x:f>
        <x:v>101.82854384792455</x:v>
      </x:c>
      <x:c r="I357" s="24" t="n">
        <x:f>H357/100-1</x:f>
        <x:v>0.018285438479245464</x:v>
      </x:c>
      <x:c r="J357" s="26" t="n">
        <x:v>4</x:v>
      </x:c>
      <x:c r="K357" s="7" t="b">
        <x:v>0</x:v>
      </x:c>
      <x:c r="L357" s="2" t="str">
        <x:v>Aug 10–23, 2026</x:v>
      </x:c>
      <x:c r="M357" s="2" t="str">
        <x:v>https://www.census.gov/hfp/btos/downloads/Sector.xlsx</x:v>
      </x:c>
    </x:row>
    <x:row r="358" ht="24" customHeight="1">
      <x:c r="A358" s="2" t="str">
        <x:v>Census BTOS</x:v>
      </x:c>
      <x:c r="B358" s="2" t="str">
        <x:v>Quintiles</x:v>
      </x:c>
      <x:c r="C358" s="2" t="str">
        <x:v>Q2</x:v>
      </x:c>
      <x:c r="D358" s="28" t="n">
        <x:v>45992</x:v>
      </x:c>
      <x:c r="E358" s="2" t="str">
        <x:v>2025Q4</x:v>
      </x:c>
      <x:c r="F358" s="20" t="n">
        <x:v>24290</x:v>
      </x:c>
      <x:c r="G358" s="20" t="n">
        <x:f>'Quarterly data'!$E$63</x:f>
        <x:v>24074.9666666667</x:v>
      </x:c>
      <x:c r="H358" s="22" t="n">
        <x:f>100*F358/G358</x:f>
        <x:v>100.89318226816499</x:v>
      </x:c>
      <x:c r="I358" s="24" t="n">
        <x:f>H358/100-1</x:f>
        <x:v>0.008931822681649937</x:v>
      </x:c>
      <x:c r="J358" s="26" t="n">
        <x:v>3</x:v>
      </x:c>
      <x:c r="K358" s="7" t="b">
        <x:v>0</x:v>
      </x:c>
      <x:c r="L358" s="2" t="str">
        <x:v>Aug 10–23, 2026</x:v>
      </x:c>
      <x:c r="M358" s="2" t="str">
        <x:v>https://www.census.gov/hfp/btos/downloads/Sector.xlsx</x:v>
      </x:c>
    </x:row>
    <x:row r="359" ht="24" customHeight="1">
      <x:c r="A359" s="2" t="str">
        <x:v>Census BTOS</x:v>
      </x:c>
      <x:c r="B359" s="2" t="str">
        <x:v>Quintiles</x:v>
      </x:c>
      <x:c r="C359" s="2" t="str">
        <x:v>Q3</x:v>
      </x:c>
      <x:c r="D359" s="28" t="n">
        <x:v>45992</x:v>
      </x:c>
      <x:c r="E359" s="2" t="str">
        <x:v>2025Q4</x:v>
      </x:c>
      <x:c r="F359" s="20" t="n">
        <x:v>30267</x:v>
      </x:c>
      <x:c r="G359" s="20" t="n">
        <x:f>'Quarterly data'!$E$64</x:f>
        <x:v>30928.5333333333</x:v>
      </x:c>
      <x:c r="H359" s="22" t="n">
        <x:f>100*F359/G359</x:f>
        <x:v>97.86109051404539</x:v>
      </x:c>
      <x:c r="I359" s="24" t="n">
        <x:f>H359/100-1</x:f>
        <x:v>-0.0213890948595461</x:v>
      </x:c>
      <x:c r="J359" s="26" t="n">
        <x:v>4</x:v>
      </x:c>
      <x:c r="K359" s="7" t="b">
        <x:v>0</x:v>
      </x:c>
      <x:c r="L359" s="2" t="str">
        <x:v>Aug 10–23, 2026</x:v>
      </x:c>
      <x:c r="M359" s="2" t="str">
        <x:v>https://www.census.gov/hfp/btos/downloads/Sector.xlsx</x:v>
      </x:c>
    </x:row>
    <x:row r="360" ht="24" customHeight="1">
      <x:c r="A360" s="2" t="str">
        <x:v>Census BTOS</x:v>
      </x:c>
      <x:c r="B360" s="2" t="str">
        <x:v>Quintiles</x:v>
      </x:c>
      <x:c r="C360" s="2" t="str">
        <x:v>Q4</x:v>
      </x:c>
      <x:c r="D360" s="28" t="n">
        <x:v>45992</x:v>
      </x:c>
      <x:c r="E360" s="2" t="str">
        <x:v>2025Q4</x:v>
      </x:c>
      <x:c r="F360" s="20" t="n">
        <x:v>28661.2</x:v>
      </x:c>
      <x:c r="G360" s="20" t="n">
        <x:f>'Quarterly data'!$E$65</x:f>
        <x:v>26207.6666666667</x:v>
      </x:c>
      <x:c r="H360" s="22" t="n">
        <x:f>100*F360/G360</x:f>
        <x:v>109.36189155844967</x:v>
      </x:c>
      <x:c r="I360" s="24" t="n">
        <x:f>H360/100-1</x:f>
        <x:v>0.09361891558449664</x:v>
      </x:c>
      <x:c r="J360" s="26" t="n">
        <x:v>3</x:v>
      </x:c>
      <x:c r="K360" s="7" t="b">
        <x:v>0</x:v>
      </x:c>
      <x:c r="L360" s="2" t="str">
        <x:v>Aug 10–23, 2026</x:v>
      </x:c>
      <x:c r="M360" s="2" t="str">
        <x:v>https://www.census.gov/hfp/btos/downloads/Sector.xlsx</x:v>
      </x:c>
    </x:row>
    <x:row r="361" ht="24" customHeight="1">
      <x:c r="A361" s="2" t="str">
        <x:v>Census BTOS</x:v>
      </x:c>
      <x:c r="B361" s="2" t="str">
        <x:v>Quintiles</x:v>
      </x:c>
      <x:c r="C361" s="2" t="str">
        <x:v>Q5</x:v>
      </x:c>
      <x:c r="D361" s="28" t="n">
        <x:v>45992</x:v>
      </x:c>
      <x:c r="E361" s="2" t="str">
        <x:v>2025Q4</x:v>
      </x:c>
      <x:c r="F361" s="20" t="n">
        <x:v>24400.1</x:v>
      </x:c>
      <x:c r="G361" s="20" t="n">
        <x:f>'Quarterly data'!$E$66</x:f>
        <x:v>24267.6666666667</x:v>
      </x:c>
      <x:c r="H361" s="22" t="n">
        <x:f>100*F361/G361</x:f>
        <x:v>100.54571926981016</x:v>
      </x:c>
      <x:c r="I361" s="24" t="n">
        <x:f>H361/100-1</x:f>
        <x:v>0.005457192698101743</x:v>
      </x:c>
      <x:c r="J361" s="26" t="n">
        <x:v>4</x:v>
      </x:c>
      <x:c r="K361" s="7" t="b">
        <x:v>0</x:v>
      </x:c>
      <x:c r="L361" s="2" t="str">
        <x:v>Aug 10–23, 2026</x:v>
      </x:c>
      <x:c r="M361" s="2" t="str">
        <x:v>https://www.census.gov/hfp/btos/downloads/Sector.xlsx</x:v>
      </x:c>
    </x:row>
    <x:row r="362" ht="24" customHeight="1">
      <x:c r="A362" s="2" t="str">
        <x:v>Census BTOS</x:v>
      </x:c>
      <x:c r="B362" s="2" t="str">
        <x:v>Quintiles</x:v>
      </x:c>
      <x:c r="C362" s="2" t="str">
        <x:v>Q1</x:v>
      </x:c>
      <x:c r="D362" s="28" t="n">
        <x:v>46023</x:v>
      </x:c>
      <x:c r="E362" s="2" t="str">
        <x:v>2026Q1</x:v>
      </x:c>
      <x:c r="F362" s="20" t="n">
        <x:v>27465.9</x:v>
      </x:c>
      <x:c r="G362" s="20" t="n">
        <x:f>'Quarterly data'!$E$62</x:f>
        <x:v>26934</x:v>
      </x:c>
      <x:c r="H362" s="22" t="n">
        <x:f>100*F362/G362</x:f>
        <x:v>101.97482735575852</x:v>
      </x:c>
      <x:c r="I362" s="24" t="n">
        <x:f>H362/100-1</x:f>
        <x:v>0.019748273557585128</x:v>
      </x:c>
      <x:c r="J362" s="26" t="n">
        <x:v>4</x:v>
      </x:c>
      <x:c r="K362" s="7" t="b">
        <x:v>0</x:v>
      </x:c>
      <x:c r="L362" s="2" t="str">
        <x:v>Aug 10–23, 2026</x:v>
      </x:c>
      <x:c r="M362" s="2" t="str">
        <x:v>https://www.census.gov/hfp/btos/downloads/Sector.xlsx</x:v>
      </x:c>
    </x:row>
    <x:row r="363" ht="24" customHeight="1">
      <x:c r="A363" s="2" t="str">
        <x:v>Census BTOS</x:v>
      </x:c>
      <x:c r="B363" s="2" t="str">
        <x:v>Quintiles</x:v>
      </x:c>
      <x:c r="C363" s="2" t="str">
        <x:v>Q2</x:v>
      </x:c>
      <x:c r="D363" s="28" t="n">
        <x:v>46023</x:v>
      </x:c>
      <x:c r="E363" s="2" t="str">
        <x:v>2026Q1</x:v>
      </x:c>
      <x:c r="F363" s="20" t="n">
        <x:v>24347.9</x:v>
      </x:c>
      <x:c r="G363" s="20" t="n">
        <x:f>'Quarterly data'!$E$63</x:f>
        <x:v>24074.9666666667</x:v>
      </x:c>
      <x:c r="H363" s="22" t="n">
        <x:f>100*F363/G363</x:f>
        <x:v>101.1336810435181</x:v>
      </x:c>
      <x:c r="I363" s="24" t="n">
        <x:f>H363/100-1</x:f>
        <x:v>0.011336810435180977</x:v>
      </x:c>
      <x:c r="J363" s="26" t="n">
        <x:v>3</x:v>
      </x:c>
      <x:c r="K363" s="7" t="b">
        <x:v>0</x:v>
      </x:c>
      <x:c r="L363" s="2" t="str">
        <x:v>Aug 10–23, 2026</x:v>
      </x:c>
      <x:c r="M363" s="2" t="str">
        <x:v>https://www.census.gov/hfp/btos/downloads/Sector.xlsx</x:v>
      </x:c>
    </x:row>
    <x:row r="364" ht="24" customHeight="1">
      <x:c r="A364" s="2" t="str">
        <x:v>Census BTOS</x:v>
      </x:c>
      <x:c r="B364" s="2" t="str">
        <x:v>Quintiles</x:v>
      </x:c>
      <x:c r="C364" s="2" t="str">
        <x:v>Q3</x:v>
      </x:c>
      <x:c r="D364" s="28" t="n">
        <x:v>46023</x:v>
      </x:c>
      <x:c r="E364" s="2" t="str">
        <x:v>2026Q1</x:v>
      </x:c>
      <x:c r="F364" s="20" t="n">
        <x:v>30293.4</x:v>
      </x:c>
      <x:c r="G364" s="20" t="n">
        <x:f>'Quarterly data'!$E$64</x:f>
        <x:v>30928.5333333333</x:v>
      </x:c>
      <x:c r="H364" s="22" t="n">
        <x:f>100*F364/G364</x:f>
        <x:v>97.94644858684978</x:v>
      </x:c>
      <x:c r="I364" s="24" t="n">
        <x:f>H364/100-1</x:f>
        <x:v>-0.02053551413150212</x:v>
      </x:c>
      <x:c r="J364" s="26" t="n">
        <x:v>4</x:v>
      </x:c>
      <x:c r="K364" s="7" t="b">
        <x:v>0</x:v>
      </x:c>
      <x:c r="L364" s="2" t="str">
        <x:v>Aug 10–23, 2026</x:v>
      </x:c>
      <x:c r="M364" s="2" t="str">
        <x:v>https://www.census.gov/hfp/btos/downloads/Sector.xlsx</x:v>
      </x:c>
    </x:row>
    <x:row r="365" ht="24" customHeight="1">
      <x:c r="A365" s="2" t="str">
        <x:v>Census BTOS</x:v>
      </x:c>
      <x:c r="B365" s="2" t="str">
        <x:v>Quintiles</x:v>
      </x:c>
      <x:c r="C365" s="2" t="str">
        <x:v>Q4</x:v>
      </x:c>
      <x:c r="D365" s="28" t="n">
        <x:v>46023</x:v>
      </x:c>
      <x:c r="E365" s="2" t="str">
        <x:v>2026Q1</x:v>
      </x:c>
      <x:c r="F365" s="20" t="n">
        <x:v>28750.8</x:v>
      </x:c>
      <x:c r="G365" s="20" t="n">
        <x:f>'Quarterly data'!$E$65</x:f>
        <x:v>26207.6666666667</x:v>
      </x:c>
      <x:c r="H365" s="22" t="n">
        <x:f>100*F365/G365</x:f>
        <x:v>109.70377624868027</x:v>
      </x:c>
      <x:c r="I365" s="24" t="n">
        <x:f>H365/100-1</x:f>
        <x:v>0.09703776248680263</x:v>
      </x:c>
      <x:c r="J365" s="26" t="n">
        <x:v>3</x:v>
      </x:c>
      <x:c r="K365" s="7" t="b">
        <x:v>0</x:v>
      </x:c>
      <x:c r="L365" s="2" t="str">
        <x:v>Aug 10–23, 2026</x:v>
      </x:c>
      <x:c r="M365" s="2" t="str">
        <x:v>https://www.census.gov/hfp/btos/downloads/Sector.xlsx</x:v>
      </x:c>
    </x:row>
    <x:row r="366" ht="24" customHeight="1">
      <x:c r="A366" s="2" t="str">
        <x:v>Census BTOS</x:v>
      </x:c>
      <x:c r="B366" s="2" t="str">
        <x:v>Quintiles</x:v>
      </x:c>
      <x:c r="C366" s="2" t="str">
        <x:v>Q5</x:v>
      </x:c>
      <x:c r="D366" s="28" t="n">
        <x:v>46023</x:v>
      </x:c>
      <x:c r="E366" s="2" t="str">
        <x:v>2026Q1</x:v>
      </x:c>
      <x:c r="F366" s="20" t="n">
        <x:v>24367.8</x:v>
      </x:c>
      <x:c r="G366" s="20" t="n">
        <x:f>'Quarterly data'!$E$66</x:f>
        <x:v>24267.6666666667</x:v>
      </x:c>
      <x:c r="H366" s="22" t="n">
        <x:f>100*F366/G366</x:f>
        <x:v>100.412620359051</x:v>
      </x:c>
      <x:c r="I366" s="24" t="n">
        <x:f>H366/100-1</x:f>
        <x:v>0.00412620359051008</x:v>
      </x:c>
      <x:c r="J366" s="26" t="n">
        <x:v>4</x:v>
      </x:c>
      <x:c r="K366" s="7" t="b">
        <x:v>0</x:v>
      </x:c>
      <x:c r="L366" s="2" t="str">
        <x:v>Aug 10–23, 2026</x:v>
      </x:c>
      <x:c r="M366" s="2" t="str">
        <x:v>https://www.census.gov/hfp/btos/downloads/Sector.xlsx</x:v>
      </x:c>
    </x:row>
    <x:row r="367" ht="24" customHeight="1">
      <x:c r="A367" s="2" t="str">
        <x:v>Census BTOS</x:v>
      </x:c>
      <x:c r="B367" s="2" t="str">
        <x:v>Quintiles</x:v>
      </x:c>
      <x:c r="C367" s="2" t="str">
        <x:v>Q1</x:v>
      </x:c>
      <x:c r="D367" s="28" t="n">
        <x:v>46054</x:v>
      </x:c>
      <x:c r="E367" s="2" t="str">
        <x:v>2026Q1</x:v>
      </x:c>
      <x:c r="F367" s="20" t="n">
        <x:v>27378.7</x:v>
      </x:c>
      <x:c r="G367" s="20" t="n">
        <x:f>'Quarterly data'!$E$62</x:f>
        <x:v>26934</x:v>
      </x:c>
      <x:c r="H367" s="22" t="n">
        <x:f>100*F367/G367</x:f>
        <x:v>101.65107299324274</x:v>
      </x:c>
      <x:c r="I367" s="24" t="n">
        <x:f>H367/100-1</x:f>
        <x:v>0.016510729932427415</x:v>
      </x:c>
      <x:c r="J367" s="26" t="n">
        <x:v>4</x:v>
      </x:c>
      <x:c r="K367" s="7" t="b">
        <x:v>0</x:v>
      </x:c>
      <x:c r="L367" s="2" t="str">
        <x:v>Aug 10–23, 2026</x:v>
      </x:c>
      <x:c r="M367" s="2" t="str">
        <x:v>https://www.census.gov/hfp/btos/downloads/Sector.xlsx</x:v>
      </x:c>
    </x:row>
    <x:row r="368" ht="24" customHeight="1">
      <x:c r="A368" s="2" t="str">
        <x:v>Census BTOS</x:v>
      </x:c>
      <x:c r="B368" s="2" t="str">
        <x:v>Quintiles</x:v>
      </x:c>
      <x:c r="C368" s="2" t="str">
        <x:v>Q2</x:v>
      </x:c>
      <x:c r="D368" s="28" t="n">
        <x:v>46054</x:v>
      </x:c>
      <x:c r="E368" s="2" t="str">
        <x:v>2026Q1</x:v>
      </x:c>
      <x:c r="F368" s="20" t="n">
        <x:v>24328.2</x:v>
      </x:c>
      <x:c r="G368" s="20" t="n">
        <x:f>'Quarterly data'!$E$63</x:f>
        <x:v>24074.9666666667</x:v>
      </x:c>
      <x:c r="H368" s="22" t="n">
        <x:f>100*F368/G368</x:f>
        <x:v>101.05185330820797</x:v>
      </x:c>
      <x:c r="I368" s="24" t="n">
        <x:f>H368/100-1</x:f>
        <x:v>0.010518533082079617</x:v>
      </x:c>
      <x:c r="J368" s="26" t="n">
        <x:v>3</x:v>
      </x:c>
      <x:c r="K368" s="7" t="b">
        <x:v>0</x:v>
      </x:c>
      <x:c r="L368" s="2" t="str">
        <x:v>Aug 10–23, 2026</x:v>
      </x:c>
      <x:c r="M368" s="2" t="str">
        <x:v>https://www.census.gov/hfp/btos/downloads/Sector.xlsx</x:v>
      </x:c>
    </x:row>
    <x:row r="369" ht="24" customHeight="1">
      <x:c r="A369" s="2" t="str">
        <x:v>Census BTOS</x:v>
      </x:c>
      <x:c r="B369" s="2" t="str">
        <x:v>Quintiles</x:v>
      </x:c>
      <x:c r="C369" s="2" t="str">
        <x:v>Q3</x:v>
      </x:c>
      <x:c r="D369" s="28" t="n">
        <x:v>46054</x:v>
      </x:c>
      <x:c r="E369" s="2" t="str">
        <x:v>2026Q1</x:v>
      </x:c>
      <x:c r="F369" s="20" t="n">
        <x:v>30306</x:v>
      </x:c>
      <x:c r="G369" s="20" t="n">
        <x:f>'Quarterly data'!$E$64</x:f>
        <x:v>30928.5333333333</x:v>
      </x:c>
      <x:c r="H369" s="22" t="n">
        <x:f>100*F369/G369</x:f>
        <x:v>97.98718766705188</x:v>
      </x:c>
      <x:c r="I369" s="24" t="n">
        <x:f>H369/100-1</x:f>
        <x:v>-0.020128123329481107</x:v>
      </x:c>
      <x:c r="J369" s="26" t="n">
        <x:v>4</x:v>
      </x:c>
      <x:c r="K369" s="7" t="b">
        <x:v>0</x:v>
      </x:c>
      <x:c r="L369" s="2" t="str">
        <x:v>Aug 10–23, 2026</x:v>
      </x:c>
      <x:c r="M369" s="2" t="str">
        <x:v>https://www.census.gov/hfp/btos/downloads/Sector.xlsx</x:v>
      </x:c>
    </x:row>
    <x:row r="370" ht="24" customHeight="1">
      <x:c r="A370" s="2" t="str">
        <x:v>Census BTOS</x:v>
      </x:c>
      <x:c r="B370" s="2" t="str">
        <x:v>Quintiles</x:v>
      </x:c>
      <x:c r="C370" s="2" t="str">
        <x:v>Q4</x:v>
      </x:c>
      <x:c r="D370" s="28" t="n">
        <x:v>46054</x:v>
      </x:c>
      <x:c r="E370" s="2" t="str">
        <x:v>2026Q1</x:v>
      </x:c>
      <x:c r="F370" s="20" t="n">
        <x:v>28723.1</x:v>
      </x:c>
      <x:c r="G370" s="20" t="n">
        <x:f>'Quarterly data'!$E$65</x:f>
        <x:v>26207.6666666667</x:v>
      </x:c>
      <x:c r="H370" s="22" t="n">
        <x:f>100*F370/G370</x:f>
        <x:v>109.59808198618711</x:v>
      </x:c>
      <x:c r="I370" s="24" t="n">
        <x:f>H370/100-1</x:f>
        <x:v>0.09598081986187101</x:v>
      </x:c>
      <x:c r="J370" s="26" t="n">
        <x:v>3</x:v>
      </x:c>
      <x:c r="K370" s="7" t="b">
        <x:v>0</x:v>
      </x:c>
      <x:c r="L370" s="2" t="str">
        <x:v>Aug 10–23, 2026</x:v>
      </x:c>
      <x:c r="M370" s="2" t="str">
        <x:v>https://www.census.gov/hfp/btos/downloads/Sector.xlsx</x:v>
      </x:c>
    </x:row>
    <x:row r="371" ht="24" customHeight="1">
      <x:c r="A371" s="2" t="str">
        <x:v>Census BTOS</x:v>
      </x:c>
      <x:c r="B371" s="2" t="str">
        <x:v>Quintiles</x:v>
      </x:c>
      <x:c r="C371" s="2" t="str">
        <x:v>Q5</x:v>
      </x:c>
      <x:c r="D371" s="28" t="n">
        <x:v>46054</x:v>
      </x:c>
      <x:c r="E371" s="2" t="str">
        <x:v>2026Q1</x:v>
      </x:c>
      <x:c r="F371" s="20" t="n">
        <x:v>24342.8</x:v>
      </x:c>
      <x:c r="G371" s="20" t="n">
        <x:f>'Quarterly data'!$E$66</x:f>
        <x:v>24267.6666666667</x:v>
      </x:c>
      <x:c r="H371" s="22" t="n">
        <x:f>100*F371/G371</x:f>
        <x:v>100.30960262626526</x:v>
      </x:c>
      <x:c r="I371" s="24" t="n">
        <x:f>H371/100-1</x:f>
        <x:v>0.003096026262652707</x:v>
      </x:c>
      <x:c r="J371" s="26" t="n">
        <x:v>4</x:v>
      </x:c>
      <x:c r="K371" s="7" t="b">
        <x:v>0</x:v>
      </x:c>
      <x:c r="L371" s="2" t="str">
        <x:v>Aug 10–23, 2026</x:v>
      </x:c>
      <x:c r="M371" s="2" t="str">
        <x:v>https://www.census.gov/hfp/btos/downloads/Sector.xlsx</x:v>
      </x:c>
    </x:row>
    <x:row r="372" ht="24" customHeight="1">
      <x:c r="A372" s="2" t="str">
        <x:v>Census BTOS</x:v>
      </x:c>
      <x:c r="B372" s="2" t="str">
        <x:v>Quintiles</x:v>
      </x:c>
      <x:c r="C372" s="2" t="str">
        <x:v>Q1</x:v>
      </x:c>
      <x:c r="D372" s="28" t="n">
        <x:v>46082</x:v>
      </x:c>
      <x:c r="E372" s="2" t="str">
        <x:v>2026Q1</x:v>
      </x:c>
      <x:c r="F372" s="20" t="n">
        <x:v>27433.3</x:v>
      </x:c>
      <x:c r="G372" s="20" t="n">
        <x:f>'Quarterly data'!$E$62</x:f>
        <x:v>26934</x:v>
      </x:c>
      <x:c r="H372" s="22" t="n">
        <x:f>100*F372/G372</x:f>
        <x:v>101.85379074775376</x:v>
      </x:c>
      <x:c r="I372" s="24" t="n">
        <x:f>H372/100-1</x:f>
        <x:v>0.018537907477537585</x:v>
      </x:c>
      <x:c r="J372" s="26" t="n">
        <x:v>4</x:v>
      </x:c>
      <x:c r="K372" s="7" t="b">
        <x:v>0</x:v>
      </x:c>
      <x:c r="L372" s="2" t="str">
        <x:v>Aug 10–23, 2026</x:v>
      </x:c>
      <x:c r="M372" s="2" t="str">
        <x:v>https://www.census.gov/hfp/btos/downloads/Sector.xlsx</x:v>
      </x:c>
    </x:row>
    <x:row r="373" ht="24" customHeight="1">
      <x:c r="A373" s="2" t="str">
        <x:v>Census BTOS</x:v>
      </x:c>
      <x:c r="B373" s="2" t="str">
        <x:v>Quintiles</x:v>
      </x:c>
      <x:c r="C373" s="2" t="str">
        <x:v>Q2</x:v>
      </x:c>
      <x:c r="D373" s="28" t="n">
        <x:v>46082</x:v>
      </x:c>
      <x:c r="E373" s="2" t="str">
        <x:v>2026Q1</x:v>
      </x:c>
      <x:c r="F373" s="20" t="n">
        <x:v>24352.3</x:v>
      </x:c>
      <x:c r="G373" s="20" t="n">
        <x:f>'Quarterly data'!$E$63</x:f>
        <x:v>24074.9666666667</x:v>
      </x:c>
      <x:c r="H373" s="22" t="n">
        <x:f>100*F373/G373</x:f>
        <x:v>101.15195728896806</x:v>
      </x:c>
      <x:c r="I373" s="24" t="n">
        <x:f>H373/100-1</x:f>
        <x:v>0.01151957288968064</x:v>
      </x:c>
      <x:c r="J373" s="26" t="n">
        <x:v>3</x:v>
      </x:c>
      <x:c r="K373" s="7" t="b">
        <x:v>0</x:v>
      </x:c>
      <x:c r="L373" s="2" t="str">
        <x:v>Aug 10–23, 2026</x:v>
      </x:c>
      <x:c r="M373" s="2" t="str">
        <x:v>https://www.census.gov/hfp/btos/downloads/Sector.xlsx</x:v>
      </x:c>
    </x:row>
    <x:row r="374" ht="24" customHeight="1">
      <x:c r="A374" s="2" t="str">
        <x:v>Census BTOS</x:v>
      </x:c>
      <x:c r="B374" s="2" t="str">
        <x:v>Quintiles</x:v>
      </x:c>
      <x:c r="C374" s="2" t="str">
        <x:v>Q3</x:v>
      </x:c>
      <x:c r="D374" s="28" t="n">
        <x:v>46082</x:v>
      </x:c>
      <x:c r="E374" s="2" t="str">
        <x:v>2026Q1</x:v>
      </x:c>
      <x:c r="F374" s="20" t="n">
        <x:v>30365.3</x:v>
      </x:c>
      <x:c r="G374" s="20" t="n">
        <x:f>'Quarterly data'!$E$64</x:f>
        <x:v>30928.5333333333</x:v>
      </x:c>
      <x:c r="H374" s="22" t="n">
        <x:f>100*F374/G374</x:f>
        <x:v>98.17892000482844</x:v>
      </x:c>
      <x:c r="I374" s="24" t="n">
        <x:f>H374/100-1</x:f>
        <x:v>-0.018210799951715595</x:v>
      </x:c>
      <x:c r="J374" s="26" t="n">
        <x:v>4</x:v>
      </x:c>
      <x:c r="K374" s="7" t="b">
        <x:v>0</x:v>
      </x:c>
      <x:c r="L374" s="2" t="str">
        <x:v>Aug 10–23, 2026</x:v>
      </x:c>
      <x:c r="M374" s="2" t="str">
        <x:v>https://www.census.gov/hfp/btos/downloads/Sector.xlsx</x:v>
      </x:c>
    </x:row>
    <x:row r="375" ht="24" customHeight="1">
      <x:c r="A375" s="2" t="str">
        <x:v>Census BTOS</x:v>
      </x:c>
      <x:c r="B375" s="2" t="str">
        <x:v>Quintiles</x:v>
      </x:c>
      <x:c r="C375" s="2" t="str">
        <x:v>Q4</x:v>
      </x:c>
      <x:c r="D375" s="28" t="n">
        <x:v>46082</x:v>
      </x:c>
      <x:c r="E375" s="2" t="str">
        <x:v>2026Q1</x:v>
      </x:c>
      <x:c r="F375" s="20" t="n">
        <x:v>28816.6</x:v>
      </x:c>
      <x:c r="G375" s="20" t="n">
        <x:f>'Quarterly data'!$E$65</x:f>
        <x:v>26207.6666666667</x:v>
      </x:c>
      <x:c r="H375" s="22" t="n">
        <x:f>100*F375/G375</x:f>
        <x:v>109.95484781806836</x:v>
      </x:c>
      <x:c r="I375" s="24" t="n">
        <x:f>H375/100-1</x:f>
        <x:v>0.09954847818068369</x:v>
      </x:c>
      <x:c r="J375" s="26" t="n">
        <x:v>3</x:v>
      </x:c>
      <x:c r="K375" s="7" t="b">
        <x:v>0</x:v>
      </x:c>
      <x:c r="L375" s="2" t="str">
        <x:v>Aug 10–23, 2026</x:v>
      </x:c>
      <x:c r="M375" s="2" t="str">
        <x:v>https://www.census.gov/hfp/btos/downloads/Sector.xlsx</x:v>
      </x:c>
    </x:row>
    <x:row r="376" ht="24" customHeight="1">
      <x:c r="A376" s="2" t="str">
        <x:v>Census BTOS</x:v>
      </x:c>
      <x:c r="B376" s="2" t="str">
        <x:v>Quintiles</x:v>
      </x:c>
      <x:c r="C376" s="2" t="str">
        <x:v>Q5</x:v>
      </x:c>
      <x:c r="D376" s="28" t="n">
        <x:v>46082</x:v>
      </x:c>
      <x:c r="E376" s="2" t="str">
        <x:v>2026Q1</x:v>
      </x:c>
      <x:c r="F376" s="20" t="n">
        <x:v>24312.2</x:v>
      </x:c>
      <x:c r="G376" s="20" t="n">
        <x:f>'Quarterly data'!$E$66</x:f>
        <x:v>24267.6666666667</x:v>
      </x:c>
      <x:c r="H376" s="22" t="n">
        <x:f>100*F376/G376</x:f>
        <x:v>100.18350892133552</x:v>
      </x:c>
      <x:c r="I376" s="24" t="n">
        <x:f>H376/100-1</x:f>
        <x:v>0.0018350892133551788</x:v>
      </x:c>
      <x:c r="J376" s="26" t="n">
        <x:v>4</x:v>
      </x:c>
      <x:c r="K376" s="7" t="b">
        <x:v>0</x:v>
      </x:c>
      <x:c r="L376" s="2" t="str">
        <x:v>Aug 10–23, 2026</x:v>
      </x:c>
      <x:c r="M376" s="2" t="str">
        <x:v>https://www.census.gov/hfp/btos/downloads/Sector.xlsx</x:v>
      </x:c>
    </x:row>
    <x:row r="377" ht="24" customHeight="1">
      <x:c r="A377" s="2" t="str">
        <x:v>Census BTOS</x:v>
      </x:c>
      <x:c r="B377" s="2" t="str">
        <x:v>Quintiles</x:v>
      </x:c>
      <x:c r="C377" s="2" t="str">
        <x:v>Q1</x:v>
      </x:c>
      <x:c r="D377" s="28" t="n">
        <x:v>46113</x:v>
      </x:c>
      <x:c r="E377" s="2" t="str">
        <x:v>2026Q2</x:v>
      </x:c>
      <x:c r="F377" s="20" t="n">
        <x:v>27478.6</x:v>
      </x:c>
      <x:c r="G377" s="20" t="n">
        <x:f>'Quarterly data'!$E$62</x:f>
        <x:v>26934</x:v>
      </x:c>
      <x:c r="H377" s="22" t="n">
        <x:f>100*F377/G377</x:f>
        <x:v>102.02197965396896</x:v>
      </x:c>
      <x:c r="I377" s="24" t="n">
        <x:f>H377/100-1</x:f>
        <x:v>0.020219796539689527</x:v>
      </x:c>
      <x:c r="J377" s="26" t="n">
        <x:v>4</x:v>
      </x:c>
      <x:c r="K377" s="7" t="b">
        <x:v>0</x:v>
      </x:c>
      <x:c r="L377" s="2" t="str">
        <x:v>Aug 10–23, 2026</x:v>
      </x:c>
      <x:c r="M377" s="2" t="str">
        <x:v>https://www.census.gov/hfp/btos/downloads/Sector.xlsx</x:v>
      </x:c>
    </x:row>
    <x:row r="378" ht="24" customHeight="1">
      <x:c r="A378" s="2" t="str">
        <x:v>Census BTOS</x:v>
      </x:c>
      <x:c r="B378" s="2" t="str">
        <x:v>Quintiles</x:v>
      </x:c>
      <x:c r="C378" s="2" t="str">
        <x:v>Q2</x:v>
      </x:c>
      <x:c r="D378" s="28" t="n">
        <x:v>46113</x:v>
      </x:c>
      <x:c r="E378" s="2" t="str">
        <x:v>2026Q2</x:v>
      </x:c>
      <x:c r="F378" s="20" t="n">
        <x:v>24379.8</x:v>
      </x:c>
      <x:c r="G378" s="20" t="n">
        <x:f>'Quarterly data'!$E$63</x:f>
        <x:v>24074.9666666667</x:v>
      </x:c>
      <x:c r="H378" s="22" t="n">
        <x:f>100*F378/G378</x:f>
        <x:v>101.26618382303042</x:v>
      </x:c>
      <x:c r="I378" s="24" t="n">
        <x:f>H378/100-1</x:f>
        <x:v>0.01266183823030409</x:v>
      </x:c>
      <x:c r="J378" s="26" t="n">
        <x:v>3</x:v>
      </x:c>
      <x:c r="K378" s="7" t="b">
        <x:v>0</x:v>
      </x:c>
      <x:c r="L378" s="2" t="str">
        <x:v>Aug 10–23, 2026</x:v>
      </x:c>
      <x:c r="M378" s="2" t="str">
        <x:v>https://www.census.gov/hfp/btos/downloads/Sector.xlsx</x:v>
      </x:c>
    </x:row>
    <x:row r="379" ht="24" customHeight="1">
      <x:c r="A379" s="2" t="str">
        <x:v>Census BTOS</x:v>
      </x:c>
      <x:c r="B379" s="2" t="str">
        <x:v>Quintiles</x:v>
      </x:c>
      <x:c r="C379" s="2" t="str">
        <x:v>Q3</x:v>
      </x:c>
      <x:c r="D379" s="28" t="n">
        <x:v>46113</x:v>
      </x:c>
      <x:c r="E379" s="2" t="str">
        <x:v>2026Q2</x:v>
      </x:c>
      <x:c r="F379" s="20" t="n">
        <x:v>30374.3</x:v>
      </x:c>
      <x:c r="G379" s="20" t="n">
        <x:f>'Quarterly data'!$E$64</x:f>
        <x:v>30928.5333333333</x:v>
      </x:c>
      <x:c r="H379" s="22" t="n">
        <x:f>100*F379/G379</x:f>
        <x:v>98.20801934782995</x:v>
      </x:c>
      <x:c r="I379" s="24" t="n">
        <x:f>H379/100-1</x:f>
        <x:v>-0.017919806521700554</x:v>
      </x:c>
      <x:c r="J379" s="26" t="n">
        <x:v>4</x:v>
      </x:c>
      <x:c r="K379" s="7" t="b">
        <x:v>0</x:v>
      </x:c>
      <x:c r="L379" s="2" t="str">
        <x:v>Aug 10–23, 2026</x:v>
      </x:c>
      <x:c r="M379" s="2" t="str">
        <x:v>https://www.census.gov/hfp/btos/downloads/Sector.xlsx</x:v>
      </x:c>
    </x:row>
    <x:row r="380" ht="24" customHeight="1">
      <x:c r="A380" s="2" t="str">
        <x:v>Census BTOS</x:v>
      </x:c>
      <x:c r="B380" s="2" t="str">
        <x:v>Quintiles</x:v>
      </x:c>
      <x:c r="C380" s="2" t="str">
        <x:v>Q4</x:v>
      </x:c>
      <x:c r="D380" s="28" t="n">
        <x:v>46113</x:v>
      </x:c>
      <x:c r="E380" s="2" t="str">
        <x:v>2026Q2</x:v>
      </x:c>
      <x:c r="F380" s="20" t="n">
        <x:v>28868.6</x:v>
      </x:c>
      <x:c r="G380" s="20" t="n">
        <x:f>'Quarterly data'!$E$65</x:f>
        <x:v>26207.6666666667</x:v>
      </x:c>
      <x:c r="H380" s="22" t="n">
        <x:f>100*F380/G380</x:f>
        <x:v>110.15326304007719</x:v>
      </x:c>
      <x:c r="I380" s="24" t="n">
        <x:f>H380/100-1</x:f>
        <x:v>0.10153263040077198</x:v>
      </x:c>
      <x:c r="J380" s="26" t="n">
        <x:v>3</x:v>
      </x:c>
      <x:c r="K380" s="7" t="b">
        <x:v>0</x:v>
      </x:c>
      <x:c r="L380" s="2" t="str">
        <x:v>Aug 10–23, 2026</x:v>
      </x:c>
      <x:c r="M380" s="2" t="str">
        <x:v>https://www.census.gov/hfp/btos/downloads/Sector.xlsx</x:v>
      </x:c>
    </x:row>
    <x:row r="381" ht="24" customHeight="1">
      <x:c r="A381" s="2" t="str">
        <x:v>Census BTOS</x:v>
      </x:c>
      <x:c r="B381" s="2" t="str">
        <x:v>Quintiles</x:v>
      </x:c>
      <x:c r="C381" s="2" t="str">
        <x:v>Q5</x:v>
      </x:c>
      <x:c r="D381" s="28" t="n">
        <x:v>46113</x:v>
      </x:c>
      <x:c r="E381" s="2" t="str">
        <x:v>2026Q2</x:v>
      </x:c>
      <x:c r="F381" s="20" t="n">
        <x:v>24325.5</x:v>
      </x:c>
      <x:c r="G381" s="20" t="n">
        <x:f>'Quarterly data'!$E$66</x:f>
        <x:v>24267.6666666667</x:v>
      </x:c>
      <x:c r="H381" s="22" t="n">
        <x:f>100*F381/G381</x:f>
        <x:v>100.23831435517754</x:v>
      </x:c>
      <x:c r="I381" s="24" t="n">
        <x:f>H381/100-1</x:f>
        <x:v>0.0023831435517753796</x:v>
      </x:c>
      <x:c r="J381" s="26" t="n">
        <x:v>4</x:v>
      </x:c>
      <x:c r="K381" s="7" t="b">
        <x:v>0</x:v>
      </x:c>
      <x:c r="L381" s="2" t="str">
        <x:v>Aug 10–23, 2026</x:v>
      </x:c>
      <x:c r="M381" s="2" t="str">
        <x:v>https://www.census.gov/hfp/btos/downloads/Sector.xlsx</x:v>
      </x:c>
    </x:row>
    <x:row r="382" ht="24" customHeight="1">
      <x:c r="A382" s="2" t="str">
        <x:v>Census BTOS</x:v>
      </x:c>
      <x:c r="B382" s="2" t="str">
        <x:v>Quintiles</x:v>
      </x:c>
      <x:c r="C382" s="2" t="str">
        <x:v>Q1</x:v>
      </x:c>
      <x:c r="D382" s="28" t="n">
        <x:v>46143</x:v>
      </x:c>
      <x:c r="E382" s="2" t="str">
        <x:v>2026Q2</x:v>
      </x:c>
      <x:c r="F382" s="20" t="n">
        <x:v>27524.6</x:v>
      </x:c>
      <x:c r="G382" s="20" t="n">
        <x:f>'Quarterly data'!$E$62</x:f>
        <x:v>26934</x:v>
      </x:c>
      <x:c r="H382" s="22" t="n">
        <x:f>100*F382/G382</x:f>
        <x:v>102.1927675057548</x:v>
      </x:c>
      <x:c r="I382" s="24" t="n">
        <x:f>H382/100-1</x:f>
        <x:v>0.021927675057548113</x:v>
      </x:c>
      <x:c r="J382" s="26" t="n">
        <x:v>4</x:v>
      </x:c>
      <x:c r="K382" s="7" t="b">
        <x:v>0</x:v>
      </x:c>
      <x:c r="L382" s="2" t="str">
        <x:v>Aug 10–23, 2026</x:v>
      </x:c>
      <x:c r="M382" s="2" t="str">
        <x:v>https://www.census.gov/hfp/btos/downloads/Sector.xlsx</x:v>
      </x:c>
    </x:row>
    <x:row r="383" ht="24" customHeight="1">
      <x:c r="A383" s="2" t="str">
        <x:v>Census BTOS</x:v>
      </x:c>
      <x:c r="B383" s="2" t="str">
        <x:v>Quintiles</x:v>
      </x:c>
      <x:c r="C383" s="2" t="str">
        <x:v>Q2</x:v>
      </x:c>
      <x:c r="D383" s="28" t="n">
        <x:v>46143</x:v>
      </x:c>
      <x:c r="E383" s="2" t="str">
        <x:v>2026Q2</x:v>
      </x:c>
      <x:c r="F383" s="20" t="n">
        <x:v>24387.6</x:v>
      </x:c>
      <x:c r="G383" s="20" t="n">
        <x:f>'Quarterly data'!$E$63</x:f>
        <x:v>24074.9666666667</x:v>
      </x:c>
      <x:c r="H383" s="22" t="n">
        <x:f>100*F383/G383</x:f>
        <x:v>101.29858262178266</x:v>
      </x:c>
      <x:c r="I383" s="24" t="n">
        <x:f>H383/100-1</x:f>
        <x:v>0.012985826217826624</x:v>
      </x:c>
      <x:c r="J383" s="26" t="n">
        <x:v>3</x:v>
      </x:c>
      <x:c r="K383" s="7" t="b">
        <x:v>0</x:v>
      </x:c>
      <x:c r="L383" s="2" t="str">
        <x:v>Aug 10–23, 2026</x:v>
      </x:c>
      <x:c r="M383" s="2" t="str">
        <x:v>https://www.census.gov/hfp/btos/downloads/Sector.xlsx</x:v>
      </x:c>
    </x:row>
    <x:row r="384" ht="24" customHeight="1">
      <x:c r="A384" s="2" t="str">
        <x:v>Census BTOS</x:v>
      </x:c>
      <x:c r="B384" s="2" t="str">
        <x:v>Quintiles</x:v>
      </x:c>
      <x:c r="C384" s="2" t="str">
        <x:v>Q3</x:v>
      </x:c>
      <x:c r="D384" s="28" t="n">
        <x:v>46143</x:v>
      </x:c>
      <x:c r="E384" s="2" t="str">
        <x:v>2026Q2</x:v>
      </x:c>
      <x:c r="F384" s="20" t="n">
        <x:v>30372.7</x:v>
      </x:c>
      <x:c r="G384" s="20" t="n">
        <x:f>'Quarterly data'!$E$64</x:f>
        <x:v>30928.5333333333</x:v>
      </x:c>
      <x:c r="H384" s="22" t="n">
        <x:f>100*F384/G384</x:f>
        <x:v>98.20284613129634</x:v>
      </x:c>
      <x:c r="I384" s="24" t="n">
        <x:f>H384/100-1</x:f>
        <x:v>-0.017971538687036603</x:v>
      </x:c>
      <x:c r="J384" s="26" t="n">
        <x:v>4</x:v>
      </x:c>
      <x:c r="K384" s="7" t="b">
        <x:v>0</x:v>
      </x:c>
      <x:c r="L384" s="2" t="str">
        <x:v>Aug 10–23, 2026</x:v>
      </x:c>
      <x:c r="M384" s="2" t="str">
        <x:v>https://www.census.gov/hfp/btos/downloads/Sector.xlsx</x:v>
      </x:c>
    </x:row>
    <x:row r="385" ht="24" customHeight="1">
      <x:c r="A385" s="2" t="str">
        <x:v>Census BTOS</x:v>
      </x:c>
      <x:c r="B385" s="2" t="str">
        <x:v>Quintiles</x:v>
      </x:c>
      <x:c r="C385" s="2" t="str">
        <x:v>Q4</x:v>
      </x:c>
      <x:c r="D385" s="28" t="n">
        <x:v>46143</x:v>
      </x:c>
      <x:c r="E385" s="2" t="str">
        <x:v>2026Q2</x:v>
      </x:c>
      <x:c r="F385" s="20" t="n">
        <x:v>28905.2</x:v>
      </x:c>
      <x:c r="G385" s="20" t="n">
        <x:f>'Quarterly data'!$E$65</x:f>
        <x:v>26207.6666666667</x:v>
      </x:c>
      <x:c r="H385" s="22" t="n">
        <x:f>100*F385/G385</x:f>
        <x:v>110.29291683095263</x:v>
      </x:c>
      <x:c r="I385" s="24" t="n">
        <x:f>H385/100-1</x:f>
        <x:v>0.10292916830952636</x:v>
      </x:c>
      <x:c r="J385" s="26" t="n">
        <x:v>3</x:v>
      </x:c>
      <x:c r="K385" s="7" t="b">
        <x:v>0</x:v>
      </x:c>
      <x:c r="L385" s="2" t="str">
        <x:v>Aug 10–23, 2026</x:v>
      </x:c>
      <x:c r="M385" s="2" t="str">
        <x:v>https://www.census.gov/hfp/btos/downloads/Sector.xlsx</x:v>
      </x:c>
    </x:row>
    <x:row r="386" ht="24" customHeight="1">
      <x:c r="A386" s="2" t="str">
        <x:v>Census BTOS</x:v>
      </x:c>
      <x:c r="B386" s="2" t="str">
        <x:v>Quintiles</x:v>
      </x:c>
      <x:c r="C386" s="2" t="str">
        <x:v>Q5</x:v>
      </x:c>
      <x:c r="D386" s="28" t="n">
        <x:v>46143</x:v>
      </x:c>
      <x:c r="E386" s="2" t="str">
        <x:v>2026Q2</x:v>
      </x:c>
      <x:c r="F386" s="20" t="n">
        <x:v>24298.4</x:v>
      </x:c>
      <x:c r="G386" s="20" t="n">
        <x:f>'Quarterly data'!$E$66</x:f>
        <x:v>24267.6666666667</x:v>
      </x:c>
      <x:c r="H386" s="22" t="n">
        <x:f>100*F386/G386</x:f>
        <x:v>100.1266431328378</x:v>
      </x:c>
      <x:c r="I386" s="24" t="n">
        <x:f>H386/100-1</x:f>
        <x:v>0.0012664313283778927</x:v>
      </x:c>
      <x:c r="J386" s="26" t="n">
        <x:v>4</x:v>
      </x:c>
      <x:c r="K386" s="7" t="b">
        <x:v>0</x:v>
      </x:c>
      <x:c r="L386" s="2" t="str">
        <x:v>Aug 10–23, 2026</x:v>
      </x:c>
      <x:c r="M386" s="2" t="str">
        <x:v>https://www.census.gov/hfp/btos/downloads/Sector.xlsx</x:v>
      </x:c>
    </x:row>
    <x:row r="387" ht="24" customHeight="1">
      <x:c r="A387" s="2" t="str">
        <x:v>Census BTOS</x:v>
      </x:c>
      <x:c r="B387" s="2" t="str">
        <x:v>Quintiles</x:v>
      </x:c>
      <x:c r="C387" s="2" t="str">
        <x:v>Q1</x:v>
      </x:c>
      <x:c r="D387" s="28" t="n">
        <x:v>46174</x:v>
      </x:c>
      <x:c r="E387" s="2" t="str">
        <x:v>2026Q2</x:v>
      </x:c>
      <x:c r="F387" s="20" t="n">
        <x:v>27476.1</x:v>
      </x:c>
      <x:c r="G387" s="20" t="n">
        <x:f>'Quarterly data'!$E$62</x:f>
        <x:v>26934</x:v>
      </x:c>
      <x:c r="H387" s="22" t="n">
        <x:f>100*F387/G387</x:f>
        <x:v>102.01269770550233</x:v>
      </x:c>
      <x:c r="I387" s="24" t="n">
        <x:f>H387/100-1</x:f>
        <x:v>0.02012697705502342</x:v>
      </x:c>
      <x:c r="J387" s="26" t="n">
        <x:v>4</x:v>
      </x:c>
      <x:c r="K387" s="7" t="b">
        <x:v>0</x:v>
      </x:c>
      <x:c r="L387" s="2" t="str">
        <x:v>Aug 10–23, 2026</x:v>
      </x:c>
      <x:c r="M387" s="2" t="str">
        <x:v>https://www.census.gov/hfp/btos/downloads/Sector.xlsx</x:v>
      </x:c>
    </x:row>
    <x:row r="388" ht="24" customHeight="1">
      <x:c r="A388" s="2" t="str">
        <x:v>Census BTOS</x:v>
      </x:c>
      <x:c r="B388" s="2" t="str">
        <x:v>Quintiles</x:v>
      </x:c>
      <x:c r="C388" s="2" t="str">
        <x:v>Q2</x:v>
      </x:c>
      <x:c r="D388" s="28" t="n">
        <x:v>46174</x:v>
      </x:c>
      <x:c r="E388" s="2" t="str">
        <x:v>2026Q2</x:v>
      </x:c>
      <x:c r="F388" s="20" t="n">
        <x:v>24400.4</x:v>
      </x:c>
      <x:c r="G388" s="20" t="n">
        <x:f>'Quarterly data'!$E$63</x:f>
        <x:v>24074.9666666667</x:v>
      </x:c>
      <x:c r="H388" s="22" t="n">
        <x:f>100*F388/G388</x:f>
        <x:v>101.35174988127349</x:v>
      </x:c>
      <x:c r="I388" s="24" t="n">
        <x:f>H388/100-1</x:f>
        <x:v>0.013517498812734896</x:v>
      </x:c>
      <x:c r="J388" s="26" t="n">
        <x:v>3</x:v>
      </x:c>
      <x:c r="K388" s="7" t="b">
        <x:v>0</x:v>
      </x:c>
      <x:c r="L388" s="2" t="str">
        <x:v>Aug 10–23, 2026</x:v>
      </x:c>
      <x:c r="M388" s="2" t="str">
        <x:v>https://www.census.gov/hfp/btos/downloads/Sector.xlsx</x:v>
      </x:c>
    </x:row>
    <x:row r="389" ht="24" customHeight="1">
      <x:c r="A389" s="2" t="str">
        <x:v>Census BTOS</x:v>
      </x:c>
      <x:c r="B389" s="2" t="str">
        <x:v>Quintiles</x:v>
      </x:c>
      <x:c r="C389" s="2" t="str">
        <x:v>Q3</x:v>
      </x:c>
      <x:c r="D389" s="28" t="n">
        <x:v>46174</x:v>
      </x:c>
      <x:c r="E389" s="2" t="str">
        <x:v>2026Q2</x:v>
      </x:c>
      <x:c r="F389" s="20" t="n">
        <x:v>30384.2</x:v>
      </x:c>
      <x:c r="G389" s="20" t="n">
        <x:f>'Quarterly data'!$E$64</x:f>
        <x:v>30928.5333333333</x:v>
      </x:c>
      <x:c r="H389" s="22" t="n">
        <x:f>100*F389/G389</x:f>
        <x:v>98.24002862513159</x:v>
      </x:c>
      <x:c r="I389" s="24" t="n">
        <x:f>H389/100-1</x:f>
        <x:v>-0.017599713748684187</x:v>
      </x:c>
      <x:c r="J389" s="26" t="n">
        <x:v>4</x:v>
      </x:c>
      <x:c r="K389" s="7" t="b">
        <x:v>0</x:v>
      </x:c>
      <x:c r="L389" s="2" t="str">
        <x:v>Aug 10–23, 2026</x:v>
      </x:c>
      <x:c r="M389" s="2" t="str">
        <x:v>https://www.census.gov/hfp/btos/downloads/Sector.xlsx</x:v>
      </x:c>
    </x:row>
    <x:row r="390" ht="24" customHeight="1">
      <x:c r="A390" s="2" t="str">
        <x:v>Census BTOS</x:v>
      </x:c>
      <x:c r="B390" s="2" t="str">
        <x:v>Quintiles</x:v>
      </x:c>
      <x:c r="C390" s="2" t="str">
        <x:v>Q4</x:v>
      </x:c>
      <x:c r="D390" s="28" t="n">
        <x:v>46174</x:v>
      </x:c>
      <x:c r="E390" s="2" t="str">
        <x:v>2026Q2</x:v>
      </x:c>
      <x:c r="F390" s="20" t="n">
        <x:v>28940.8</x:v>
      </x:c>
      <x:c r="G390" s="20" t="n">
        <x:f>'Quarterly data'!$E$65</x:f>
        <x:v>26207.6666666667</x:v>
      </x:c>
      <x:c r="H390" s="22" t="n">
        <x:f>100*F390/G390</x:f>
        <x:v>110.42875494448175</x:v>
      </x:c>
      <x:c r="I390" s="24" t="n">
        <x:f>H390/100-1</x:f>
        <x:v>0.10428754944481744</x:v>
      </x:c>
      <x:c r="J390" s="26" t="n">
        <x:v>3</x:v>
      </x:c>
      <x:c r="K390" s="7" t="b">
        <x:v>0</x:v>
      </x:c>
      <x:c r="L390" s="2" t="str">
        <x:v>Aug 10–23, 2026</x:v>
      </x:c>
      <x:c r="M390" s="2" t="str">
        <x:v>https://www.census.gov/hfp/btos/downloads/Sector.xlsx</x:v>
      </x:c>
    </x:row>
    <x:row r="391" ht="24" customHeight="1">
      <x:c r="A391" s="2" t="str">
        <x:v>Census BTOS</x:v>
      </x:c>
      <x:c r="B391" s="2" t="str">
        <x:v>Quintiles</x:v>
      </x:c>
      <x:c r="C391" s="2" t="str">
        <x:v>Q5</x:v>
      </x:c>
      <x:c r="D391" s="28" t="n">
        <x:v>46174</x:v>
      </x:c>
      <x:c r="E391" s="2" t="str">
        <x:v>2026Q2</x:v>
      </x:c>
      <x:c r="F391" s="20" t="n">
        <x:v>24314</x:v>
      </x:c>
      <x:c r="G391" s="20" t="n">
        <x:f>'Quarterly data'!$E$66</x:f>
        <x:v>24267.6666666667</x:v>
      </x:c>
      <x:c r="H391" s="22" t="n">
        <x:f>100*F391/G391</x:f>
        <x:v>100.1909261980961</x:v>
      </x:c>
      <x:c r="I391" s="24" t="n">
        <x:f>H391/100-1</x:f>
        <x:v>0.0019092619809608635</x:v>
      </x:c>
      <x:c r="J391" s="26" t="n">
        <x:v>4</x:v>
      </x:c>
      <x:c r="K391" s="7" t="b">
        <x:v>0</x:v>
      </x:c>
      <x:c r="L391" s="2" t="str">
        <x:v>Aug 10–23, 2026</x:v>
      </x:c>
      <x:c r="M391" s="2" t="str">
        <x:v>https://www.census.gov/hfp/btos/downloads/Sector.xlsx</x:v>
      </x:c>
    </x:row>
    <x:row r="392" ht="24" customHeight="1">
      <x:c r="A392" s="2" t="str">
        <x:v>Census BTOS</x:v>
      </x:c>
      <x:c r="B392" s="2" t="str">
        <x:v>Quintiles</x:v>
      </x:c>
      <x:c r="C392" s="2" t="str">
        <x:v>Q1</x:v>
      </x:c>
      <x:c r="D392" s="28" t="n">
        <x:v>46204</x:v>
      </x:c>
      <x:c r="E392" s="2" t="str">
        <x:v>2026Q3</x:v>
      </x:c>
      <x:c r="F392" s="20" t="n">
        <x:v>27485.8</x:v>
      </x:c>
      <x:c r="G392" s="20" t="n">
        <x:f>'Quarterly data'!$E$62</x:f>
        <x:v>26934</x:v>
      </x:c>
      <x:c r="H392" s="22" t="n">
        <x:f>100*F392/G392</x:f>
        <x:v>102.04871166555283</x:v>
      </x:c>
      <x:c r="I392" s="24" t="n">
        <x:f>H392/100-1</x:f>
        <x:v>0.02048711665552827</x:v>
      </x:c>
      <x:c r="J392" s="26" t="n">
        <x:v>4</x:v>
      </x:c>
      <x:c r="K392" s="7" t="b">
        <x:v>1</x:v>
      </x:c>
      <x:c r="L392" s="2" t="str">
        <x:v>Aug 10–23, 2026</x:v>
      </x:c>
      <x:c r="M392" s="2" t="str">
        <x:v>https://www.census.gov/hfp/btos/downloads/Sector.xlsx</x:v>
      </x:c>
    </x:row>
    <x:row r="393" ht="24" customHeight="1">
      <x:c r="A393" s="2" t="str">
        <x:v>Census BTOS</x:v>
      </x:c>
      <x:c r="B393" s="2" t="str">
        <x:v>Quintiles</x:v>
      </x:c>
      <x:c r="C393" s="2" t="str">
        <x:v>Q2</x:v>
      </x:c>
      <x:c r="D393" s="28" t="n">
        <x:v>46204</x:v>
      </x:c>
      <x:c r="E393" s="2" t="str">
        <x:v>2026Q3</x:v>
      </x:c>
      <x:c r="F393" s="20" t="n">
        <x:v>24433</x:v>
      </x:c>
      <x:c r="G393" s="20" t="n">
        <x:f>'Quarterly data'!$E$63</x:f>
        <x:v>24074.9666666667</x:v>
      </x:c>
      <x:c r="H393" s="22" t="n">
        <x:f>100*F393/G393</x:f>
        <x:v>101.48716024528923</x:v>
      </x:c>
      <x:c r="I393" s="24" t="n">
        <x:f>H393/100-1</x:f>
        <x:v>0.014871602452892319</x:v>
      </x:c>
      <x:c r="J393" s="26" t="n">
        <x:v>3</x:v>
      </x:c>
      <x:c r="K393" s="7" t="b">
        <x:v>1</x:v>
      </x:c>
      <x:c r="L393" s="2" t="str">
        <x:v>Aug 10–23, 2026</x:v>
      </x:c>
      <x:c r="M393" s="2" t="str">
        <x:v>https://www.census.gov/hfp/btos/downloads/Sector.xlsx</x:v>
      </x:c>
    </x:row>
    <x:row r="394" ht="24" customHeight="1">
      <x:c r="A394" s="2" t="str">
        <x:v>Census BTOS</x:v>
      </x:c>
      <x:c r="B394" s="2" t="str">
        <x:v>Quintiles</x:v>
      </x:c>
      <x:c r="C394" s="2" t="str">
        <x:v>Q3</x:v>
      </x:c>
      <x:c r="D394" s="28" t="n">
        <x:v>46204</x:v>
      </x:c>
      <x:c r="E394" s="2" t="str">
        <x:v>2026Q3</x:v>
      </x:c>
      <x:c r="F394" s="20" t="n">
        <x:v>30398.3</x:v>
      </x:c>
      <x:c r="G394" s="20" t="n">
        <x:f>'Quarterly data'!$E$64</x:f>
        <x:v>30928.5333333333</x:v>
      </x:c>
      <x:c r="H394" s="22" t="n">
        <x:f>100*F394/G394</x:f>
        <x:v>98.28561759583394</x:v>
      </x:c>
      <x:c r="I394" s="24" t="n">
        <x:f>H394/100-1</x:f>
        <x:v>-0.017143824041660594</x:v>
      </x:c>
      <x:c r="J394" s="26" t="n">
        <x:v>4</x:v>
      </x:c>
      <x:c r="K394" s="7" t="b">
        <x:v>1</x:v>
      </x:c>
      <x:c r="L394" s="2" t="str">
        <x:v>Aug 10–23, 2026</x:v>
      </x:c>
      <x:c r="M394" s="2" t="str">
        <x:v>https://www.census.gov/hfp/btos/downloads/Sector.xlsx</x:v>
      </x:c>
    </x:row>
    <x:row r="395" ht="24" customHeight="1">
      <x:c r="A395" s="2" t="str">
        <x:v>Census BTOS</x:v>
      </x:c>
      <x:c r="B395" s="2" t="str">
        <x:v>Quintiles</x:v>
      </x:c>
      <x:c r="C395" s="2" t="str">
        <x:v>Q4</x:v>
      </x:c>
      <x:c r="D395" s="28" t="n">
        <x:v>46204</x:v>
      </x:c>
      <x:c r="E395" s="2" t="str">
        <x:v>2026Q3</x:v>
      </x:c>
      <x:c r="F395" s="20" t="n">
        <x:v>28960.2</x:v>
      </x:c>
      <x:c r="G395" s="20" t="n">
        <x:f>'Quarterly data'!$E$65</x:f>
        <x:v>26207.6666666667</x:v>
      </x:c>
      <x:c r="H395" s="22" t="n">
        <x:f>100*F395/G395</x:f>
        <x:v>110.50277908500043</x:v>
      </x:c>
      <x:c r="I395" s="24" t="n">
        <x:f>H395/100-1</x:f>
        <x:v>0.10502779085000435</x:v>
      </x:c>
      <x:c r="J395" s="26" t="n">
        <x:v>3</x:v>
      </x:c>
      <x:c r="K395" s="7" t="b">
        <x:v>1</x:v>
      </x:c>
      <x:c r="L395" s="2" t="str">
        <x:v>Aug 10–23, 2026</x:v>
      </x:c>
      <x:c r="M395" s="2" t="str">
        <x:v>https://www.census.gov/hfp/btos/downloads/Sector.xlsx</x:v>
      </x:c>
    </x:row>
    <x:row r="396" ht="24" customHeight="1">
      <x:c r="A396" s="2" t="str">
        <x:v>Census BTOS</x:v>
      </x:c>
      <x:c r="B396" s="2" t="str">
        <x:v>Quintiles</x:v>
      </x:c>
      <x:c r="C396" s="2" t="str">
        <x:v>Q5</x:v>
      </x:c>
      <x:c r="D396" s="28" t="n">
        <x:v>46204</x:v>
      </x:c>
      <x:c r="E396" s="2" t="str">
        <x:v>2026Q3</x:v>
      </x:c>
      <x:c r="F396" s="20" t="n">
        <x:v>24308.1</x:v>
      </x:c>
      <x:c r="G396" s="20" t="n">
        <x:f>'Quarterly data'!$E$66</x:f>
        <x:v>24267.6666666667</x:v>
      </x:c>
      <x:c r="H396" s="22" t="n">
        <x:f>100*F396/G396</x:f>
        <x:v>100.16661401315866</x:v>
      </x:c>
      <x:c r="I396" s="24" t="n">
        <x:f>H396/100-1</x:f>
        <x:v>0.0016661401315867241</x:v>
      </x:c>
      <x:c r="J396" s="26" t="n">
        <x:v>4</x:v>
      </x:c>
      <x:c r="K396" s="7" t="b">
        <x:v>1</x:v>
      </x:c>
      <x:c r="L396" s="2" t="str">
        <x:v>Aug 10–23, 2026</x:v>
      </x:c>
      <x:c r="M396" s="2" t="str">
        <x:v>https://www.census.gov/hfp/btos/downloads/Sector.xlsx</x:v>
      </x:c>
    </x:row>
    <x:row r="397" ht="24" customHeight="1">
      <x:c r="A397" s="2" t="str">
        <x:v>Census BTOS</x:v>
      </x:c>
      <x:c r="B397" s="2" t="str">
        <x:v>Quintiles</x:v>
      </x:c>
      <x:c r="C397" s="2" t="str">
        <x:v>Q1</x:v>
      </x:c>
      <x:c r="D397" s="28" t="n">
        <x:v>46235</x:v>
      </x:c>
      <x:c r="E397" s="2" t="str">
        <x:v>2026Q3</x:v>
      </x:c>
      <x:c r="F397" s="20" t="n">
        <x:v>27564.6</x:v>
      </x:c>
      <x:c r="G397" s="20" t="n">
        <x:f>'Quarterly data'!$E$62</x:f>
        <x:v>26934</x:v>
      </x:c>
      <x:c r="H397" s="22" t="n">
        <x:f>100*F397/G397</x:f>
        <x:v>102.34127868122076</x:v>
      </x:c>
      <x:c r="I397" s="24" t="n">
        <x:f>H397/100-1</x:f>
        <x:v>0.023412786812207598</x:v>
      </x:c>
      <x:c r="J397" s="26" t="n">
        <x:v>4</x:v>
      </x:c>
      <x:c r="K397" s="7" t="b">
        <x:v>1</x:v>
      </x:c>
      <x:c r="L397" s="2" t="str">
        <x:v>Aug 10–23, 2026</x:v>
      </x:c>
      <x:c r="M397" s="2" t="str">
        <x:v>https://www.census.gov/hfp/btos/downloads/Sector.xlsx</x:v>
      </x:c>
    </x:row>
    <x:row r="398" ht="24" customHeight="1">
      <x:c r="A398" s="2" t="str">
        <x:v>Census BTOS</x:v>
      </x:c>
      <x:c r="B398" s="2" t="str">
        <x:v>Quintiles</x:v>
      </x:c>
      <x:c r="C398" s="2" t="str">
        <x:v>Q2</x:v>
      </x:c>
      <x:c r="D398" s="28" t="n">
        <x:v>46235</x:v>
      </x:c>
      <x:c r="E398" s="2" t="str">
        <x:v>2026Q3</x:v>
      </x:c>
      <x:c r="F398" s="20" t="n">
        <x:v>24458.9</x:v>
      </x:c>
      <x:c r="G398" s="20" t="n">
        <x:f>'Quarterly data'!$E$63</x:f>
        <x:v>24074.9666666667</x:v>
      </x:c>
      <x:c r="H398" s="22" t="n">
        <x:f>100*F398/G398</x:f>
        <x:v>101.59474087191522</x:v>
      </x:c>
      <x:c r="I398" s="24" t="n">
        <x:f>H398/100-1</x:f>
        <x:v>0.015947408719152234</x:v>
      </x:c>
      <x:c r="J398" s="26" t="n">
        <x:v>3</x:v>
      </x:c>
      <x:c r="K398" s="7" t="b">
        <x:v>1</x:v>
      </x:c>
      <x:c r="L398" s="2" t="str">
        <x:v>Aug 10–23, 2026</x:v>
      </x:c>
      <x:c r="M398" s="2" t="str">
        <x:v>https://www.census.gov/hfp/btos/downloads/Sector.xlsx</x:v>
      </x:c>
    </x:row>
    <x:row r="399" ht="24" customHeight="1">
      <x:c r="A399" s="2" t="str">
        <x:v>Census BTOS</x:v>
      </x:c>
      <x:c r="B399" s="2" t="str">
        <x:v>Quintiles</x:v>
      </x:c>
      <x:c r="C399" s="2" t="str">
        <x:v>Q3</x:v>
      </x:c>
      <x:c r="D399" s="28" t="n">
        <x:v>46235</x:v>
      </x:c>
      <x:c r="E399" s="2" t="str">
        <x:v>2026Q3</x:v>
      </x:c>
      <x:c r="F399" s="20" t="n">
        <x:v>30420.2</x:v>
      </x:c>
      <x:c r="G399" s="20" t="n">
        <x:f>'Quarterly data'!$E$64</x:f>
        <x:v>30928.5333333333</x:v>
      </x:c>
      <x:c r="H399" s="22" t="n">
        <x:f>100*F399/G399</x:f>
        <x:v>98.35642599713759</x:v>
      </x:c>
      <x:c r="I399" s="24" t="n">
        <x:f>H399/100-1</x:f>
        <x:v>-0.016435740028624135</x:v>
      </x:c>
      <x:c r="J399" s="26" t="n">
        <x:v>4</x:v>
      </x:c>
      <x:c r="K399" s="7" t="b">
        <x:v>1</x:v>
      </x:c>
      <x:c r="L399" s="2" t="str">
        <x:v>Aug 10–23, 2026</x:v>
      </x:c>
      <x:c r="M399" s="2" t="str">
        <x:v>https://www.census.gov/hfp/btos/downloads/Sector.xlsx</x:v>
      </x:c>
    </x:row>
    <x:row r="400" ht="24" customHeight="1">
      <x:c r="A400" s="2" t="str">
        <x:v>Census BTOS</x:v>
      </x:c>
      <x:c r="B400" s="2" t="str">
        <x:v>Quintiles</x:v>
      </x:c>
      <x:c r="C400" s="2" t="str">
        <x:v>Q4</x:v>
      </x:c>
      <x:c r="D400" s="28" t="n">
        <x:v>46235</x:v>
      </x:c>
      <x:c r="E400" s="2" t="str">
        <x:v>2026Q3</x:v>
      </x:c>
      <x:c r="F400" s="20" t="n">
        <x:v>28985.7</x:v>
      </x:c>
      <x:c r="G400" s="20" t="n">
        <x:f>'Quarterly data'!$E$65</x:f>
        <x:v>26207.6666666667</x:v>
      </x:c>
      <x:c r="H400" s="22" t="n">
        <x:f>100*F400/G400</x:f>
        <x:v>110.60007885733168</x:v>
      </x:c>
      <x:c r="I400" s="24" t="n">
        <x:f>H400/100-1</x:f>
        <x:v>0.10600078857331674</x:v>
      </x:c>
      <x:c r="J400" s="26" t="n">
        <x:v>3</x:v>
      </x:c>
      <x:c r="K400" s="7" t="b">
        <x:v>1</x:v>
      </x:c>
      <x:c r="L400" s="2" t="str">
        <x:v>Aug 10–23, 2026</x:v>
      </x:c>
      <x:c r="M400" s="2" t="str">
        <x:v>https://www.census.gov/hfp/btos/downloads/Sector.xlsx</x:v>
      </x:c>
    </x:row>
    <x:row r="401" ht="24" customHeight="1">
      <x:c r="A401" s="2" t="str">
        <x:v>Census BTOS</x:v>
      </x:c>
      <x:c r="B401" s="2" t="str">
        <x:v>Quintiles</x:v>
      </x:c>
      <x:c r="C401" s="2" t="str">
        <x:v>Q5</x:v>
      </x:c>
      <x:c r="D401" s="28" t="n">
        <x:v>46235</x:v>
      </x:c>
      <x:c r="E401" s="2" t="str">
        <x:v>2026Q3</x:v>
      </x:c>
      <x:c r="F401" s="20" t="n">
        <x:v>24283.8</x:v>
      </x:c>
      <x:c r="G401" s="20" t="n">
        <x:f>'Quarterly data'!$E$66</x:f>
        <x:v>24267.6666666667</x:v>
      </x:c>
      <x:c r="H401" s="22" t="n">
        <x:f>100*F401/G401</x:f>
        <x:v>100.06648077689093</x:v>
      </x:c>
      <x:c r="I401" s="24" t="n">
        <x:f>H401/100-1</x:f>
        <x:v>0.0006648077689093146</x:v>
      </x:c>
      <x:c r="J401" s="26" t="n">
        <x:v>4</x:v>
      </x:c>
      <x:c r="K401" s="7" t="b">
        <x:v>1</x:v>
      </x:c>
      <x:c r="L401" s="2" t="str">
        <x:v>Aug 10–23, 2026</x:v>
      </x:c>
      <x:c r="M401" s="2" t="str">
        <x:v>https://www.census.gov/hfp/btos/downloads/Sector.xlsx</x:v>
      </x:c>
    </x:row>
    <x:row r="402" ht="24" customHeight="1">
      <x:c r="A402" s="2" t="str">
        <x:v>Census BTOS</x:v>
      </x:c>
      <x:c r="B402" s="2" t="str">
        <x:v>Halves</x:v>
      </x:c>
      <x:c r="C402" s="2" t="str">
        <x:v>Lower half</x:v>
      </x:c>
      <x:c r="D402" s="28" t="n">
        <x:v>44927</x:v>
      </x:c>
      <x:c r="E402" s="2" t="str">
        <x:v>2023Q1</x:v>
      </x:c>
      <x:c r="F402" s="20" t="n">
        <x:v>59464.6</x:v>
      </x:c>
      <x:c r="G402" s="20" t="n">
        <x:f>'Quarterly data'!$E$132</x:f>
        <x:v>59538.3333333333</x:v>
      </x:c>
      <x:c r="H402" s="22" t="n">
        <x:f>100*F402/G402</x:f>
        <x:v>99.87615821739502</x:v>
      </x:c>
      <x:c r="I402" s="24" t="n">
        <x:f>H402/100-1</x:f>
        <x:v>-0.0012384178260498313</x:v>
      </x:c>
      <x:c r="J402" s="26" t="n">
        <x:v>9</x:v>
      </x:c>
      <x:c r="K402" s="7" t="b">
        <x:v>0</x:v>
      </x:c>
      <x:c r="L402" s="2" t="str">
        <x:v>Aug 10–23, 2026</x:v>
      </x:c>
      <x:c r="M402" s="2" t="str">
        <x:v>https://www.census.gov/hfp/btos/downloads/Sector.xlsx</x:v>
      </x:c>
    </x:row>
    <x:row r="403" ht="24" customHeight="1">
      <x:c r="A403" s="2" t="str">
        <x:v>Census BTOS</x:v>
      </x:c>
      <x:c r="B403" s="2" t="str">
        <x:v>Halves</x:v>
      </x:c>
      <x:c r="C403" s="2" t="str">
        <x:v>Higher half</x:v>
      </x:c>
      <x:c r="D403" s="28" t="n">
        <x:v>44927</x:v>
      </x:c>
      <x:c r="E403" s="2" t="str">
        <x:v>2023Q1</x:v>
      </x:c>
      <x:c r="F403" s="20" t="n">
        <x:v>72780.9</x:v>
      </x:c>
      <x:c r="G403" s="20" t="n">
        <x:f>'Quarterly data'!$E$133</x:f>
        <x:v>72874.5</x:v>
      </x:c>
      <x:c r="H403" s="22" t="n">
        <x:f>100*F403/G403</x:f>
        <x:v>99.87156001070332</x:v>
      </x:c>
      <x:c r="I403" s="24" t="n">
        <x:f>H403/100-1</x:f>
        <x:v>-0.0012843998929668032</x:v>
      </x:c>
      <x:c r="J403" s="26" t="n">
        <x:v>9</x:v>
      </x:c>
      <x:c r="K403" s="7" t="b">
        <x:v>0</x:v>
      </x:c>
      <x:c r="L403" s="2" t="str">
        <x:v>Aug 10–23, 2026</x:v>
      </x:c>
      <x:c r="M403" s="2" t="str">
        <x:v>https://www.census.gov/hfp/btos/downloads/Sector.xlsx</x:v>
      </x:c>
    </x:row>
    <x:row r="404" ht="24" customHeight="1">
      <x:c r="A404" s="2" t="str">
        <x:v>Census BTOS</x:v>
      </x:c>
      <x:c r="B404" s="2" t="str">
        <x:v>Halves</x:v>
      </x:c>
      <x:c r="C404" s="2" t="str">
        <x:v>Lower half</x:v>
      </x:c>
      <x:c r="D404" s="28" t="n">
        <x:v>44958</x:v>
      </x:c>
      <x:c r="E404" s="2" t="str">
        <x:v>2023Q1</x:v>
      </x:c>
      <x:c r="F404" s="20" t="n">
        <x:v>59593.4</x:v>
      </x:c>
      <x:c r="G404" s="20" t="n">
        <x:f>'Quarterly data'!$E$132</x:f>
        <x:v>59538.3333333333</x:v>
      </x:c>
      <x:c r="H404" s="22" t="n">
        <x:f>100*F404/G404</x:f>
        <x:v>100.0924894325785</x:v>
      </x:c>
      <x:c r="I404" s="24" t="n">
        <x:f>H404/100-1</x:f>
        <x:v>0.0009248943257851305</x:v>
      </x:c>
      <x:c r="J404" s="26" t="n">
        <x:v>9</x:v>
      </x:c>
      <x:c r="K404" s="7" t="b">
        <x:v>0</x:v>
      </x:c>
      <x:c r="L404" s="2" t="str">
        <x:v>Aug 10–23, 2026</x:v>
      </x:c>
      <x:c r="M404" s="2" t="str">
        <x:v>https://www.census.gov/hfp/btos/downloads/Sector.xlsx</x:v>
      </x:c>
    </x:row>
    <x:row r="405" ht="24" customHeight="1">
      <x:c r="A405" s="2" t="str">
        <x:v>Census BTOS</x:v>
      </x:c>
      <x:c r="B405" s="2" t="str">
        <x:v>Halves</x:v>
      </x:c>
      <x:c r="C405" s="2" t="str">
        <x:v>Higher half</x:v>
      </x:c>
      <x:c r="D405" s="28" t="n">
        <x:v>44958</x:v>
      </x:c>
      <x:c r="E405" s="2" t="str">
        <x:v>2023Q1</x:v>
      </x:c>
      <x:c r="F405" s="20" t="n">
        <x:v>72890.1</x:v>
      </x:c>
      <x:c r="G405" s="20" t="n">
        <x:f>'Quarterly data'!$E$133</x:f>
        <x:v>72874.5</x:v>
      </x:c>
      <x:c r="H405" s="22" t="n">
        <x:f>100*F405/G405</x:f>
        <x:v>100.02140666488279</x:v>
      </x:c>
      <x:c r="I405" s="24" t="n">
        <x:f>H405/100-1</x:f>
        <x:v>0.00021406664882794857</x:v>
      </x:c>
      <x:c r="J405" s="26" t="n">
        <x:v>9</x:v>
      </x:c>
      <x:c r="K405" s="7" t="b">
        <x:v>0</x:v>
      </x:c>
      <x:c r="L405" s="2" t="str">
        <x:v>Aug 10–23, 2026</x:v>
      </x:c>
      <x:c r="M405" s="2" t="str">
        <x:v>https://www.census.gov/hfp/btos/downloads/Sector.xlsx</x:v>
      </x:c>
    </x:row>
    <x:row r="406" ht="24" customHeight="1">
      <x:c r="A406" s="2" t="str">
        <x:v>Census BTOS</x:v>
      </x:c>
      <x:c r="B406" s="2" t="str">
        <x:v>Halves</x:v>
      </x:c>
      <x:c r="C406" s="2" t="str">
        <x:v>Lower half</x:v>
      </x:c>
      <x:c r="D406" s="28" t="n">
        <x:v>44986</x:v>
      </x:c>
      <x:c r="E406" s="2" t="str">
        <x:v>2023Q1</x:v>
      </x:c>
      <x:c r="F406" s="20" t="n">
        <x:v>59557</x:v>
      </x:c>
      <x:c r="G406" s="20" t="n">
        <x:f>'Quarterly data'!$E$132</x:f>
        <x:v>59538.3333333333</x:v>
      </x:c>
      <x:c r="H406" s="22" t="n">
        <x:f>100*F406/G406</x:f>
        <x:v>100.03135235002665</x:v>
      </x:c>
      <x:c r="I406" s="24" t="n">
        <x:f>H406/100-1</x:f>
        <x:v>0.00031352350026647713</x:v>
      </x:c>
      <x:c r="J406" s="26" t="n">
        <x:v>9</x:v>
      </x:c>
      <x:c r="K406" s="7" t="b">
        <x:v>0</x:v>
      </x:c>
      <x:c r="L406" s="2" t="str">
        <x:v>Aug 10–23, 2026</x:v>
      </x:c>
      <x:c r="M406" s="2" t="str">
        <x:v>https://www.census.gov/hfp/btos/downloads/Sector.xlsx</x:v>
      </x:c>
    </x:row>
    <x:row r="407" ht="24" customHeight="1">
      <x:c r="A407" s="2" t="str">
        <x:v>Census BTOS</x:v>
      </x:c>
      <x:c r="B407" s="2" t="str">
        <x:v>Halves</x:v>
      </x:c>
      <x:c r="C407" s="2" t="str">
        <x:v>Higher half</x:v>
      </x:c>
      <x:c r="D407" s="28" t="n">
        <x:v>44986</x:v>
      </x:c>
      <x:c r="E407" s="2" t="str">
        <x:v>2023Q1</x:v>
      </x:c>
      <x:c r="F407" s="20" t="n">
        <x:v>72952.5</x:v>
      </x:c>
      <x:c r="G407" s="20" t="n">
        <x:f>'Quarterly data'!$E$133</x:f>
        <x:v>72874.5</x:v>
      </x:c>
      <x:c r="H407" s="22" t="n">
        <x:f>100*F407/G407</x:f>
        <x:v>100.10703332441389</x:v>
      </x:c>
      <x:c r="I407" s="24" t="n">
        <x:f>H407/100-1</x:f>
        <x:v>0.0010703332441388547</x:v>
      </x:c>
      <x:c r="J407" s="26" t="n">
        <x:v>9</x:v>
      </x:c>
      <x:c r="K407" s="7" t="b">
        <x:v>0</x:v>
      </x:c>
      <x:c r="L407" s="2" t="str">
        <x:v>Aug 10–23, 2026</x:v>
      </x:c>
      <x:c r="M407" s="2" t="str">
        <x:v>https://www.census.gov/hfp/btos/downloads/Sector.xlsx</x:v>
      </x:c>
    </x:row>
    <x:row r="408" ht="24" customHeight="1">
      <x:c r="A408" s="2" t="str">
        <x:v>Census BTOS</x:v>
      </x:c>
      <x:c r="B408" s="2" t="str">
        <x:v>Halves</x:v>
      </x:c>
      <x:c r="C408" s="2" t="str">
        <x:v>Lower half</x:v>
      </x:c>
      <x:c r="D408" s="28" t="n">
        <x:v>45017</x:v>
      </x:c>
      <x:c r="E408" s="2" t="str">
        <x:v>2023Q2</x:v>
      </x:c>
      <x:c r="F408" s="20" t="n">
        <x:v>59631</x:v>
      </x:c>
      <x:c r="G408" s="20" t="n">
        <x:f>'Quarterly data'!$E$132</x:f>
        <x:v>59538.3333333333</x:v>
      </x:c>
      <x:c r="H408" s="22" t="n">
        <x:f>100*F408/G408</x:f>
        <x:v>100.15564202334636</x:v>
      </x:c>
      <x:c r="I408" s="24" t="n">
        <x:f>H408/100-1</x:f>
        <x:v>0.0015564202334636956</x:v>
      </x:c>
      <x:c r="J408" s="26" t="n">
        <x:v>9</x:v>
      </x:c>
      <x:c r="K408" s="7" t="b">
        <x:v>0</x:v>
      </x:c>
      <x:c r="L408" s="2" t="str">
        <x:v>Aug 10–23, 2026</x:v>
      </x:c>
      <x:c r="M408" s="2" t="str">
        <x:v>https://www.census.gov/hfp/btos/downloads/Sector.xlsx</x:v>
      </x:c>
    </x:row>
    <x:row r="409" ht="24" customHeight="1">
      <x:c r="A409" s="2" t="str">
        <x:v>Census BTOS</x:v>
      </x:c>
      <x:c r="B409" s="2" t="str">
        <x:v>Halves</x:v>
      </x:c>
      <x:c r="C409" s="2" t="str">
        <x:v>Higher half</x:v>
      </x:c>
      <x:c r="D409" s="28" t="n">
        <x:v>45017</x:v>
      </x:c>
      <x:c r="E409" s="2" t="str">
        <x:v>2023Q2</x:v>
      </x:c>
      <x:c r="F409" s="20" t="n">
        <x:v>73056</x:v>
      </x:c>
      <x:c r="G409" s="20" t="n">
        <x:f>'Quarterly data'!$E$133</x:f>
        <x:v>72874.5</x:v>
      </x:c>
      <x:c r="H409" s="22" t="n">
        <x:f>100*F409/G409</x:f>
        <x:v>100.24905831257847</x:v>
      </x:c>
      <x:c r="I409" s="24" t="n">
        <x:f>H409/100-1</x:f>
        <x:v>0.002490583125784651</x:v>
      </x:c>
      <x:c r="J409" s="26" t="n">
        <x:v>9</x:v>
      </x:c>
      <x:c r="K409" s="7" t="b">
        <x:v>0</x:v>
      </x:c>
      <x:c r="L409" s="2" t="str">
        <x:v>Aug 10–23, 2026</x:v>
      </x:c>
      <x:c r="M409" s="2" t="str">
        <x:v>https://www.census.gov/hfp/btos/downloads/Sector.xlsx</x:v>
      </x:c>
    </x:row>
    <x:row r="410" ht="24" customHeight="1">
      <x:c r="A410" s="2" t="str">
        <x:v>Census BTOS</x:v>
      </x:c>
      <x:c r="B410" s="2" t="str">
        <x:v>Halves</x:v>
      </x:c>
      <x:c r="C410" s="2" t="str">
        <x:v>Lower half</x:v>
      </x:c>
      <x:c r="D410" s="28" t="n">
        <x:v>45047</x:v>
      </x:c>
      <x:c r="E410" s="2" t="str">
        <x:v>2023Q2</x:v>
      </x:c>
      <x:c r="F410" s="20" t="n">
        <x:v>59738.9</x:v>
      </x:c>
      <x:c r="G410" s="20" t="n">
        <x:f>'Quarterly data'!$E$132</x:f>
        <x:v>59538.3333333333</x:v>
      </x:c>
      <x:c r="H410" s="22" t="n">
        <x:f>100*F410/G410</x:f>
        <x:v>100.33686980376794</x:v>
      </x:c>
      <x:c r="I410" s="24" t="n">
        <x:f>H410/100-1</x:f>
        <x:v>0.003368698037679474</x:v>
      </x:c>
      <x:c r="J410" s="26" t="n">
        <x:v>9</x:v>
      </x:c>
      <x:c r="K410" s="7" t="b">
        <x:v>0</x:v>
      </x:c>
      <x:c r="L410" s="2" t="str">
        <x:v>Aug 10–23, 2026</x:v>
      </x:c>
      <x:c r="M410" s="2" t="str">
        <x:v>https://www.census.gov/hfp/btos/downloads/Sector.xlsx</x:v>
      </x:c>
    </x:row>
    <x:row r="411" ht="24" customHeight="1">
      <x:c r="A411" s="2" t="str">
        <x:v>Census BTOS</x:v>
      </x:c>
      <x:c r="B411" s="2" t="str">
        <x:v>Halves</x:v>
      </x:c>
      <x:c r="C411" s="2" t="str">
        <x:v>Higher half</x:v>
      </x:c>
      <x:c r="D411" s="28" t="n">
        <x:v>45047</x:v>
      </x:c>
      <x:c r="E411" s="2" t="str">
        <x:v>2023Q2</x:v>
      </x:c>
      <x:c r="F411" s="20" t="n">
        <x:v>73148.2</x:v>
      </x:c>
      <x:c r="G411" s="20" t="n">
        <x:f>'Quarterly data'!$E$133</x:f>
        <x:v>72874.5</x:v>
      </x:c>
      <x:c r="H411" s="22" t="n">
        <x:f>100*F411/G411</x:f>
        <x:v>100.37557719092412</x:v>
      </x:c>
      <x:c r="I411" s="24" t="n">
        <x:f>H411/100-1</x:f>
        <x:v>0.0037557719092411457</x:v>
      </x:c>
      <x:c r="J411" s="26" t="n">
        <x:v>9</x:v>
      </x:c>
      <x:c r="K411" s="7" t="b">
        <x:v>0</x:v>
      </x:c>
      <x:c r="L411" s="2" t="str">
        <x:v>Aug 10–23, 2026</x:v>
      </x:c>
      <x:c r="M411" s="2" t="str">
        <x:v>https://www.census.gov/hfp/btos/downloads/Sector.xlsx</x:v>
      </x:c>
    </x:row>
    <x:row r="412" ht="24" customHeight="1">
      <x:c r="A412" s="2" t="str">
        <x:v>Census BTOS</x:v>
      </x:c>
      <x:c r="B412" s="2" t="str">
        <x:v>Halves</x:v>
      </x:c>
      <x:c r="C412" s="2" t="str">
        <x:v>Lower half</x:v>
      </x:c>
      <x:c r="D412" s="28" t="n">
        <x:v>45078</x:v>
      </x:c>
      <x:c r="E412" s="2" t="str">
        <x:v>2023Q2</x:v>
      </x:c>
      <x:c r="F412" s="20" t="n">
        <x:v>59825.7</x:v>
      </x:c>
      <x:c r="G412" s="20" t="n">
        <x:f>'Quarterly data'!$E$132</x:f>
        <x:v>59538.3333333333</x:v>
      </x:c>
      <x:c r="H412" s="22" t="n">
        <x:f>100*F412/G412</x:f>
        <x:v>100.4826582313916</x:v>
      </x:c>
      <x:c r="I412" s="24" t="n">
        <x:f>H412/100-1</x:f>
        <x:v>0.0048265823139159725</x:v>
      </x:c>
      <x:c r="J412" s="26" t="n">
        <x:v>9</x:v>
      </x:c>
      <x:c r="K412" s="7" t="b">
        <x:v>0</x:v>
      </x:c>
      <x:c r="L412" s="2" t="str">
        <x:v>Aug 10–23, 2026</x:v>
      </x:c>
      <x:c r="M412" s="2" t="str">
        <x:v>https://www.census.gov/hfp/btos/downloads/Sector.xlsx</x:v>
      </x:c>
    </x:row>
    <x:row r="413" ht="24" customHeight="1">
      <x:c r="A413" s="2" t="str">
        <x:v>Census BTOS</x:v>
      </x:c>
      <x:c r="B413" s="2" t="str">
        <x:v>Halves</x:v>
      </x:c>
      <x:c r="C413" s="2" t="str">
        <x:v>Higher half</x:v>
      </x:c>
      <x:c r="D413" s="28" t="n">
        <x:v>45078</x:v>
      </x:c>
      <x:c r="E413" s="2" t="str">
        <x:v>2023Q2</x:v>
      </x:c>
      <x:c r="F413" s="20" t="n">
        <x:v>73217.4</x:v>
      </x:c>
      <x:c r="G413" s="20" t="n">
        <x:f>'Quarterly data'!$E$133</x:f>
        <x:v>72874.5</x:v>
      </x:c>
      <x:c r="H413" s="22" t="n">
        <x:f>100*F413/G413</x:f>
        <x:v>100.47053496078874</x:v>
      </x:c>
      <x:c r="I413" s="24" t="n">
        <x:f>H413/100-1</x:f>
        <x:v>0.004705349607887488</x:v>
      </x:c>
      <x:c r="J413" s="26" t="n">
        <x:v>9</x:v>
      </x:c>
      <x:c r="K413" s="7" t="b">
        <x:v>0</x:v>
      </x:c>
      <x:c r="L413" s="2" t="str">
        <x:v>Aug 10–23, 2026</x:v>
      </x:c>
      <x:c r="M413" s="2" t="str">
        <x:v>https://www.census.gov/hfp/btos/downloads/Sector.xlsx</x:v>
      </x:c>
    </x:row>
    <x:row r="414" ht="24" customHeight="1">
      <x:c r="A414" s="2" t="str">
        <x:v>Census BTOS</x:v>
      </x:c>
      <x:c r="B414" s="2" t="str">
        <x:v>Halves</x:v>
      </x:c>
      <x:c r="C414" s="2" t="str">
        <x:v>Lower half</x:v>
      </x:c>
      <x:c r="D414" s="28" t="n">
        <x:v>45108</x:v>
      </x:c>
      <x:c r="E414" s="2" t="str">
        <x:v>2023Q3</x:v>
      </x:c>
      <x:c r="F414" s="20" t="n">
        <x:v>59889.5</x:v>
      </x:c>
      <x:c r="G414" s="20" t="n">
        <x:f>'Quarterly data'!$E$132</x:f>
        <x:v>59538.3333333333</x:v>
      </x:c>
      <x:c r="H414" s="22" t="n">
        <x:f>100*F414/G414</x:f>
        <x:v>100.58981608487535</x:v>
      </x:c>
      <x:c r="I414" s="24" t="n">
        <x:f>H414/100-1</x:f>
        <x:v>0.005898160848753609</x:v>
      </x:c>
      <x:c r="J414" s="26" t="n">
        <x:v>9</x:v>
      </x:c>
      <x:c r="K414" s="7" t="b">
        <x:v>0</x:v>
      </x:c>
      <x:c r="L414" s="2" t="str">
        <x:v>Aug 10–23, 2026</x:v>
      </x:c>
      <x:c r="M414" s="2" t="str">
        <x:v>https://www.census.gov/hfp/btos/downloads/Sector.xlsx</x:v>
      </x:c>
    </x:row>
    <x:row r="415" ht="24" customHeight="1">
      <x:c r="A415" s="2" t="str">
        <x:v>Census BTOS</x:v>
      </x:c>
      <x:c r="B415" s="2" t="str">
        <x:v>Halves</x:v>
      </x:c>
      <x:c r="C415" s="2" t="str">
        <x:v>Higher half</x:v>
      </x:c>
      <x:c r="D415" s="28" t="n">
        <x:v>45108</x:v>
      </x:c>
      <x:c r="E415" s="2" t="str">
        <x:v>2023Q3</x:v>
      </x:c>
      <x:c r="F415" s="20" t="n">
        <x:v>73269.7</x:v>
      </x:c>
      <x:c r="G415" s="20" t="n">
        <x:f>'Quarterly data'!$E$133</x:f>
        <x:v>72874.5</x:v>
      </x:c>
      <x:c r="H415" s="22" t="n">
        <x:f>100*F415/G415</x:f>
        <x:v>100.54230217703038</x:v>
      </x:c>
      <x:c r="I415" s="24" t="n">
        <x:f>H415/100-1</x:f>
        <x:v>0.0054230217703037376</x:v>
      </x:c>
      <x:c r="J415" s="26" t="n">
        <x:v>9</x:v>
      </x:c>
      <x:c r="K415" s="7" t="b">
        <x:v>0</x:v>
      </x:c>
      <x:c r="L415" s="2" t="str">
        <x:v>Aug 10–23, 2026</x:v>
      </x:c>
      <x:c r="M415" s="2" t="str">
        <x:v>https://www.census.gov/hfp/btos/downloads/Sector.xlsx</x:v>
      </x:c>
    </x:row>
    <x:row r="416" ht="24" customHeight="1">
      <x:c r="A416" s="2" t="str">
        <x:v>Census BTOS</x:v>
      </x:c>
      <x:c r="B416" s="2" t="str">
        <x:v>Halves</x:v>
      </x:c>
      <x:c r="C416" s="2" t="str">
        <x:v>Lower half</x:v>
      </x:c>
      <x:c r="D416" s="28" t="n">
        <x:v>45139</x:v>
      </x:c>
      <x:c r="E416" s="2" t="str">
        <x:v>2023Q3</x:v>
      </x:c>
      <x:c r="F416" s="20" t="n">
        <x:v>59961.7</x:v>
      </x:c>
      <x:c r="G416" s="20" t="n">
        <x:f>'Quarterly data'!$E$132</x:f>
        <x:v>59538.3333333333</x:v>
      </x:c>
      <x:c r="H416" s="22" t="n">
        <x:f>100*F416/G416</x:f>
        <x:v>100.71108249587107</x:v>
      </x:c>
      <x:c r="I416" s="24" t="n">
        <x:f>H416/100-1</x:f>
        <x:v>0.0071108249587106265</x:v>
      </x:c>
      <x:c r="J416" s="26" t="n">
        <x:v>9</x:v>
      </x:c>
      <x:c r="K416" s="7" t="b">
        <x:v>0</x:v>
      </x:c>
      <x:c r="L416" s="2" t="str">
        <x:v>Aug 10–23, 2026</x:v>
      </x:c>
      <x:c r="M416" s="2" t="str">
        <x:v>https://www.census.gov/hfp/btos/downloads/Sector.xlsx</x:v>
      </x:c>
    </x:row>
    <x:row r="417" ht="24" customHeight="1">
      <x:c r="A417" s="2" t="str">
        <x:v>Census BTOS</x:v>
      </x:c>
      <x:c r="B417" s="2" t="str">
        <x:v>Halves</x:v>
      </x:c>
      <x:c r="C417" s="2" t="str">
        <x:v>Higher half</x:v>
      </x:c>
      <x:c r="D417" s="28" t="n">
        <x:v>45139</x:v>
      </x:c>
      <x:c r="E417" s="2" t="str">
        <x:v>2023Q3</x:v>
      </x:c>
      <x:c r="F417" s="20" t="n">
        <x:v>73347.1</x:v>
      </x:c>
      <x:c r="G417" s="20" t="n">
        <x:f>'Quarterly data'!$E$133</x:f>
        <x:v>72874.5</x:v>
      </x:c>
      <x:c r="H417" s="22" t="n">
        <x:f>100*F417/G417</x:f>
        <x:v>100.64851216817955</x:v>
      </x:c>
      <x:c r="I417" s="24" t="n">
        <x:f>H417/100-1</x:f>
        <x:v>0.0064851216817956026</x:v>
      </x:c>
      <x:c r="J417" s="26" t="n">
        <x:v>9</x:v>
      </x:c>
      <x:c r="K417" s="7" t="b">
        <x:v>0</x:v>
      </x:c>
      <x:c r="L417" s="2" t="str">
        <x:v>Aug 10–23, 2026</x:v>
      </x:c>
      <x:c r="M417" s="2" t="str">
        <x:v>https://www.census.gov/hfp/btos/downloads/Sector.xlsx</x:v>
      </x:c>
    </x:row>
    <x:row r="418" ht="24" customHeight="1">
      <x:c r="A418" s="2" t="str">
        <x:v>Census BTOS</x:v>
      </x:c>
      <x:c r="B418" s="2" t="str">
        <x:v>Halves</x:v>
      </x:c>
      <x:c r="C418" s="2" t="str">
        <x:v>Lower half</x:v>
      </x:c>
      <x:c r="D418" s="28" t="n">
        <x:v>45170</x:v>
      </x:c>
      <x:c r="E418" s="2" t="str">
        <x:v>2023Q3</x:v>
      </x:c>
      <x:c r="F418" s="20" t="n">
        <x:v>60006.1</x:v>
      </x:c>
      <x:c r="G418" s="20" t="n">
        <x:f>'Quarterly data'!$E$132</x:f>
        <x:v>59538.3333333333</x:v>
      </x:c>
      <x:c r="H418" s="22" t="n">
        <x:f>100*F418/G418</x:f>
        <x:v>100.7856562998629</x:v>
      </x:c>
      <x:c r="I418" s="24" t="n">
        <x:f>H418/100-1</x:f>
        <x:v>0.007856562998628913</x:v>
      </x:c>
      <x:c r="J418" s="26" t="n">
        <x:v>9</x:v>
      </x:c>
      <x:c r="K418" s="7" t="b">
        <x:v>0</x:v>
      </x:c>
      <x:c r="L418" s="2" t="str">
        <x:v>Aug 10–23, 2026</x:v>
      </x:c>
      <x:c r="M418" s="2" t="str">
        <x:v>https://www.census.gov/hfp/btos/downloads/Sector.xlsx</x:v>
      </x:c>
    </x:row>
    <x:row r="419" ht="24" customHeight="1">
      <x:c r="A419" s="2" t="str">
        <x:v>Census BTOS</x:v>
      </x:c>
      <x:c r="B419" s="2" t="str">
        <x:v>Halves</x:v>
      </x:c>
      <x:c r="C419" s="2" t="str">
        <x:v>Higher half</x:v>
      </x:c>
      <x:c r="D419" s="28" t="n">
        <x:v>45170</x:v>
      </x:c>
      <x:c r="E419" s="2" t="str">
        <x:v>2023Q3</x:v>
      </x:c>
      <x:c r="F419" s="20" t="n">
        <x:v>73416.6</x:v>
      </x:c>
      <x:c r="G419" s="20" t="n">
        <x:f>'Quarterly data'!$E$133</x:f>
        <x:v>72874.5</x:v>
      </x:c>
      <x:c r="H419" s="22" t="n">
        <x:f>100*F419/G419</x:f>
        <x:v>100.74388160467655</x:v>
      </x:c>
      <x:c r="I419" s="24" t="n">
        <x:f>H419/100-1</x:f>
        <x:v>0.007438816046765551</x:v>
      </x:c>
      <x:c r="J419" s="26" t="n">
        <x:v>9</x:v>
      </x:c>
      <x:c r="K419" s="7" t="b">
        <x:v>0</x:v>
      </x:c>
      <x:c r="L419" s="2" t="str">
        <x:v>Aug 10–23, 2026</x:v>
      </x:c>
      <x:c r="M419" s="2" t="str">
        <x:v>https://www.census.gov/hfp/btos/downloads/Sector.xlsx</x:v>
      </x:c>
    </x:row>
    <x:row r="420" ht="24" customHeight="1">
      <x:c r="A420" s="2" t="str">
        <x:v>Census BTOS</x:v>
      </x:c>
      <x:c r="B420" s="2" t="str">
        <x:v>Halves</x:v>
      </x:c>
      <x:c r="C420" s="2" t="str">
        <x:v>Lower half</x:v>
      </x:c>
      <x:c r="D420" s="28" t="n">
        <x:v>45200</x:v>
      </x:c>
      <x:c r="E420" s="2" t="str">
        <x:v>2023Q4</x:v>
      </x:c>
      <x:c r="F420" s="20" t="n">
        <x:v>60119.9</x:v>
      </x:c>
      <x:c r="G420" s="20" t="n">
        <x:f>'Quarterly data'!$E$132</x:f>
        <x:v>59538.3333333333</x:v>
      </x:c>
      <x:c r="H420" s="22" t="n">
        <x:f>100*F420/G420</x:f>
        <x:v>100.97679366234645</x:v>
      </x:c>
      <x:c r="I420" s="24" t="n">
        <x:f>H420/100-1</x:f>
        <x:v>0.009767936623464424</x:v>
      </x:c>
      <x:c r="J420" s="26" t="n">
        <x:v>9</x:v>
      </x:c>
      <x:c r="K420" s="7" t="b">
        <x:v>0</x:v>
      </x:c>
      <x:c r="L420" s="2" t="str">
        <x:v>Aug 10–23, 2026</x:v>
      </x:c>
      <x:c r="M420" s="2" t="str">
        <x:v>https://www.census.gov/hfp/btos/downloads/Sector.xlsx</x:v>
      </x:c>
    </x:row>
    <x:row r="421" ht="24" customHeight="1">
      <x:c r="A421" s="2" t="str">
        <x:v>Census BTOS</x:v>
      </x:c>
      <x:c r="B421" s="2" t="str">
        <x:v>Halves</x:v>
      </x:c>
      <x:c r="C421" s="2" t="str">
        <x:v>Higher half</x:v>
      </x:c>
      <x:c r="D421" s="28" t="n">
        <x:v>45200</x:v>
      </x:c>
      <x:c r="E421" s="2" t="str">
        <x:v>2023Q4</x:v>
      </x:c>
      <x:c r="F421" s="20" t="n">
        <x:v>73416.4</x:v>
      </x:c>
      <x:c r="G421" s="20" t="n">
        <x:f>'Quarterly data'!$E$133</x:f>
        <x:v>72874.5</x:v>
      </x:c>
      <x:c r="H421" s="22" t="n">
        <x:f>100*F421/G421</x:f>
        <x:v>100.74360716025494</x:v>
      </x:c>
      <x:c r="I421" s="24" t="n">
        <x:f>H421/100-1</x:f>
        <x:v>0.007436071602549443</x:v>
      </x:c>
      <x:c r="J421" s="26" t="n">
        <x:v>9</x:v>
      </x:c>
      <x:c r="K421" s="7" t="b">
        <x:v>0</x:v>
      </x:c>
      <x:c r="L421" s="2" t="str">
        <x:v>Aug 10–23, 2026</x:v>
      </x:c>
      <x:c r="M421" s="2" t="str">
        <x:v>https://www.census.gov/hfp/btos/downloads/Sector.xlsx</x:v>
      </x:c>
    </x:row>
    <x:row r="422" ht="24" customHeight="1">
      <x:c r="A422" s="2" t="str">
        <x:v>Census BTOS</x:v>
      </x:c>
      <x:c r="B422" s="2" t="str">
        <x:v>Halves</x:v>
      </x:c>
      <x:c r="C422" s="2" t="str">
        <x:v>Lower half</x:v>
      </x:c>
      <x:c r="D422" s="28" t="n">
        <x:v>45231</x:v>
      </x:c>
      <x:c r="E422" s="2" t="str">
        <x:v>2023Q4</x:v>
      </x:c>
      <x:c r="F422" s="20" t="n">
        <x:v>60116.2</x:v>
      </x:c>
      <x:c r="G422" s="20" t="n">
        <x:f>'Quarterly data'!$E$132</x:f>
        <x:v>59538.3333333333</x:v>
      </x:c>
      <x:c r="H422" s="22" t="n">
        <x:f>100*F422/G422</x:f>
        <x:v>100.97057917868045</x:v>
      </x:c>
      <x:c r="I422" s="24" t="n">
        <x:f>H422/100-1</x:f>
        <x:v>0.009705791786804419</x:v>
      </x:c>
      <x:c r="J422" s="26" t="n">
        <x:v>9</x:v>
      </x:c>
      <x:c r="K422" s="7" t="b">
        <x:v>0</x:v>
      </x:c>
      <x:c r="L422" s="2" t="str">
        <x:v>Aug 10–23, 2026</x:v>
      </x:c>
      <x:c r="M422" s="2" t="str">
        <x:v>https://www.census.gov/hfp/btos/downloads/Sector.xlsx</x:v>
      </x:c>
    </x:row>
    <x:row r="423" ht="24" customHeight="1">
      <x:c r="A423" s="2" t="str">
        <x:v>Census BTOS</x:v>
      </x:c>
      <x:c r="B423" s="2" t="str">
        <x:v>Halves</x:v>
      </x:c>
      <x:c r="C423" s="2" t="str">
        <x:v>Higher half</x:v>
      </x:c>
      <x:c r="D423" s="28" t="n">
        <x:v>45231</x:v>
      </x:c>
      <x:c r="E423" s="2" t="str">
        <x:v>2023Q4</x:v>
      </x:c>
      <x:c r="F423" s="20" t="n">
        <x:v>73507.1</x:v>
      </x:c>
      <x:c r="G423" s="20" t="n">
        <x:f>'Quarterly data'!$E$133</x:f>
        <x:v>72874.5</x:v>
      </x:c>
      <x:c r="H423" s="22" t="n">
        <x:f>100*F423/G423</x:f>
        <x:v>100.86806770543882</x:v>
      </x:c>
      <x:c r="I423" s="24" t="n">
        <x:f>H423/100-1</x:f>
        <x:v>0.00868067705438813</x:v>
      </x:c>
      <x:c r="J423" s="26" t="n">
        <x:v>9</x:v>
      </x:c>
      <x:c r="K423" s="7" t="b">
        <x:v>0</x:v>
      </x:c>
      <x:c r="L423" s="2" t="str">
        <x:v>Aug 10–23, 2026</x:v>
      </x:c>
      <x:c r="M423" s="2" t="str">
        <x:v>https://www.census.gov/hfp/btos/downloads/Sector.xlsx</x:v>
      </x:c>
    </x:row>
    <x:row r="424" ht="24" customHeight="1">
      <x:c r="A424" s="2" t="str">
        <x:v>Census BTOS</x:v>
      </x:c>
      <x:c r="B424" s="2" t="str">
        <x:v>Halves</x:v>
      </x:c>
      <x:c r="C424" s="2" t="str">
        <x:v>Lower half</x:v>
      </x:c>
      <x:c r="D424" s="28" t="n">
        <x:v>45261</x:v>
      </x:c>
      <x:c r="E424" s="2" t="str">
        <x:v>2023Q4</x:v>
      </x:c>
      <x:c r="F424" s="20" t="n">
        <x:v>60133.9</x:v>
      </x:c>
      <x:c r="G424" s="20" t="n">
        <x:f>'Quarterly data'!$E$132</x:f>
        <x:v>59538.3333333333</x:v>
      </x:c>
      <x:c r="H424" s="22" t="n">
        <x:f>100*F424/G424</x:f>
        <x:v>101.00030792486639</x:v>
      </x:c>
      <x:c r="I424" s="24" t="n">
        <x:f>H424/100-1</x:f>
        <x:v>0.010003079248663838</x:v>
      </x:c>
      <x:c r="J424" s="26" t="n">
        <x:v>9</x:v>
      </x:c>
      <x:c r="K424" s="7" t="b">
        <x:v>0</x:v>
      </x:c>
      <x:c r="L424" s="2" t="str">
        <x:v>Aug 10–23, 2026</x:v>
      </x:c>
      <x:c r="M424" s="2" t="str">
        <x:v>https://www.census.gov/hfp/btos/downloads/Sector.xlsx</x:v>
      </x:c>
    </x:row>
    <x:row r="425" ht="24" customHeight="1">
      <x:c r="A425" s="2" t="str">
        <x:v>Census BTOS</x:v>
      </x:c>
      <x:c r="B425" s="2" t="str">
        <x:v>Halves</x:v>
      </x:c>
      <x:c r="C425" s="2" t="str">
        <x:v>Higher half</x:v>
      </x:c>
      <x:c r="D425" s="28" t="n">
        <x:v>45261</x:v>
      </x:c>
      <x:c r="E425" s="2" t="str">
        <x:v>2023Q4</x:v>
      </x:c>
      <x:c r="F425" s="20" t="n">
        <x:v>73588.6</x:v>
      </x:c>
      <x:c r="G425" s="20" t="n">
        <x:f>'Quarterly data'!$E$133</x:f>
        <x:v>72874.5</x:v>
      </x:c>
      <x:c r="H425" s="22" t="n">
        <x:f>100*F425/G425</x:f>
        <x:v>100.97990380723026</x:v>
      </x:c>
      <x:c r="I425" s="24" t="n">
        <x:f>H425/100-1</x:f>
        <x:v>0.009799038072302535</x:v>
      </x:c>
      <x:c r="J425" s="26" t="n">
        <x:v>9</x:v>
      </x:c>
      <x:c r="K425" s="7" t="b">
        <x:v>0</x:v>
      </x:c>
      <x:c r="L425" s="2" t="str">
        <x:v>Aug 10–23, 2026</x:v>
      </x:c>
      <x:c r="M425" s="2" t="str">
        <x:v>https://www.census.gov/hfp/btos/downloads/Sector.xlsx</x:v>
      </x:c>
    </x:row>
    <x:row r="426" ht="24" customHeight="1">
      <x:c r="A426" s="2" t="str">
        <x:v>Census BTOS</x:v>
      </x:c>
      <x:c r="B426" s="2" t="str">
        <x:v>Halves</x:v>
      </x:c>
      <x:c r="C426" s="2" t="str">
        <x:v>Lower half</x:v>
      </x:c>
      <x:c r="D426" s="28" t="n">
        <x:v>45292</x:v>
      </x:c>
      <x:c r="E426" s="2" t="str">
        <x:v>2024Q1</x:v>
      </x:c>
      <x:c r="F426" s="20" t="n">
        <x:v>60145.1</x:v>
      </x:c>
      <x:c r="G426" s="20" t="n">
        <x:f>'Quarterly data'!$E$132</x:f>
        <x:v>59538.3333333333</x:v>
      </x:c>
      <x:c r="H426" s="22" t="n">
        <x:f>100*F426/G426</x:f>
        <x:v>101.01911933488235</x:v>
      </x:c>
      <x:c r="I426" s="24" t="n">
        <x:f>H426/100-1</x:f>
        <x:v>0.010191193348823457</x:v>
      </x:c>
      <x:c r="J426" s="26" t="n">
        <x:v>9</x:v>
      </x:c>
      <x:c r="K426" s="7" t="b">
        <x:v>0</x:v>
      </x:c>
      <x:c r="L426" s="2" t="str">
        <x:v>Aug 10–23, 2026</x:v>
      </x:c>
      <x:c r="M426" s="2" t="str">
        <x:v>https://www.census.gov/hfp/btos/downloads/Sector.xlsx</x:v>
      </x:c>
    </x:row>
    <x:row r="427" ht="24" customHeight="1">
      <x:c r="A427" s="2" t="str">
        <x:v>Census BTOS</x:v>
      </x:c>
      <x:c r="B427" s="2" t="str">
        <x:v>Halves</x:v>
      </x:c>
      <x:c r="C427" s="2" t="str">
        <x:v>Higher half</x:v>
      </x:c>
      <x:c r="D427" s="28" t="n">
        <x:v>45292</x:v>
      </x:c>
      <x:c r="E427" s="2" t="str">
        <x:v>2024Q1</x:v>
      </x:c>
      <x:c r="F427" s="20" t="n">
        <x:v>73703.6</x:v>
      </x:c>
      <x:c r="G427" s="20" t="n">
        <x:f>'Quarterly data'!$E$133</x:f>
        <x:v>72874.5</x:v>
      </x:c>
      <x:c r="H427" s="22" t="n">
        <x:f>100*F427/G427</x:f>
        <x:v>101.13770934963534</x:v>
      </x:c>
      <x:c r="I427" s="24" t="n">
        <x:f>H427/100-1</x:f>
        <x:v>0.011377093496353519</x:v>
      </x:c>
      <x:c r="J427" s="26" t="n">
        <x:v>9</x:v>
      </x:c>
      <x:c r="K427" s="7" t="b">
        <x:v>0</x:v>
      </x:c>
      <x:c r="L427" s="2" t="str">
        <x:v>Aug 10–23, 2026</x:v>
      </x:c>
      <x:c r="M427" s="2" t="str">
        <x:v>https://www.census.gov/hfp/btos/downloads/Sector.xlsx</x:v>
      </x:c>
    </x:row>
    <x:row r="428" ht="24" customHeight="1">
      <x:c r="A428" s="2" t="str">
        <x:v>Census BTOS</x:v>
      </x:c>
      <x:c r="B428" s="2" t="str">
        <x:v>Halves</x:v>
      </x:c>
      <x:c r="C428" s="2" t="str">
        <x:v>Lower half</x:v>
      </x:c>
      <x:c r="D428" s="28" t="n">
        <x:v>45323</x:v>
      </x:c>
      <x:c r="E428" s="2" t="str">
        <x:v>2024Q1</x:v>
      </x:c>
      <x:c r="F428" s="20" t="n">
        <x:v>60235.2</x:v>
      </x:c>
      <x:c r="G428" s="20" t="n">
        <x:f>'Quarterly data'!$E$132</x:f>
        <x:v>59538.3333333333</x:v>
      </x:c>
      <x:c r="H428" s="22" t="n">
        <x:f>100*F428/G428</x:f>
        <x:v>101.17045041009999</x:v>
      </x:c>
      <x:c r="I428" s="24" t="n">
        <x:f>H428/100-1</x:f>
        <x:v>0.01170450410099999</x:v>
      </x:c>
      <x:c r="J428" s="26" t="n">
        <x:v>9</x:v>
      </x:c>
      <x:c r="K428" s="7" t="b">
        <x:v>0</x:v>
      </x:c>
      <x:c r="L428" s="2" t="str">
        <x:v>Aug 10–23, 2026</x:v>
      </x:c>
      <x:c r="M428" s="2" t="str">
        <x:v>https://www.census.gov/hfp/btos/downloads/Sector.xlsx</x:v>
      </x:c>
    </x:row>
    <x:row r="429" ht="24" customHeight="1">
      <x:c r="A429" s="2" t="str">
        <x:v>Census BTOS</x:v>
      </x:c>
      <x:c r="B429" s="2" t="str">
        <x:v>Halves</x:v>
      </x:c>
      <x:c r="C429" s="2" t="str">
        <x:v>Higher half</x:v>
      </x:c>
      <x:c r="D429" s="28" t="n">
        <x:v>45323</x:v>
      </x:c>
      <x:c r="E429" s="2" t="str">
        <x:v>2024Q1</x:v>
      </x:c>
      <x:c r="F429" s="20" t="n">
        <x:v>73749.1</x:v>
      </x:c>
      <x:c r="G429" s="20" t="n">
        <x:f>'Quarterly data'!$E$133</x:f>
        <x:v>72874.5</x:v>
      </x:c>
      <x:c r="H429" s="22" t="n">
        <x:f>100*F429/G429</x:f>
        <x:v>101.20014545554345</x:v>
      </x:c>
      <x:c r="I429" s="24" t="n">
        <x:f>H429/100-1</x:f>
        <x:v>0.012001454555434554</x:v>
      </x:c>
      <x:c r="J429" s="26" t="n">
        <x:v>9</x:v>
      </x:c>
      <x:c r="K429" s="7" t="b">
        <x:v>0</x:v>
      </x:c>
      <x:c r="L429" s="2" t="str">
        <x:v>Aug 10–23, 2026</x:v>
      </x:c>
      <x:c r="M429" s="2" t="str">
        <x:v>https://www.census.gov/hfp/btos/downloads/Sector.xlsx</x:v>
      </x:c>
    </x:row>
    <x:row r="430" ht="24" customHeight="1">
      <x:c r="A430" s="2" t="str">
        <x:v>Census BTOS</x:v>
      </x:c>
      <x:c r="B430" s="2" t="str">
        <x:v>Halves</x:v>
      </x:c>
      <x:c r="C430" s="2" t="str">
        <x:v>Lower half</x:v>
      </x:c>
      <x:c r="D430" s="28" t="n">
        <x:v>45352</x:v>
      </x:c>
      <x:c r="E430" s="2" t="str">
        <x:v>2024Q1</x:v>
      </x:c>
      <x:c r="F430" s="20" t="n">
        <x:v>60335.9</x:v>
      </x:c>
      <x:c r="G430" s="20" t="n">
        <x:f>'Quarterly data'!$E$132</x:f>
        <x:v>59538.3333333333</x:v>
      </x:c>
      <x:c r="H430" s="22" t="n">
        <x:f>100*F430/G430</x:f>
        <x:v>101.3395851412256</x:v>
      </x:c>
      <x:c r="I430" s="24" t="n">
        <x:f>H430/100-1</x:f>
        <x:v>0.013395851412256077</x:v>
      </x:c>
      <x:c r="J430" s="26" t="n">
        <x:v>9</x:v>
      </x:c>
      <x:c r="K430" s="7" t="b">
        <x:v>0</x:v>
      </x:c>
      <x:c r="L430" s="2" t="str">
        <x:v>Aug 10–23, 2026</x:v>
      </x:c>
      <x:c r="M430" s="2" t="str">
        <x:v>https://www.census.gov/hfp/btos/downloads/Sector.xlsx</x:v>
      </x:c>
    </x:row>
    <x:row r="431" ht="24" customHeight="1">
      <x:c r="A431" s="2" t="str">
        <x:v>Census BTOS</x:v>
      </x:c>
      <x:c r="B431" s="2" t="str">
        <x:v>Halves</x:v>
      </x:c>
      <x:c r="C431" s="2" t="str">
        <x:v>Higher half</x:v>
      </x:c>
      <x:c r="D431" s="28" t="n">
        <x:v>45352</x:v>
      </x:c>
      <x:c r="E431" s="2" t="str">
        <x:v>2024Q1</x:v>
      </x:c>
      <x:c r="F431" s="20" t="n">
        <x:v>73792.1</x:v>
      </x:c>
      <x:c r="G431" s="20" t="n">
        <x:f>'Quarterly data'!$E$133</x:f>
        <x:v>72874.5</x:v>
      </x:c>
      <x:c r="H431" s="22" t="n">
        <x:f>100*F431/G431</x:f>
        <x:v>101.25915100618187</x:v>
      </x:c>
      <x:c r="I431" s="24" t="n">
        <x:f>H431/100-1</x:f>
        <x:v>0.012591510061818578</x:v>
      </x:c>
      <x:c r="J431" s="26" t="n">
        <x:v>9</x:v>
      </x:c>
      <x:c r="K431" s="7" t="b">
        <x:v>0</x:v>
      </x:c>
      <x:c r="L431" s="2" t="str">
        <x:v>Aug 10–23, 2026</x:v>
      </x:c>
      <x:c r="M431" s="2" t="str">
        <x:v>https://www.census.gov/hfp/btos/downloads/Sector.xlsx</x:v>
      </x:c>
    </x:row>
    <x:row r="432" ht="24" customHeight="1">
      <x:c r="A432" s="2" t="str">
        <x:v>Census BTOS</x:v>
      </x:c>
      <x:c r="B432" s="2" t="str">
        <x:v>Halves</x:v>
      </x:c>
      <x:c r="C432" s="2" t="str">
        <x:v>Lower half</x:v>
      </x:c>
      <x:c r="D432" s="28" t="n">
        <x:v>45383</x:v>
      </x:c>
      <x:c r="E432" s="2" t="str">
        <x:v>2024Q2</x:v>
      </x:c>
      <x:c r="F432" s="20" t="n">
        <x:v>60345.5</x:v>
      </x:c>
      <x:c r="G432" s="20" t="n">
        <x:f>'Quarterly data'!$E$132</x:f>
        <x:v>59538.3333333333</x:v>
      </x:c>
      <x:c r="H432" s="22" t="n">
        <x:f>100*F432/G432</x:f>
        <x:v>101.35570920695356</x:v>
      </x:c>
      <x:c r="I432" s="24" t="n">
        <x:f>H432/100-1</x:f>
        <x:v>0.013557092069535592</x:v>
      </x:c>
      <x:c r="J432" s="26" t="n">
        <x:v>9</x:v>
      </x:c>
      <x:c r="K432" s="7" t="b">
        <x:v>0</x:v>
      </x:c>
      <x:c r="L432" s="2" t="str">
        <x:v>Aug 10–23, 2026</x:v>
      </x:c>
      <x:c r="M432" s="2" t="str">
        <x:v>https://www.census.gov/hfp/btos/downloads/Sector.xlsx</x:v>
      </x:c>
    </x:row>
    <x:row r="433" ht="24" customHeight="1">
      <x:c r="A433" s="2" t="str">
        <x:v>Census BTOS</x:v>
      </x:c>
      <x:c r="B433" s="2" t="str">
        <x:v>Halves</x:v>
      </x:c>
      <x:c r="C433" s="2" t="str">
        <x:v>Higher half</x:v>
      </x:c>
      <x:c r="D433" s="28" t="n">
        <x:v>45383</x:v>
      </x:c>
      <x:c r="E433" s="2" t="str">
        <x:v>2024Q2</x:v>
      </x:c>
      <x:c r="F433" s="20" t="n">
        <x:v>73846.4</x:v>
      </x:c>
      <x:c r="G433" s="20" t="n">
        <x:f>'Quarterly data'!$E$133</x:f>
        <x:v>72874.5</x:v>
      </x:c>
      <x:c r="H433" s="22" t="n">
        <x:f>100*F433/G433</x:f>
        <x:v>101.33366266663921</x:v>
      </x:c>
      <x:c r="I433" s="24" t="n">
        <x:f>H433/100-1</x:f>
        <x:v>0.013336626666392126</x:v>
      </x:c>
      <x:c r="J433" s="26" t="n">
        <x:v>9</x:v>
      </x:c>
      <x:c r="K433" s="7" t="b">
        <x:v>0</x:v>
      </x:c>
      <x:c r="L433" s="2" t="str">
        <x:v>Aug 10–23, 2026</x:v>
      </x:c>
      <x:c r="M433" s="2" t="str">
        <x:v>https://www.census.gov/hfp/btos/downloads/Sector.xlsx</x:v>
      </x:c>
    </x:row>
    <x:row r="434" ht="24" customHeight="1">
      <x:c r="A434" s="2" t="str">
        <x:v>Census BTOS</x:v>
      </x:c>
      <x:c r="B434" s="2" t="str">
        <x:v>Halves</x:v>
      </x:c>
      <x:c r="C434" s="2" t="str">
        <x:v>Lower half</x:v>
      </x:c>
      <x:c r="D434" s="28" t="n">
        <x:v>45413</x:v>
      </x:c>
      <x:c r="E434" s="2" t="str">
        <x:v>2024Q2</x:v>
      </x:c>
      <x:c r="F434" s="20" t="n">
        <x:v>60320.3</x:v>
      </x:c>
      <x:c r="G434" s="20" t="n">
        <x:f>'Quarterly data'!$E$132</x:f>
        <x:v>59538.3333333333</x:v>
      </x:c>
      <x:c r="H434" s="22" t="n">
        <x:f>100*F434/G434</x:f>
        <x:v>101.31338353441765</x:v>
      </x:c>
      <x:c r="I434" s="24" t="n">
        <x:f>H434/100-1</x:f>
        <x:v>0.013133835344176559</x:v>
      </x:c>
      <x:c r="J434" s="26" t="n">
        <x:v>9</x:v>
      </x:c>
      <x:c r="K434" s="7" t="b">
        <x:v>0</x:v>
      </x:c>
      <x:c r="L434" s="2" t="str">
        <x:v>Aug 10–23, 2026</x:v>
      </x:c>
      <x:c r="M434" s="2" t="str">
        <x:v>https://www.census.gov/hfp/btos/downloads/Sector.xlsx</x:v>
      </x:c>
    </x:row>
    <x:row r="435" ht="24" customHeight="1">
      <x:c r="A435" s="2" t="str">
        <x:v>Census BTOS</x:v>
      </x:c>
      <x:c r="B435" s="2" t="str">
        <x:v>Halves</x:v>
      </x:c>
      <x:c r="C435" s="2" t="str">
        <x:v>Higher half</x:v>
      </x:c>
      <x:c r="D435" s="28" t="n">
        <x:v>45413</x:v>
      </x:c>
      <x:c r="E435" s="2" t="str">
        <x:v>2024Q2</x:v>
      </x:c>
      <x:c r="F435" s="20" t="n">
        <x:v>73918.2</x:v>
      </x:c>
      <x:c r="G435" s="20" t="n">
        <x:f>'Quarterly data'!$E$133</x:f>
        <x:v>72874.5</x:v>
      </x:c>
      <x:c r="H435" s="22" t="n">
        <x:f>100*F435/G435</x:f>
        <x:v>101.43218821398432</x:v>
      </x:c>
      <x:c r="I435" s="24" t="n">
        <x:f>H435/100-1</x:f>
        <x:v>0.0143218821398432</x:v>
      </x:c>
      <x:c r="J435" s="26" t="n">
        <x:v>9</x:v>
      </x:c>
      <x:c r="K435" s="7" t="b">
        <x:v>0</x:v>
      </x:c>
      <x:c r="L435" s="2" t="str">
        <x:v>Aug 10–23, 2026</x:v>
      </x:c>
      <x:c r="M435" s="2" t="str">
        <x:v>https://www.census.gov/hfp/btos/downloads/Sector.xlsx</x:v>
      </x:c>
    </x:row>
    <x:row r="436" ht="24" customHeight="1">
      <x:c r="A436" s="2" t="str">
        <x:v>Census BTOS</x:v>
      </x:c>
      <x:c r="B436" s="2" t="str">
        <x:v>Halves</x:v>
      </x:c>
      <x:c r="C436" s="2" t="str">
        <x:v>Lower half</x:v>
      </x:c>
      <x:c r="D436" s="28" t="n">
        <x:v>45444</x:v>
      </x:c>
      <x:c r="E436" s="2" t="str">
        <x:v>2024Q2</x:v>
      </x:c>
      <x:c r="F436" s="20" t="n">
        <x:v>60334.1</x:v>
      </x:c>
      <x:c r="G436" s="20" t="n">
        <x:f>'Quarterly data'!$E$132</x:f>
        <x:v>59538.3333333333</x:v>
      </x:c>
      <x:c r="H436" s="22" t="n">
        <x:f>100*F436/G436</x:f>
        <x:v>101.3365618789016</x:v>
      </x:c>
      <x:c r="I436" s="24" t="n">
        <x:f>H436/100-1</x:f>
        <x:v>0.013365618789016098</x:v>
      </x:c>
      <x:c r="J436" s="26" t="n">
        <x:v>9</x:v>
      </x:c>
      <x:c r="K436" s="7" t="b">
        <x:v>0</x:v>
      </x:c>
      <x:c r="L436" s="2" t="str">
        <x:v>Aug 10–23, 2026</x:v>
      </x:c>
      <x:c r="M436" s="2" t="str">
        <x:v>https://www.census.gov/hfp/btos/downloads/Sector.xlsx</x:v>
      </x:c>
    </x:row>
    <x:row r="437" ht="24" customHeight="1">
      <x:c r="A437" s="2" t="str">
        <x:v>Census BTOS</x:v>
      </x:c>
      <x:c r="B437" s="2" t="str">
        <x:v>Halves</x:v>
      </x:c>
      <x:c r="C437" s="2" t="str">
        <x:v>Higher half</x:v>
      </x:c>
      <x:c r="D437" s="28" t="n">
        <x:v>45444</x:v>
      </x:c>
      <x:c r="E437" s="2" t="str">
        <x:v>2024Q2</x:v>
      </x:c>
      <x:c r="F437" s="20" t="n">
        <x:v>73983.1</x:v>
      </x:c>
      <x:c r="G437" s="20" t="n">
        <x:f>'Quarterly data'!$E$133</x:f>
        <x:v>72874.5</x:v>
      </x:c>
      <x:c r="H437" s="22" t="n">
        <x:f>100*F437/G437</x:f>
        <x:v>101.52124542878512</x:v>
      </x:c>
      <x:c r="I437" s="24" t="n">
        <x:f>H437/100-1</x:f>
        <x:v>0.015212454287851118</x:v>
      </x:c>
      <x:c r="J437" s="26" t="n">
        <x:v>9</x:v>
      </x:c>
      <x:c r="K437" s="7" t="b">
        <x:v>0</x:v>
      </x:c>
      <x:c r="L437" s="2" t="str">
        <x:v>Aug 10–23, 2026</x:v>
      </x:c>
      <x:c r="M437" s="2" t="str">
        <x:v>https://www.census.gov/hfp/btos/downloads/Sector.xlsx</x:v>
      </x:c>
    </x:row>
    <x:row r="438" ht="24" customHeight="1">
      <x:c r="A438" s="2" t="str">
        <x:v>Census BTOS</x:v>
      </x:c>
      <x:c r="B438" s="2" t="str">
        <x:v>Halves</x:v>
      </x:c>
      <x:c r="C438" s="2" t="str">
        <x:v>Lower half</x:v>
      </x:c>
      <x:c r="D438" s="28" t="n">
        <x:v>45474</x:v>
      </x:c>
      <x:c r="E438" s="2" t="str">
        <x:v>2024Q3</x:v>
      </x:c>
      <x:c r="F438" s="20" t="n">
        <x:v>60331.6</x:v>
      </x:c>
      <x:c r="G438" s="20" t="n">
        <x:f>'Quarterly data'!$E$132</x:f>
        <x:v>59538.3333333333</x:v>
      </x:c>
      <x:c r="H438" s="22" t="n">
        <x:f>100*F438/G438</x:f>
        <x:v>101.33236290345161</x:v>
      </x:c>
      <x:c r="I438" s="24" t="n">
        <x:f>H438/100-1</x:f>
        <x:v>0.013323629034516005</x:v>
      </x:c>
      <x:c r="J438" s="26" t="n">
        <x:v>9</x:v>
      </x:c>
      <x:c r="K438" s="7" t="b">
        <x:v>0</x:v>
      </x:c>
      <x:c r="L438" s="2" t="str">
        <x:v>Aug 10–23, 2026</x:v>
      </x:c>
      <x:c r="M438" s="2" t="str">
        <x:v>https://www.census.gov/hfp/btos/downloads/Sector.xlsx</x:v>
      </x:c>
    </x:row>
    <x:row r="439" ht="24" customHeight="1">
      <x:c r="A439" s="2" t="str">
        <x:v>Census BTOS</x:v>
      </x:c>
      <x:c r="B439" s="2" t="str">
        <x:v>Halves</x:v>
      </x:c>
      <x:c r="C439" s="2" t="str">
        <x:v>Higher half</x:v>
      </x:c>
      <x:c r="D439" s="28" t="n">
        <x:v>45474</x:v>
      </x:c>
      <x:c r="E439" s="2" t="str">
        <x:v>2024Q3</x:v>
      </x:c>
      <x:c r="F439" s="20" t="n">
        <x:v>73976.4</x:v>
      </x:c>
      <x:c r="G439" s="20" t="n">
        <x:f>'Quarterly data'!$E$133</x:f>
        <x:v>72874.5</x:v>
      </x:c>
      <x:c r="H439" s="22" t="n">
        <x:f>100*F439/G439</x:f>
        <x:v>101.51205154066236</x:v>
      </x:c>
      <x:c r="I439" s="24" t="n">
        <x:f>H439/100-1</x:f>
        <x:v>0.015120515406623625</x:v>
      </x:c>
      <x:c r="J439" s="26" t="n">
        <x:v>9</x:v>
      </x:c>
      <x:c r="K439" s="7" t="b">
        <x:v>0</x:v>
      </x:c>
      <x:c r="L439" s="2" t="str">
        <x:v>Aug 10–23, 2026</x:v>
      </x:c>
      <x:c r="M439" s="2" t="str">
        <x:v>https://www.census.gov/hfp/btos/downloads/Sector.xlsx</x:v>
      </x:c>
    </x:row>
    <x:row r="440" ht="24" customHeight="1">
      <x:c r="A440" s="2" t="str">
        <x:v>Census BTOS</x:v>
      </x:c>
      <x:c r="B440" s="2" t="str">
        <x:v>Halves</x:v>
      </x:c>
      <x:c r="C440" s="2" t="str">
        <x:v>Lower half</x:v>
      </x:c>
      <x:c r="D440" s="28" t="n">
        <x:v>45505</x:v>
      </x:c>
      <x:c r="E440" s="2" t="str">
        <x:v>2024Q3</x:v>
      </x:c>
      <x:c r="F440" s="20" t="n">
        <x:v>60321.1</x:v>
      </x:c>
      <x:c r="G440" s="20" t="n">
        <x:f>'Quarterly data'!$E$132</x:f>
        <x:v>59538.3333333333</x:v>
      </x:c>
      <x:c r="H440" s="22" t="n">
        <x:f>100*F440/G440</x:f>
        <x:v>101.31472720656166</x:v>
      </x:c>
      <x:c r="I440" s="24" t="n">
        <x:f>H440/100-1</x:f>
        <x:v>0.0131472720656165</x:v>
      </x:c>
      <x:c r="J440" s="26" t="n">
        <x:v>9</x:v>
      </x:c>
      <x:c r="K440" s="7" t="b">
        <x:v>0</x:v>
      </x:c>
      <x:c r="L440" s="2" t="str">
        <x:v>Aug 10–23, 2026</x:v>
      </x:c>
      <x:c r="M440" s="2" t="str">
        <x:v>https://www.census.gov/hfp/btos/downloads/Sector.xlsx</x:v>
      </x:c>
    </x:row>
    <x:row r="441" ht="24" customHeight="1">
      <x:c r="A441" s="2" t="str">
        <x:v>Census BTOS</x:v>
      </x:c>
      <x:c r="B441" s="2" t="str">
        <x:v>Halves</x:v>
      </x:c>
      <x:c r="C441" s="2" t="str">
        <x:v>Higher half</x:v>
      </x:c>
      <x:c r="D441" s="28" t="n">
        <x:v>45505</x:v>
      </x:c>
      <x:c r="E441" s="2" t="str">
        <x:v>2024Q3</x:v>
      </x:c>
      <x:c r="F441" s="20" t="n">
        <x:v>73960.4</x:v>
      </x:c>
      <x:c r="G441" s="20" t="n">
        <x:f>'Quarterly data'!$E$133</x:f>
        <x:v>72874.5</x:v>
      </x:c>
      <x:c r="H441" s="22" t="n">
        <x:f>100*F441/G441</x:f>
        <x:v>101.49009598693644</x:v>
      </x:c>
      <x:c r="I441" s="24" t="n">
        <x:f>H441/100-1</x:f>
        <x:v>0.01490095986936435</x:v>
      </x:c>
      <x:c r="J441" s="26" t="n">
        <x:v>9</x:v>
      </x:c>
      <x:c r="K441" s="7" t="b">
        <x:v>0</x:v>
      </x:c>
      <x:c r="L441" s="2" t="str">
        <x:v>Aug 10–23, 2026</x:v>
      </x:c>
      <x:c r="M441" s="2" t="str">
        <x:v>https://www.census.gov/hfp/btos/downloads/Sector.xlsx</x:v>
      </x:c>
    </x:row>
    <x:row r="442" ht="24" customHeight="1">
      <x:c r="A442" s="2" t="str">
        <x:v>Census BTOS</x:v>
      </x:c>
      <x:c r="B442" s="2" t="str">
        <x:v>Halves</x:v>
      </x:c>
      <x:c r="C442" s="2" t="str">
        <x:v>Lower half</x:v>
      </x:c>
      <x:c r="D442" s="28" t="n">
        <x:v>45536</x:v>
      </x:c>
      <x:c r="E442" s="2" t="str">
        <x:v>2024Q3</x:v>
      </x:c>
      <x:c r="F442" s="20" t="n">
        <x:v>60383.3</x:v>
      </x:c>
      <x:c r="G442" s="20" t="n">
        <x:f>'Quarterly data'!$E$132</x:f>
        <x:v>59538.3333333333</x:v>
      </x:c>
      <x:c r="H442" s="22" t="n">
        <x:f>100*F442/G442</x:f>
        <x:v>101.41919771575742</x:v>
      </x:c>
      <x:c r="I442" s="24" t="n">
        <x:f>H442/100-1</x:f>
        <x:v>0.014191977157574254</x:v>
      </x:c>
      <x:c r="J442" s="26" t="n">
        <x:v>9</x:v>
      </x:c>
      <x:c r="K442" s="7" t="b">
        <x:v>0</x:v>
      </x:c>
      <x:c r="L442" s="2" t="str">
        <x:v>Aug 10–23, 2026</x:v>
      </x:c>
      <x:c r="M442" s="2" t="str">
        <x:v>https://www.census.gov/hfp/btos/downloads/Sector.xlsx</x:v>
      </x:c>
    </x:row>
    <x:row r="443" ht="24" customHeight="1">
      <x:c r="A443" s="2" t="str">
        <x:v>Census BTOS</x:v>
      </x:c>
      <x:c r="B443" s="2" t="str">
        <x:v>Halves</x:v>
      </x:c>
      <x:c r="C443" s="2" t="str">
        <x:v>Higher half</x:v>
      </x:c>
      <x:c r="D443" s="28" t="n">
        <x:v>45536</x:v>
      </x:c>
      <x:c r="E443" s="2" t="str">
        <x:v>2024Q3</x:v>
      </x:c>
      <x:c r="F443" s="20" t="n">
        <x:v>74039</x:v>
      </x:c>
      <x:c r="G443" s="20" t="n">
        <x:f>'Quarterly data'!$E$133</x:f>
        <x:v>72874.5</x:v>
      </x:c>
      <x:c r="H443" s="22" t="n">
        <x:f>100*F443/G443</x:f>
        <x:v>101.59795264461506</x:v>
      </x:c>
      <x:c r="I443" s="24" t="n">
        <x:f>H443/100-1</x:f>
        <x:v>0.015979526446150638</x:v>
      </x:c>
      <x:c r="J443" s="26" t="n">
        <x:v>9</x:v>
      </x:c>
      <x:c r="K443" s="7" t="b">
        <x:v>0</x:v>
      </x:c>
      <x:c r="L443" s="2" t="str">
        <x:v>Aug 10–23, 2026</x:v>
      </x:c>
      <x:c r="M443" s="2" t="str">
        <x:v>https://www.census.gov/hfp/btos/downloads/Sector.xlsx</x:v>
      </x:c>
    </x:row>
    <x:row r="444" ht="24" customHeight="1">
      <x:c r="A444" s="2" t="str">
        <x:v>Census BTOS</x:v>
      </x:c>
      <x:c r="B444" s="2" t="str">
        <x:v>Halves</x:v>
      </x:c>
      <x:c r="C444" s="2" t="str">
        <x:v>Lower half</x:v>
      </x:c>
      <x:c r="D444" s="28" t="n">
        <x:v>45566</x:v>
      </x:c>
      <x:c r="E444" s="2" t="str">
        <x:v>2024Q4</x:v>
      </x:c>
      <x:c r="F444" s="20" t="n">
        <x:v>60397.1</x:v>
      </x:c>
      <x:c r="G444" s="20" t="n">
        <x:f>'Quarterly data'!$E$132</x:f>
        <x:v>59538.3333333333</x:v>
      </x:c>
      <x:c r="H444" s="22" t="n">
        <x:f>100*F444/G444</x:f>
        <x:v>101.44237606024136</x:v>
      </x:c>
      <x:c r="I444" s="24" t="n">
        <x:f>H444/100-1</x:f>
        <x:v>0.014423760602413571</x:v>
      </x:c>
      <x:c r="J444" s="26" t="n">
        <x:v>9</x:v>
      </x:c>
      <x:c r="K444" s="7" t="b">
        <x:v>0</x:v>
      </x:c>
      <x:c r="L444" s="2" t="str">
        <x:v>Aug 10–23, 2026</x:v>
      </x:c>
      <x:c r="M444" s="2" t="str">
        <x:v>https://www.census.gov/hfp/btos/downloads/Sector.xlsx</x:v>
      </x:c>
    </x:row>
    <x:row r="445" ht="24" customHeight="1">
      <x:c r="A445" s="2" t="str">
        <x:v>Census BTOS</x:v>
      </x:c>
      <x:c r="B445" s="2" t="str">
        <x:v>Halves</x:v>
      </x:c>
      <x:c r="C445" s="2" t="str">
        <x:v>Higher half</x:v>
      </x:c>
      <x:c r="D445" s="28" t="n">
        <x:v>45566</x:v>
      </x:c>
      <x:c r="E445" s="2" t="str">
        <x:v>2024Q4</x:v>
      </x:c>
      <x:c r="F445" s="20" t="n">
        <x:v>74019.7</x:v>
      </x:c>
      <x:c r="G445" s="20" t="n">
        <x:f>'Quarterly data'!$E$133</x:f>
        <x:v>72874.5</x:v>
      </x:c>
      <x:c r="H445" s="22" t="n">
        <x:f>100*F445/G445</x:f>
        <x:v>101.57146875793316</x:v>
      </x:c>
      <x:c r="I445" s="24" t="n">
        <x:f>H445/100-1</x:f>
        <x:v>0.0157146875793317</x:v>
      </x:c>
      <x:c r="J445" s="26" t="n">
        <x:v>9</x:v>
      </x:c>
      <x:c r="K445" s="7" t="b">
        <x:v>0</x:v>
      </x:c>
      <x:c r="L445" s="2" t="str">
        <x:v>Aug 10–23, 2026</x:v>
      </x:c>
      <x:c r="M445" s="2" t="str">
        <x:v>https://www.census.gov/hfp/btos/downloads/Sector.xlsx</x:v>
      </x:c>
    </x:row>
    <x:row r="446" ht="24" customHeight="1">
      <x:c r="A446" s="2" t="str">
        <x:v>Census BTOS</x:v>
      </x:c>
      <x:c r="B446" s="2" t="str">
        <x:v>Halves</x:v>
      </x:c>
      <x:c r="C446" s="2" t="str">
        <x:v>Lower half</x:v>
      </x:c>
      <x:c r="D446" s="28" t="n">
        <x:v>45597</x:v>
      </x:c>
      <x:c r="E446" s="2" t="str">
        <x:v>2024Q4</x:v>
      </x:c>
      <x:c r="F446" s="20" t="n">
        <x:v>60397.1</x:v>
      </x:c>
      <x:c r="G446" s="20" t="n">
        <x:f>'Quarterly data'!$E$132</x:f>
        <x:v>59538.3333333333</x:v>
      </x:c>
      <x:c r="H446" s="22" t="n">
        <x:f>100*F446/G446</x:f>
        <x:v>101.44237606024136</x:v>
      </x:c>
      <x:c r="I446" s="24" t="n">
        <x:f>H446/100-1</x:f>
        <x:v>0.014423760602413571</x:v>
      </x:c>
      <x:c r="J446" s="26" t="n">
        <x:v>9</x:v>
      </x:c>
      <x:c r="K446" s="7" t="b">
        <x:v>0</x:v>
      </x:c>
      <x:c r="L446" s="2" t="str">
        <x:v>Aug 10–23, 2026</x:v>
      </x:c>
      <x:c r="M446" s="2" t="str">
        <x:v>https://www.census.gov/hfp/btos/downloads/Sector.xlsx</x:v>
      </x:c>
    </x:row>
    <x:row r="447" ht="24" customHeight="1">
      <x:c r="A447" s="2" t="str">
        <x:v>Census BTOS</x:v>
      </x:c>
      <x:c r="B447" s="2" t="str">
        <x:v>Halves</x:v>
      </x:c>
      <x:c r="C447" s="2" t="str">
        <x:v>Higher half</x:v>
      </x:c>
      <x:c r="D447" s="28" t="n">
        <x:v>45597</x:v>
      </x:c>
      <x:c r="E447" s="2" t="str">
        <x:v>2024Q4</x:v>
      </x:c>
      <x:c r="F447" s="20" t="n">
        <x:v>74137.6</x:v>
      </x:c>
      <x:c r="G447" s="20" t="n">
        <x:f>'Quarterly data'!$E$133</x:f>
        <x:v>72874.5</x:v>
      </x:c>
      <x:c r="H447" s="22" t="n">
        <x:f>100*F447/G447</x:f>
        <x:v>101.73325374445109</x:v>
      </x:c>
      <x:c r="I447" s="24" t="n">
        <x:f>H447/100-1</x:f>
        <x:v>0.017332537444510798</x:v>
      </x:c>
      <x:c r="J447" s="26" t="n">
        <x:v>9</x:v>
      </x:c>
      <x:c r="K447" s="7" t="b">
        <x:v>0</x:v>
      </x:c>
      <x:c r="L447" s="2" t="str">
        <x:v>Aug 10–23, 2026</x:v>
      </x:c>
      <x:c r="M447" s="2" t="str">
        <x:v>https://www.census.gov/hfp/btos/downloads/Sector.xlsx</x:v>
      </x:c>
    </x:row>
    <x:row r="448" ht="24" customHeight="1">
      <x:c r="A448" s="2" t="str">
        <x:v>Census BTOS</x:v>
      </x:c>
      <x:c r="B448" s="2" t="str">
        <x:v>Halves</x:v>
      </x:c>
      <x:c r="C448" s="2" t="str">
        <x:v>Lower half</x:v>
      </x:c>
      <x:c r="D448" s="28" t="n">
        <x:v>45627</x:v>
      </x:c>
      <x:c r="E448" s="2" t="str">
        <x:v>2024Q4</x:v>
      </x:c>
      <x:c r="F448" s="20" t="n">
        <x:v>60502.4</x:v>
      </x:c>
      <x:c r="G448" s="20" t="n">
        <x:f>'Quarterly data'!$E$132</x:f>
        <x:v>59538.3333333333</x:v>
      </x:c>
      <x:c r="H448" s="22" t="n">
        <x:f>100*F448/G448</x:f>
        <x:v>101.61923690619494</x:v>
      </x:c>
      <x:c r="I448" s="24" t="n">
        <x:f>H448/100-1</x:f>
        <x:v>0.01619236906194943</x:v>
      </x:c>
      <x:c r="J448" s="26" t="n">
        <x:v>9</x:v>
      </x:c>
      <x:c r="K448" s="7" t="b">
        <x:v>0</x:v>
      </x:c>
      <x:c r="L448" s="2" t="str">
        <x:v>Aug 10–23, 2026</x:v>
      </x:c>
      <x:c r="M448" s="2" t="str">
        <x:v>https://www.census.gov/hfp/btos/downloads/Sector.xlsx</x:v>
      </x:c>
    </x:row>
    <x:row r="449" ht="24" customHeight="1">
      <x:c r="A449" s="2" t="str">
        <x:v>Census BTOS</x:v>
      </x:c>
      <x:c r="B449" s="2" t="str">
        <x:v>Halves</x:v>
      </x:c>
      <x:c r="C449" s="2" t="str">
        <x:v>Higher half</x:v>
      </x:c>
      <x:c r="D449" s="28" t="n">
        <x:v>45627</x:v>
      </x:c>
      <x:c r="E449" s="2" t="str">
        <x:v>2024Q4</x:v>
      </x:c>
      <x:c r="F449" s="20" t="n">
        <x:v>74244.6</x:v>
      </x:c>
      <x:c r="G449" s="20" t="n">
        <x:f>'Quarterly data'!$E$133</x:f>
        <x:v>72874.5</x:v>
      </x:c>
      <x:c r="H449" s="22" t="n">
        <x:f>100*F449/G449</x:f>
        <x:v>101.88008150999322</x:v>
      </x:c>
      <x:c r="I449" s="24" t="n">
        <x:f>H449/100-1</x:f>
        <x:v>0.018800815099932144</x:v>
      </x:c>
      <x:c r="J449" s="26" t="n">
        <x:v>9</x:v>
      </x:c>
      <x:c r="K449" s="7" t="b">
        <x:v>0</x:v>
      </x:c>
      <x:c r="L449" s="2" t="str">
        <x:v>Aug 10–23, 2026</x:v>
      </x:c>
      <x:c r="M449" s="2" t="str">
        <x:v>https://www.census.gov/hfp/btos/downloads/Sector.xlsx</x:v>
      </x:c>
    </x:row>
    <x:row r="450" ht="24" customHeight="1">
      <x:c r="A450" s="2" t="str">
        <x:v>Census BTOS</x:v>
      </x:c>
      <x:c r="B450" s="2" t="str">
        <x:v>Halves</x:v>
      </x:c>
      <x:c r="C450" s="2" t="str">
        <x:v>Lower half</x:v>
      </x:c>
      <x:c r="D450" s="28" t="n">
        <x:v>45658</x:v>
      </x:c>
      <x:c r="E450" s="2" t="str">
        <x:v>2025Q1</x:v>
      </x:c>
      <x:c r="F450" s="20" t="n">
        <x:v>60447.3</x:v>
      </x:c>
      <x:c r="G450" s="20" t="n">
        <x:f>'Quarterly data'!$E$132</x:f>
        <x:v>59538.3333333333</x:v>
      </x:c>
      <x:c r="H450" s="22" t="n">
        <x:f>100*F450/G450</x:f>
        <x:v>101.52669148727716</x:v>
      </x:c>
      <x:c r="I450" s="24" t="n">
        <x:f>H450/100-1</x:f>
        <x:v>0.015266914872771542</x:v>
      </x:c>
      <x:c r="J450" s="26" t="n">
        <x:v>9</x:v>
      </x:c>
      <x:c r="K450" s="7" t="b">
        <x:v>0</x:v>
      </x:c>
      <x:c r="L450" s="2" t="str">
        <x:v>Aug 10–23, 2026</x:v>
      </x:c>
      <x:c r="M450" s="2" t="str">
        <x:v>https://www.census.gov/hfp/btos/downloads/Sector.xlsx</x:v>
      </x:c>
    </x:row>
    <x:row r="451" ht="24" customHeight="1">
      <x:c r="A451" s="2" t="str">
        <x:v>Census BTOS</x:v>
      </x:c>
      <x:c r="B451" s="2" t="str">
        <x:v>Halves</x:v>
      </x:c>
      <x:c r="C451" s="2" t="str">
        <x:v>Higher half</x:v>
      </x:c>
      <x:c r="D451" s="28" t="n">
        <x:v>45658</x:v>
      </x:c>
      <x:c r="E451" s="2" t="str">
        <x:v>2025Q1</x:v>
      </x:c>
      <x:c r="F451" s="20" t="n">
        <x:v>74222.7</x:v>
      </x:c>
      <x:c r="G451" s="20" t="n">
        <x:f>'Quarterly data'!$E$133</x:f>
        <x:v>72874.5</x:v>
      </x:c>
      <x:c r="H451" s="22" t="n">
        <x:f>100*F451/G451</x:f>
        <x:v>101.85002984583085</x:v>
      </x:c>
      <x:c r="I451" s="24" t="n">
        <x:f>H451/100-1</x:f>
        <x:v>0.018500298458308473</x:v>
      </x:c>
      <x:c r="J451" s="26" t="n">
        <x:v>9</x:v>
      </x:c>
      <x:c r="K451" s="7" t="b">
        <x:v>0</x:v>
      </x:c>
      <x:c r="L451" s="2" t="str">
        <x:v>Aug 10–23, 2026</x:v>
      </x:c>
      <x:c r="M451" s="2" t="str">
        <x:v>https://www.census.gov/hfp/btos/downloads/Sector.xlsx</x:v>
      </x:c>
    </x:row>
    <x:row r="452" ht="24" customHeight="1">
      <x:c r="A452" s="2" t="str">
        <x:v>Census BTOS</x:v>
      </x:c>
      <x:c r="B452" s="2" t="str">
        <x:v>Halves</x:v>
      </x:c>
      <x:c r="C452" s="2" t="str">
        <x:v>Lower half</x:v>
      </x:c>
      <x:c r="D452" s="28" t="n">
        <x:v>45689</x:v>
      </x:c>
      <x:c r="E452" s="2" t="str">
        <x:v>2025Q1</x:v>
      </x:c>
      <x:c r="F452" s="20" t="n">
        <x:v>60426.3</x:v>
      </x:c>
      <x:c r="G452" s="20" t="n">
        <x:f>'Quarterly data'!$E$132</x:f>
        <x:v>59538.3333333333</x:v>
      </x:c>
      <x:c r="H452" s="22" t="n">
        <x:f>100*F452/G452</x:f>
        <x:v>101.49142009349724</x:v>
      </x:c>
      <x:c r="I452" s="24" t="n">
        <x:f>H452/100-1</x:f>
        <x:v>0.01491420093497231</x:v>
      </x:c>
      <x:c r="J452" s="26" t="n">
        <x:v>9</x:v>
      </x:c>
      <x:c r="K452" s="7" t="b">
        <x:v>0</x:v>
      </x:c>
      <x:c r="L452" s="2" t="str">
        <x:v>Aug 10–23, 2026</x:v>
      </x:c>
      <x:c r="M452" s="2" t="str">
        <x:v>https://www.census.gov/hfp/btos/downloads/Sector.xlsx</x:v>
      </x:c>
    </x:row>
    <x:row r="453" ht="24" customHeight="1">
      <x:c r="A453" s="2" t="str">
        <x:v>Census BTOS</x:v>
      </x:c>
      <x:c r="B453" s="2" t="str">
        <x:v>Halves</x:v>
      </x:c>
      <x:c r="C453" s="2" t="str">
        <x:v>Higher half</x:v>
      </x:c>
      <x:c r="D453" s="28" t="n">
        <x:v>45689</x:v>
      </x:c>
      <x:c r="E453" s="2" t="str">
        <x:v>2025Q1</x:v>
      </x:c>
      <x:c r="F453" s="20" t="n">
        <x:v>74282.5</x:v>
      </x:c>
      <x:c r="G453" s="20" t="n">
        <x:f>'Quarterly data'!$E$133</x:f>
        <x:v>72874.5</x:v>
      </x:c>
      <x:c r="H453" s="22" t="n">
        <x:f>100*F453/G453</x:f>
        <x:v>101.93208872788149</x:v>
      </x:c>
      <x:c r="I453" s="24" t="n">
        <x:f>H453/100-1</x:f>
        <x:v>0.01932088727881487</x:v>
      </x:c>
      <x:c r="J453" s="26" t="n">
        <x:v>9</x:v>
      </x:c>
      <x:c r="K453" s="7" t="b">
        <x:v>0</x:v>
      </x:c>
      <x:c r="L453" s="2" t="str">
        <x:v>Aug 10–23, 2026</x:v>
      </x:c>
      <x:c r="M453" s="2" t="str">
        <x:v>https://www.census.gov/hfp/btos/downloads/Sector.xlsx</x:v>
      </x:c>
    </x:row>
    <x:row r="454" ht="24" customHeight="1">
      <x:c r="A454" s="2" t="str">
        <x:v>Census BTOS</x:v>
      </x:c>
      <x:c r="B454" s="2" t="str">
        <x:v>Halves</x:v>
      </x:c>
      <x:c r="C454" s="2" t="str">
        <x:v>Lower half</x:v>
      </x:c>
      <x:c r="D454" s="28" t="n">
        <x:v>45717</x:v>
      </x:c>
      <x:c r="E454" s="2" t="str">
        <x:v>2025Q1</x:v>
      </x:c>
      <x:c r="F454" s="20" t="n">
        <x:v>60453.1</x:v>
      </x:c>
      <x:c r="G454" s="20" t="n">
        <x:f>'Quarterly data'!$E$132</x:f>
        <x:v>59538.3333333333</x:v>
      </x:c>
      <x:c r="H454" s="22" t="n">
        <x:f>100*F454/G454</x:f>
        <x:v>101.53643311032114</x:v>
      </x:c>
      <x:c r="I454" s="24" t="n">
        <x:f>H454/100-1</x:f>
        <x:v>0.015364331103211448</x:v>
      </x:c>
      <x:c r="J454" s="26" t="n">
        <x:v>9</x:v>
      </x:c>
      <x:c r="K454" s="7" t="b">
        <x:v>0</x:v>
      </x:c>
      <x:c r="L454" s="2" t="str">
        <x:v>Aug 10–23, 2026</x:v>
      </x:c>
      <x:c r="M454" s="2" t="str">
        <x:v>https://www.census.gov/hfp/btos/downloads/Sector.xlsx</x:v>
      </x:c>
    </x:row>
    <x:row r="455" ht="24" customHeight="1">
      <x:c r="A455" s="2" t="str">
        <x:v>Census BTOS</x:v>
      </x:c>
      <x:c r="B455" s="2" t="str">
        <x:v>Halves</x:v>
      </x:c>
      <x:c r="C455" s="2" t="str">
        <x:v>Higher half</x:v>
      </x:c>
      <x:c r="D455" s="28" t="n">
        <x:v>45717</x:v>
      </x:c>
      <x:c r="E455" s="2" t="str">
        <x:v>2025Q1</x:v>
      </x:c>
      <x:c r="F455" s="20" t="n">
        <x:v>74322.8</x:v>
      </x:c>
      <x:c r="G455" s="20" t="n">
        <x:f>'Quarterly data'!$E$133</x:f>
        <x:v>72874.5</x:v>
      </x:c>
      <x:c r="H455" s="22" t="n">
        <x:f>100*F455/G455</x:f>
        <x:v>101.98738927882867</x:v>
      </x:c>
      <x:c r="I455" s="24" t="n">
        <x:f>H455/100-1</x:f>
        <x:v>0.019873892788286662</x:v>
      </x:c>
      <x:c r="J455" s="26" t="n">
        <x:v>9</x:v>
      </x:c>
      <x:c r="K455" s="7" t="b">
        <x:v>0</x:v>
      </x:c>
      <x:c r="L455" s="2" t="str">
        <x:v>Aug 10–23, 2026</x:v>
      </x:c>
      <x:c r="M455" s="2" t="str">
        <x:v>https://www.census.gov/hfp/btos/downloads/Sector.xlsx</x:v>
      </x:c>
    </x:row>
    <x:row r="456" ht="24" customHeight="1">
      <x:c r="A456" s="2" t="str">
        <x:v>Census BTOS</x:v>
      </x:c>
      <x:c r="B456" s="2" t="str">
        <x:v>Halves</x:v>
      </x:c>
      <x:c r="C456" s="2" t="str">
        <x:v>Lower half</x:v>
      </x:c>
      <x:c r="D456" s="28" t="n">
        <x:v>45748</x:v>
      </x:c>
      <x:c r="E456" s="2" t="str">
        <x:v>2025Q2</x:v>
      </x:c>
      <x:c r="F456" s="20" t="n">
        <x:v>60456.8</x:v>
      </x:c>
      <x:c r="G456" s="20" t="n">
        <x:f>'Quarterly data'!$E$132</x:f>
        <x:v>59538.3333333333</x:v>
      </x:c>
      <x:c r="H456" s="22" t="n">
        <x:f>100*F456/G456</x:f>
        <x:v>101.54264759398713</x:v>
      </x:c>
      <x:c r="I456" s="24" t="n">
        <x:f>H456/100-1</x:f>
        <x:v>0.015426475939871231</x:v>
      </x:c>
      <x:c r="J456" s="26" t="n">
        <x:v>9</x:v>
      </x:c>
      <x:c r="K456" s="7" t="b">
        <x:v>0</x:v>
      </x:c>
      <x:c r="L456" s="2" t="str">
        <x:v>Aug 10–23, 2026</x:v>
      </x:c>
      <x:c r="M456" s="2" t="str">
        <x:v>https://www.census.gov/hfp/btos/downloads/Sector.xlsx</x:v>
      </x:c>
    </x:row>
    <x:row r="457" ht="24" customHeight="1">
      <x:c r="A457" s="2" t="str">
        <x:v>Census BTOS</x:v>
      </x:c>
      <x:c r="B457" s="2" t="str">
        <x:v>Halves</x:v>
      </x:c>
      <x:c r="C457" s="2" t="str">
        <x:v>Higher half</x:v>
      </x:c>
      <x:c r="D457" s="28" t="n">
        <x:v>45748</x:v>
      </x:c>
      <x:c r="E457" s="2" t="str">
        <x:v>2025Q2</x:v>
      </x:c>
      <x:c r="F457" s="20" t="n">
        <x:v>74417.5</x:v>
      </x:c>
      <x:c r="G457" s="20" t="n">
        <x:f>'Quarterly data'!$E$133</x:f>
        <x:v>72874.5</x:v>
      </x:c>
      <x:c r="H457" s="22" t="n">
        <x:f>100*F457/G457</x:f>
        <x:v>102.117338712444</x:v>
      </x:c>
      <x:c r="I457" s="24" t="n">
        <x:f>H457/100-1</x:f>
        <x:v>0.021173387124439946</x:v>
      </x:c>
      <x:c r="J457" s="26" t="n">
        <x:v>9</x:v>
      </x:c>
      <x:c r="K457" s="7" t="b">
        <x:v>0</x:v>
      </x:c>
      <x:c r="L457" s="2" t="str">
        <x:v>Aug 10–23, 2026</x:v>
      </x:c>
      <x:c r="M457" s="2" t="str">
        <x:v>https://www.census.gov/hfp/btos/downloads/Sector.xlsx</x:v>
      </x:c>
    </x:row>
    <x:row r="458" ht="24" customHeight="1">
      <x:c r="A458" s="2" t="str">
        <x:v>Census BTOS</x:v>
      </x:c>
      <x:c r="B458" s="2" t="str">
        <x:v>Halves</x:v>
      </x:c>
      <x:c r="C458" s="2" t="str">
        <x:v>Lower half</x:v>
      </x:c>
      <x:c r="D458" s="28" t="n">
        <x:v>45778</x:v>
      </x:c>
      <x:c r="E458" s="2" t="str">
        <x:v>2025Q2</x:v>
      </x:c>
      <x:c r="F458" s="20" t="n">
        <x:v>60443.6</x:v>
      </x:c>
      <x:c r="G458" s="20" t="n">
        <x:f>'Quarterly data'!$E$132</x:f>
        <x:v>59538.3333333333</x:v>
      </x:c>
      <x:c r="H458" s="22" t="n">
        <x:f>100*F458/G458</x:f>
        <x:v>101.52047700361118</x:v>
      </x:c>
      <x:c r="I458" s="24" t="n">
        <x:f>H458/100-1</x:f>
        <x:v>0.015204770036111759</x:v>
      </x:c>
      <x:c r="J458" s="26" t="n">
        <x:v>9</x:v>
      </x:c>
      <x:c r="K458" s="7" t="b">
        <x:v>0</x:v>
      </x:c>
      <x:c r="L458" s="2" t="str">
        <x:v>Aug 10–23, 2026</x:v>
      </x:c>
      <x:c r="M458" s="2" t="str">
        <x:v>https://www.census.gov/hfp/btos/downloads/Sector.xlsx</x:v>
      </x:c>
    </x:row>
    <x:row r="459" ht="24" customHeight="1">
      <x:c r="A459" s="2" t="str">
        <x:v>Census BTOS</x:v>
      </x:c>
      <x:c r="B459" s="2" t="str">
        <x:v>Halves</x:v>
      </x:c>
      <x:c r="C459" s="2" t="str">
        <x:v>Higher half</x:v>
      </x:c>
      <x:c r="D459" s="28" t="n">
        <x:v>45778</x:v>
      </x:c>
      <x:c r="E459" s="2" t="str">
        <x:v>2025Q2</x:v>
      </x:c>
      <x:c r="F459" s="20" t="n">
        <x:v>74451.3</x:v>
      </x:c>
      <x:c r="G459" s="20" t="n">
        <x:f>'Quarterly data'!$E$133</x:f>
        <x:v>72874.5</x:v>
      </x:c>
      <x:c r="H459" s="22" t="n">
        <x:f>100*F459/G459</x:f>
        <x:v>102.16371981969002</x:v>
      </x:c>
      <x:c r="I459" s="24" t="n">
        <x:f>H459/100-1</x:f>
        <x:v>0.02163719819690013</x:v>
      </x:c>
      <x:c r="J459" s="26" t="n">
        <x:v>9</x:v>
      </x:c>
      <x:c r="K459" s="7" t="b">
        <x:v>0</x:v>
      </x:c>
      <x:c r="L459" s="2" t="str">
        <x:v>Aug 10–23, 2026</x:v>
      </x:c>
      <x:c r="M459" s="2" t="str">
        <x:v>https://www.census.gov/hfp/btos/downloads/Sector.xlsx</x:v>
      </x:c>
    </x:row>
    <x:row r="460" ht="24" customHeight="1">
      <x:c r="A460" s="2" t="str">
        <x:v>Census BTOS</x:v>
      </x:c>
      <x:c r="B460" s="2" t="str">
        <x:v>Halves</x:v>
      </x:c>
      <x:c r="C460" s="2" t="str">
        <x:v>Lower half</x:v>
      </x:c>
      <x:c r="D460" s="28" t="n">
        <x:v>45809</x:v>
      </x:c>
      <x:c r="E460" s="2" t="str">
        <x:v>2025Q2</x:v>
      </x:c>
      <x:c r="F460" s="20" t="n">
        <x:v>60402.6</x:v>
      </x:c>
      <x:c r="G460" s="20" t="n">
        <x:f>'Quarterly data'!$E$132</x:f>
        <x:v>59538.3333333333</x:v>
      </x:c>
      <x:c r="H460" s="22" t="n">
        <x:f>100*F460/G460</x:f>
        <x:v>101.45161380623134</x:v>
      </x:c>
      <x:c r="I460" s="24" t="n">
        <x:f>H460/100-1</x:f>
        <x:v>0.014516138062313333</x:v>
      </x:c>
      <x:c r="J460" s="26" t="n">
        <x:v>9</x:v>
      </x:c>
      <x:c r="K460" s="7" t="b">
        <x:v>0</x:v>
      </x:c>
      <x:c r="L460" s="2" t="str">
        <x:v>Aug 10–23, 2026</x:v>
      </x:c>
      <x:c r="M460" s="2" t="str">
        <x:v>https://www.census.gov/hfp/btos/downloads/Sector.xlsx</x:v>
      </x:c>
    </x:row>
    <x:row r="461" ht="24" customHeight="1">
      <x:c r="A461" s="2" t="str">
        <x:v>Census BTOS</x:v>
      </x:c>
      <x:c r="B461" s="2" t="str">
        <x:v>Halves</x:v>
      </x:c>
      <x:c r="C461" s="2" t="str">
        <x:v>Higher half</x:v>
      </x:c>
      <x:c r="D461" s="28" t="n">
        <x:v>45809</x:v>
      </x:c>
      <x:c r="E461" s="2" t="str">
        <x:v>2025Q2</x:v>
      </x:c>
      <x:c r="F461" s="20" t="n">
        <x:v>74447.4</x:v>
      </x:c>
      <x:c r="G461" s="20" t="n">
        <x:f>'Quarterly data'!$E$133</x:f>
        <x:v>72874.5</x:v>
      </x:c>
      <x:c r="H461" s="22" t="n">
        <x:f>100*F461/G461</x:f>
        <x:v>102.15836815346931</x:v>
      </x:c>
      <x:c r="I461" s="24" t="n">
        <x:f>H461/100-1</x:f>
        <x:v>0.021583681534693033</x:v>
      </x:c>
      <x:c r="J461" s="26" t="n">
        <x:v>9</x:v>
      </x:c>
      <x:c r="K461" s="7" t="b">
        <x:v>0</x:v>
      </x:c>
      <x:c r="L461" s="2" t="str">
        <x:v>Aug 10–23, 2026</x:v>
      </x:c>
      <x:c r="M461" s="2" t="str">
        <x:v>https://www.census.gov/hfp/btos/downloads/Sector.xlsx</x:v>
      </x:c>
    </x:row>
    <x:row r="462" ht="24" customHeight="1">
      <x:c r="A462" s="2" t="str">
        <x:v>Census BTOS</x:v>
      </x:c>
      <x:c r="B462" s="2" t="str">
        <x:v>Halves</x:v>
      </x:c>
      <x:c r="C462" s="2" t="str">
        <x:v>Lower half</x:v>
      </x:c>
      <x:c r="D462" s="28" t="n">
        <x:v>45839</x:v>
      </x:c>
      <x:c r="E462" s="2" t="str">
        <x:v>2025Q3</x:v>
      </x:c>
      <x:c r="F462" s="20" t="n">
        <x:v>60411.6</x:v>
      </x:c>
      <x:c r="G462" s="20" t="n">
        <x:f>'Quarterly data'!$E$132</x:f>
        <x:v>59538.3333333333</x:v>
      </x:c>
      <x:c r="H462" s="22" t="n">
        <x:f>100*F462/G462</x:f>
        <x:v>101.4667301178513</x:v>
      </x:c>
      <x:c r="I462" s="24" t="n">
        <x:f>H462/100-1</x:f>
        <x:v>0.014667301178513004</x:v>
      </x:c>
      <x:c r="J462" s="26" t="n">
        <x:v>9</x:v>
      </x:c>
      <x:c r="K462" s="7" t="b">
        <x:v>0</x:v>
      </x:c>
      <x:c r="L462" s="2" t="str">
        <x:v>Aug 10–23, 2026</x:v>
      </x:c>
      <x:c r="M462" s="2" t="str">
        <x:v>https://www.census.gov/hfp/btos/downloads/Sector.xlsx</x:v>
      </x:c>
    </x:row>
    <x:row r="463" ht="24" customHeight="1">
      <x:c r="A463" s="2" t="str">
        <x:v>Census BTOS</x:v>
      </x:c>
      <x:c r="B463" s="2" t="str">
        <x:v>Halves</x:v>
      </x:c>
      <x:c r="C463" s="2" t="str">
        <x:v>Higher half</x:v>
      </x:c>
      <x:c r="D463" s="28" t="n">
        <x:v>45839</x:v>
      </x:c>
      <x:c r="E463" s="2" t="str">
        <x:v>2025Q3</x:v>
      </x:c>
      <x:c r="F463" s="20" t="n">
        <x:v>74504.3</x:v>
      </x:c>
      <x:c r="G463" s="20" t="n">
        <x:f>'Quarterly data'!$E$133</x:f>
        <x:v>72874.5</x:v>
      </x:c>
      <x:c r="H463" s="22" t="n">
        <x:f>100*F463/G463</x:f>
        <x:v>102.23644759140714</x:v>
      </x:c>
      <x:c r="I463" s="24" t="n">
        <x:f>H463/100-1</x:f>
        <x:v>0.022364475914071313</x:v>
      </x:c>
      <x:c r="J463" s="26" t="n">
        <x:v>9</x:v>
      </x:c>
      <x:c r="K463" s="7" t="b">
        <x:v>0</x:v>
      </x:c>
      <x:c r="L463" s="2" t="str">
        <x:v>Aug 10–23, 2026</x:v>
      </x:c>
      <x:c r="M463" s="2" t="str">
        <x:v>https://www.census.gov/hfp/btos/downloads/Sector.xlsx</x:v>
      </x:c>
    </x:row>
    <x:row r="464" ht="24" customHeight="1">
      <x:c r="A464" s="2" t="str">
        <x:v>Census BTOS</x:v>
      </x:c>
      <x:c r="B464" s="2" t="str">
        <x:v>Halves</x:v>
      </x:c>
      <x:c r="C464" s="2" t="str">
        <x:v>Lower half</x:v>
      </x:c>
      <x:c r="D464" s="28" t="n">
        <x:v>45870</x:v>
      </x:c>
      <x:c r="E464" s="2" t="str">
        <x:v>2025Q3</x:v>
      </x:c>
      <x:c r="F464" s="20" t="n">
        <x:v>60426.8</x:v>
      </x:c>
      <x:c r="G464" s="20" t="n">
        <x:f>'Quarterly data'!$E$132</x:f>
        <x:v>59538.3333333333</x:v>
      </x:c>
      <x:c r="H464" s="22" t="n">
        <x:f>100*F464/G464</x:f>
        <x:v>101.49225988858724</x:v>
      </x:c>
      <x:c r="I464" s="24" t="n">
        <x:f>H464/100-1</x:f>
        <x:v>0.014922598885872329</x:v>
      </x:c>
      <x:c r="J464" s="26" t="n">
        <x:v>9</x:v>
      </x:c>
      <x:c r="K464" s="7" t="b">
        <x:v>0</x:v>
      </x:c>
      <x:c r="L464" s="2" t="str">
        <x:v>Aug 10–23, 2026</x:v>
      </x:c>
      <x:c r="M464" s="2" t="str">
        <x:v>https://www.census.gov/hfp/btos/downloads/Sector.xlsx</x:v>
      </x:c>
    </x:row>
    <x:row r="465" ht="24" customHeight="1">
      <x:c r="A465" s="2" t="str">
        <x:v>Census BTOS</x:v>
      </x:c>
      <x:c r="B465" s="2" t="str">
        <x:v>Halves</x:v>
      </x:c>
      <x:c r="C465" s="2" t="str">
        <x:v>Higher half</x:v>
      </x:c>
      <x:c r="D465" s="28" t="n">
        <x:v>45870</x:v>
      </x:c>
      <x:c r="E465" s="2" t="str">
        <x:v>2025Q3</x:v>
      </x:c>
      <x:c r="F465" s="20" t="n">
        <x:v>74469.8</x:v>
      </x:c>
      <x:c r="G465" s="20" t="n">
        <x:f>'Quarterly data'!$E$133</x:f>
        <x:v>72874.5</x:v>
      </x:c>
      <x:c r="H465" s="22" t="n">
        <x:f>100*F465/G465</x:f>
        <x:v>102.18910592868562</x:v>
      </x:c>
      <x:c r="I465" s="24" t="n">
        <x:f>H465/100-1</x:f>
        <x:v>0.021891059286856196</x:v>
      </x:c>
      <x:c r="J465" s="26" t="n">
        <x:v>9</x:v>
      </x:c>
      <x:c r="K465" s="7" t="b">
        <x:v>0</x:v>
      </x:c>
      <x:c r="L465" s="2" t="str">
        <x:v>Aug 10–23, 2026</x:v>
      </x:c>
      <x:c r="M465" s="2" t="str">
        <x:v>https://www.census.gov/hfp/btos/downloads/Sector.xlsx</x:v>
      </x:c>
    </x:row>
    <x:row r="466" ht="24" customHeight="1">
      <x:c r="A466" s="2" t="str">
        <x:v>Census BTOS</x:v>
      </x:c>
      <x:c r="B466" s="2" t="str">
        <x:v>Halves</x:v>
      </x:c>
      <x:c r="C466" s="2" t="str">
        <x:v>Lower half</x:v>
      </x:c>
      <x:c r="D466" s="28" t="n">
        <x:v>45901</x:v>
      </x:c>
      <x:c r="E466" s="2" t="str">
        <x:v>2025Q3</x:v>
      </x:c>
      <x:c r="F466" s="20" t="n">
        <x:v>60458.2</x:v>
      </x:c>
      <x:c r="G466" s="20" t="n">
        <x:f>'Quarterly data'!$E$132</x:f>
        <x:v>59538.3333333333</x:v>
      </x:c>
      <x:c r="H466" s="22" t="n">
        <x:f>100*F466/G466</x:f>
        <x:v>101.54499902023912</x:v>
      </x:c>
      <x:c r="I466" s="24" t="n">
        <x:f>H466/100-1</x:f>
        <x:v>0.01544999020239124</x:v>
      </x:c>
      <x:c r="J466" s="26" t="n">
        <x:v>9</x:v>
      </x:c>
      <x:c r="K466" s="7" t="b">
        <x:v>0</x:v>
      </x:c>
      <x:c r="L466" s="2" t="str">
        <x:v>Aug 10–23, 2026</x:v>
      </x:c>
      <x:c r="M466" s="2" t="str">
        <x:v>https://www.census.gov/hfp/btos/downloads/Sector.xlsx</x:v>
      </x:c>
    </x:row>
    <x:row r="467" ht="24" customHeight="1">
      <x:c r="A467" s="2" t="str">
        <x:v>Census BTOS</x:v>
      </x:c>
      <x:c r="B467" s="2" t="str">
        <x:v>Halves</x:v>
      </x:c>
      <x:c r="C467" s="2" t="str">
        <x:v>Higher half</x:v>
      </x:c>
      <x:c r="D467" s="28" t="n">
        <x:v>45901</x:v>
      </x:c>
      <x:c r="E467" s="2" t="str">
        <x:v>2025Q3</x:v>
      </x:c>
      <x:c r="F467" s="20" t="n">
        <x:v>74507.2</x:v>
      </x:c>
      <x:c r="G467" s="20" t="n">
        <x:f>'Quarterly data'!$E$133</x:f>
        <x:v>72874.5</x:v>
      </x:c>
      <x:c r="H467" s="22" t="n">
        <x:f>100*F467/G467</x:f>
        <x:v>102.24042703551997</x:v>
      </x:c>
      <x:c r="I467" s="24" t="n">
        <x:f>H467/100-1</x:f>
        <x:v>0.02240427035519965</x:v>
      </x:c>
      <x:c r="J467" s="26" t="n">
        <x:v>9</x:v>
      </x:c>
      <x:c r="K467" s="7" t="b">
        <x:v>0</x:v>
      </x:c>
      <x:c r="L467" s="2" t="str">
        <x:v>Aug 10–23, 2026</x:v>
      </x:c>
      <x:c r="M467" s="2" t="str">
        <x:v>https://www.census.gov/hfp/btos/downloads/Sector.xlsx</x:v>
      </x:c>
    </x:row>
    <x:row r="468" ht="24" customHeight="1">
      <x:c r="A468" s="2" t="str">
        <x:v>Census BTOS</x:v>
      </x:c>
      <x:c r="B468" s="2" t="str">
        <x:v>Halves</x:v>
      </x:c>
      <x:c r="C468" s="2" t="str">
        <x:v>Lower half</x:v>
      </x:c>
      <x:c r="D468" s="28" t="n">
        <x:v>45931</x:v>
      </x:c>
      <x:c r="E468" s="2" t="str">
        <x:v>2025Q4</x:v>
      </x:c>
      <x:c r="F468" s="20" t="n">
        <x:v>60471.2</x:v>
      </x:c>
      <x:c r="G468" s="20" t="n">
        <x:f>'Quarterly data'!$E$132</x:f>
        <x:v>59538.3333333333</x:v>
      </x:c>
      <x:c r="H468" s="22" t="n">
        <x:f>100*F468/G468</x:f>
        <x:v>101.56683369257907</x:v>
      </x:c>
      <x:c r="I468" s="24" t="n">
        <x:f>H468/100-1</x:f>
        <x:v>0.015668336925790616</x:v>
      </x:c>
      <x:c r="J468" s="26" t="n">
        <x:v>9</x:v>
      </x:c>
      <x:c r="K468" s="7" t="b">
        <x:v>0</x:v>
      </x:c>
      <x:c r="L468" s="2" t="str">
        <x:v>Aug 10–23, 2026</x:v>
      </x:c>
      <x:c r="M468" s="2" t="str">
        <x:v>https://www.census.gov/hfp/btos/downloads/Sector.xlsx</x:v>
      </x:c>
    </x:row>
    <x:row r="469" ht="24" customHeight="1">
      <x:c r="A469" s="2" t="str">
        <x:v>Census BTOS</x:v>
      </x:c>
      <x:c r="B469" s="2" t="str">
        <x:v>Halves</x:v>
      </x:c>
      <x:c r="C469" s="2" t="str">
        <x:v>Higher half</x:v>
      </x:c>
      <x:c r="D469" s="28" t="n">
        <x:v>45931</x:v>
      </x:c>
      <x:c r="E469" s="2" t="str">
        <x:v>2025Q4</x:v>
      </x:c>
      <x:c r="F469" s="20" t="n">
        <x:v>74507.8</x:v>
      </x:c>
      <x:c r="G469" s="20" t="n">
        <x:f>'Quarterly data'!$E$133</x:f>
        <x:v>72874.5</x:v>
      </x:c>
      <x:c r="H469" s="22" t="n">
        <x:f>100*F469/G469</x:f>
        <x:v>102.24125036878469</x:v>
      </x:c>
      <x:c r="I469" s="24" t="n">
        <x:f>H469/100-1</x:f>
        <x:v>0.022412503687846863</x:v>
      </x:c>
      <x:c r="J469" s="26" t="n">
        <x:v>9</x:v>
      </x:c>
      <x:c r="K469" s="7" t="b">
        <x:v>0</x:v>
      </x:c>
      <x:c r="L469" s="2" t="str">
        <x:v>Aug 10–23, 2026</x:v>
      </x:c>
      <x:c r="M469" s="2" t="str">
        <x:v>https://www.census.gov/hfp/btos/downloads/Sector.xlsx</x:v>
      </x:c>
    </x:row>
    <x:row r="470" ht="24" customHeight="1">
      <x:c r="A470" s="2" t="str">
        <x:v>Census BTOS</x:v>
      </x:c>
      <x:c r="B470" s="2" t="str">
        <x:v>Halves</x:v>
      </x:c>
      <x:c r="C470" s="2" t="str">
        <x:v>Lower half</x:v>
      </x:c>
      <x:c r="D470" s="28" t="n">
        <x:v>45962</x:v>
      </x:c>
      <x:c r="E470" s="2" t="str">
        <x:v>2025Q4</x:v>
      </x:c>
      <x:c r="F470" s="20" t="n">
        <x:v>60446.3</x:v>
      </x:c>
      <x:c r="G470" s="20" t="n">
        <x:f>'Quarterly data'!$E$132</x:f>
        <x:v>59538.3333333333</x:v>
      </x:c>
      <x:c r="H470" s="22" t="n">
        <x:f>100*F470/G470</x:f>
        <x:v>101.52501189709717</x:v>
      </x:c>
      <x:c r="I470" s="24" t="n">
        <x:f>H470/100-1</x:f>
        <x:v>0.015250118970971727</x:v>
      </x:c>
      <x:c r="J470" s="26" t="n">
        <x:v>9</x:v>
      </x:c>
      <x:c r="K470" s="7" t="b">
        <x:v>0</x:v>
      </x:c>
      <x:c r="L470" s="2" t="str">
        <x:v>Aug 10–23, 2026</x:v>
      </x:c>
      <x:c r="M470" s="2" t="str">
        <x:v>https://www.census.gov/hfp/btos/downloads/Sector.xlsx</x:v>
      </x:c>
    </x:row>
    <x:row r="471" ht="24" customHeight="1">
      <x:c r="A471" s="2" t="str">
        <x:v>Census BTOS</x:v>
      </x:c>
      <x:c r="B471" s="2" t="str">
        <x:v>Halves</x:v>
      </x:c>
      <x:c r="C471" s="2" t="str">
        <x:v>Higher half</x:v>
      </x:c>
      <x:c r="D471" s="28" t="n">
        <x:v>45962</x:v>
      </x:c>
      <x:c r="E471" s="2" t="str">
        <x:v>2025Q4</x:v>
      </x:c>
      <x:c r="F471" s="20" t="n">
        <x:v>74606.4</x:v>
      </x:c>
      <x:c r="G471" s="20" t="n">
        <x:f>'Quarterly data'!$E$133</x:f>
        <x:v>72874.5</x:v>
      </x:c>
      <x:c r="H471" s="22" t="n">
        <x:f>100*F471/G471</x:f>
        <x:v>102.3765514686207</x:v>
      </x:c>
      <x:c r="I471" s="24" t="n">
        <x:f>H471/100-1</x:f>
        <x:v>0.023765514686207023</x:v>
      </x:c>
      <x:c r="J471" s="26" t="n">
        <x:v>9</x:v>
      </x:c>
      <x:c r="K471" s="7" t="b">
        <x:v>0</x:v>
      </x:c>
      <x:c r="L471" s="2" t="str">
        <x:v>Aug 10–23, 2026</x:v>
      </x:c>
      <x:c r="M471" s="2" t="str">
        <x:v>https://www.census.gov/hfp/btos/downloads/Sector.xlsx</x:v>
      </x:c>
    </x:row>
    <x:row r="472" ht="24" customHeight="1">
      <x:c r="A472" s="2" t="str">
        <x:v>Census BTOS</x:v>
      </x:c>
      <x:c r="B472" s="2" t="str">
        <x:v>Halves</x:v>
      </x:c>
      <x:c r="C472" s="2" t="str">
        <x:v>Lower half</x:v>
      </x:c>
      <x:c r="D472" s="28" t="n">
        <x:v>45992</x:v>
      </x:c>
      <x:c r="E472" s="2" t="str">
        <x:v>2025Q4</x:v>
      </x:c>
      <x:c r="F472" s="20" t="n">
        <x:v>60438.5</x:v>
      </x:c>
      <x:c r="G472" s="20" t="n">
        <x:f>'Quarterly data'!$E$132</x:f>
        <x:v>59538.3333333333</x:v>
      </x:c>
      <x:c r="H472" s="22" t="n">
        <x:f>100*F472/G472</x:f>
        <x:v>101.5119110936932</x:v>
      </x:c>
      <x:c r="I472" s="24" t="n">
        <x:f>H472/100-1</x:f>
        <x:v>0.015119110936931968</x:v>
      </x:c>
      <x:c r="J472" s="26" t="n">
        <x:v>9</x:v>
      </x:c>
      <x:c r="K472" s="7" t="b">
        <x:v>0</x:v>
      </x:c>
      <x:c r="L472" s="2" t="str">
        <x:v>Aug 10–23, 2026</x:v>
      </x:c>
      <x:c r="M472" s="2" t="str">
        <x:v>https://www.census.gov/hfp/btos/downloads/Sector.xlsx</x:v>
      </x:c>
    </x:row>
    <x:row r="473" ht="24" customHeight="1">
      <x:c r="A473" s="2" t="str">
        <x:v>Census BTOS</x:v>
      </x:c>
      <x:c r="B473" s="2" t="str">
        <x:v>Halves</x:v>
      </x:c>
      <x:c r="C473" s="2" t="str">
        <x:v>Higher half</x:v>
      </x:c>
      <x:c r="D473" s="28" t="n">
        <x:v>45992</x:v>
      </x:c>
      <x:c r="E473" s="2" t="str">
        <x:v>2025Q4</x:v>
      </x:c>
      <x:c r="F473" s="20" t="n">
        <x:v>74606.3</x:v>
      </x:c>
      <x:c r="G473" s="20" t="n">
        <x:f>'Quarterly data'!$E$133</x:f>
        <x:v>72874.5</x:v>
      </x:c>
      <x:c r="H473" s="22" t="n">
        <x:f>100*F473/G473</x:f>
        <x:v>102.37641424640992</x:v>
      </x:c>
      <x:c r="I473" s="24" t="n">
        <x:f>H473/100-1</x:f>
        <x:v>0.023764142464099303</x:v>
      </x:c>
      <x:c r="J473" s="26" t="n">
        <x:v>9</x:v>
      </x:c>
      <x:c r="K473" s="7" t="b">
        <x:v>0</x:v>
      </x:c>
      <x:c r="L473" s="2" t="str">
        <x:v>Aug 10–23, 2026</x:v>
      </x:c>
      <x:c r="M473" s="2" t="str">
        <x:v>https://www.census.gov/hfp/btos/downloads/Sector.xlsx</x:v>
      </x:c>
    </x:row>
    <x:row r="474" ht="24" customHeight="1">
      <x:c r="A474" s="2" t="str">
        <x:v>Census BTOS</x:v>
      </x:c>
      <x:c r="B474" s="2" t="str">
        <x:v>Halves</x:v>
      </x:c>
      <x:c r="C474" s="2" t="str">
        <x:v>Lower half</x:v>
      </x:c>
      <x:c r="D474" s="28" t="n">
        <x:v>46023</x:v>
      </x:c>
      <x:c r="E474" s="2" t="str">
        <x:v>2026Q1</x:v>
      </x:c>
      <x:c r="F474" s="20" t="n">
        <x:v>60527</x:v>
      </x:c>
      <x:c r="G474" s="20" t="n">
        <x:f>'Quarterly data'!$E$132</x:f>
        <x:v>59538.3333333333</x:v>
      </x:c>
      <x:c r="H474" s="22" t="n">
        <x:f>100*F474/G474</x:f>
        <x:v>101.66055482462285</x:v>
      </x:c>
      <x:c r="I474" s="24" t="n">
        <x:f>H474/100-1</x:f>
        <x:v>0.016605548246228397</x:v>
      </x:c>
      <x:c r="J474" s="26" t="n">
        <x:v>9</x:v>
      </x:c>
      <x:c r="K474" s="7" t="b">
        <x:v>0</x:v>
      </x:c>
      <x:c r="L474" s="2" t="str">
        <x:v>Aug 10–23, 2026</x:v>
      </x:c>
      <x:c r="M474" s="2" t="str">
        <x:v>https://www.census.gov/hfp/btos/downloads/Sector.xlsx</x:v>
      </x:c>
    </x:row>
    <x:row r="475" ht="24" customHeight="1">
      <x:c r="A475" s="2" t="str">
        <x:v>Census BTOS</x:v>
      </x:c>
      <x:c r="B475" s="2" t="str">
        <x:v>Halves</x:v>
      </x:c>
      <x:c r="C475" s="2" t="str">
        <x:v>Higher half</x:v>
      </x:c>
      <x:c r="D475" s="28" t="n">
        <x:v>46023</x:v>
      </x:c>
      <x:c r="E475" s="2" t="str">
        <x:v>2026Q1</x:v>
      </x:c>
      <x:c r="F475" s="20" t="n">
        <x:v>74698.8</x:v>
      </x:c>
      <x:c r="G475" s="20" t="n">
        <x:f>'Quarterly data'!$E$133</x:f>
        <x:v>72874.5</x:v>
      </x:c>
      <x:c r="H475" s="22" t="n">
        <x:f>100*F475/G475</x:f>
        <x:v>102.50334479138793</x:v>
      </x:c>
      <x:c r="I475" s="24" t="n">
        <x:f>H475/100-1</x:f>
        <x:v>0.025033447913879403</x:v>
      </x:c>
      <x:c r="J475" s="26" t="n">
        <x:v>9</x:v>
      </x:c>
      <x:c r="K475" s="7" t="b">
        <x:v>0</x:v>
      </x:c>
      <x:c r="L475" s="2" t="str">
        <x:v>Aug 10–23, 2026</x:v>
      </x:c>
      <x:c r="M475" s="2" t="str">
        <x:v>https://www.census.gov/hfp/btos/downloads/Sector.xlsx</x:v>
      </x:c>
    </x:row>
    <x:row r="476" ht="24" customHeight="1">
      <x:c r="A476" s="2" t="str">
        <x:v>Census BTOS</x:v>
      </x:c>
      <x:c r="B476" s="2" t="str">
        <x:v>Halves</x:v>
      </x:c>
      <x:c r="C476" s="2" t="str">
        <x:v>Lower half</x:v>
      </x:c>
      <x:c r="D476" s="28" t="n">
        <x:v>46054</x:v>
      </x:c>
      <x:c r="E476" s="2" t="str">
        <x:v>2026Q1</x:v>
      </x:c>
      <x:c r="F476" s="20" t="n">
        <x:v>60445.8</x:v>
      </x:c>
      <x:c r="G476" s="20" t="n">
        <x:f>'Quarterly data'!$E$132</x:f>
        <x:v>59538.3333333333</x:v>
      </x:c>
      <x:c r="H476" s="22" t="n">
        <x:f>100*F476/G476</x:f>
        <x:v>101.52417210200717</x:v>
      </x:c>
      <x:c r="I476" s="24" t="n">
        <x:f>H476/100-1</x:f>
        <x:v>0.015241721020071708</x:v>
      </x:c>
      <x:c r="J476" s="26" t="n">
        <x:v>9</x:v>
      </x:c>
      <x:c r="K476" s="7" t="b">
        <x:v>0</x:v>
      </x:c>
      <x:c r="L476" s="2" t="str">
        <x:v>Aug 10–23, 2026</x:v>
      </x:c>
      <x:c r="M476" s="2" t="str">
        <x:v>https://www.census.gov/hfp/btos/downloads/Sector.xlsx</x:v>
      </x:c>
    </x:row>
    <x:row r="477" ht="24" customHeight="1">
      <x:c r="A477" s="2" t="str">
        <x:v>Census BTOS</x:v>
      </x:c>
      <x:c r="B477" s="2" t="str">
        <x:v>Halves</x:v>
      </x:c>
      <x:c r="C477" s="2" t="str">
        <x:v>Higher half</x:v>
      </x:c>
      <x:c r="D477" s="28" t="n">
        <x:v>46054</x:v>
      </x:c>
      <x:c r="E477" s="2" t="str">
        <x:v>2026Q1</x:v>
      </x:c>
      <x:c r="F477" s="20" t="n">
        <x:v>74633</x:v>
      </x:c>
      <x:c r="G477" s="20" t="n">
        <x:f>'Quarterly data'!$E$133</x:f>
        <x:v>72874.5</x:v>
      </x:c>
      <x:c r="H477" s="22" t="n">
        <x:f>100*F477/G477</x:f>
        <x:v>102.41305257669006</x:v>
      </x:c>
      <x:c r="I477" s="24" t="n">
        <x:f>H477/100-1</x:f>
        <x:v>0.024130525766900668</x:v>
      </x:c>
      <x:c r="J477" s="26" t="n">
        <x:v>9</x:v>
      </x:c>
      <x:c r="K477" s="7" t="b">
        <x:v>0</x:v>
      </x:c>
      <x:c r="L477" s="2" t="str">
        <x:v>Aug 10–23, 2026</x:v>
      </x:c>
      <x:c r="M477" s="2" t="str">
        <x:v>https://www.census.gov/hfp/btos/downloads/Sector.xlsx</x:v>
      </x:c>
    </x:row>
    <x:row r="478" ht="24" customHeight="1">
      <x:c r="A478" s="2" t="str">
        <x:v>Census BTOS</x:v>
      </x:c>
      <x:c r="B478" s="2" t="str">
        <x:v>Halves</x:v>
      </x:c>
      <x:c r="C478" s="2" t="str">
        <x:v>Lower half</x:v>
      </x:c>
      <x:c r="D478" s="28" t="n">
        <x:v>46082</x:v>
      </x:c>
      <x:c r="E478" s="2" t="str">
        <x:v>2026Q1</x:v>
      </x:c>
      <x:c r="F478" s="20" t="n">
        <x:v>60524.3</x:v>
      </x:c>
      <x:c r="G478" s="20" t="n">
        <x:f>'Quarterly data'!$E$132</x:f>
        <x:v>59538.3333333333</x:v>
      </x:c>
      <x:c r="H478" s="22" t="n">
        <x:f>100*F478/G478</x:f>
        <x:v>101.65601993113685</x:v>
      </x:c>
      <x:c r="I478" s="24" t="n">
        <x:f>H478/100-1</x:f>
        <x:v>0.01656019931136843</x:v>
      </x:c>
      <x:c r="J478" s="26" t="n">
        <x:v>9</x:v>
      </x:c>
      <x:c r="K478" s="7" t="b">
        <x:v>0</x:v>
      </x:c>
      <x:c r="L478" s="2" t="str">
        <x:v>Aug 10–23, 2026</x:v>
      </x:c>
      <x:c r="M478" s="2" t="str">
        <x:v>https://www.census.gov/hfp/btos/downloads/Sector.xlsx</x:v>
      </x:c>
    </x:row>
    <x:row r="479" ht="24" customHeight="1">
      <x:c r="A479" s="2" t="str">
        <x:v>Census BTOS</x:v>
      </x:c>
      <x:c r="B479" s="2" t="str">
        <x:v>Halves</x:v>
      </x:c>
      <x:c r="C479" s="2" t="str">
        <x:v>Higher half</x:v>
      </x:c>
      <x:c r="D479" s="28" t="n">
        <x:v>46082</x:v>
      </x:c>
      <x:c r="E479" s="2" t="str">
        <x:v>2026Q1</x:v>
      </x:c>
      <x:c r="F479" s="20" t="n">
        <x:v>74755.4</x:v>
      </x:c>
      <x:c r="G479" s="20" t="n">
        <x:f>'Quarterly data'!$E$133</x:f>
        <x:v>72874.5</x:v>
      </x:c>
      <x:c r="H479" s="22" t="n">
        <x:f>100*F479/G479</x:f>
        <x:v>102.58101256269339</x:v>
      </x:c>
      <x:c r="I479" s="24" t="n">
        <x:f>H479/100-1</x:f>
        <x:v>0.025810125626933855</x:v>
      </x:c>
      <x:c r="J479" s="26" t="n">
        <x:v>9</x:v>
      </x:c>
      <x:c r="K479" s="7" t="b">
        <x:v>0</x:v>
      </x:c>
      <x:c r="L479" s="2" t="str">
        <x:v>Aug 10–23, 2026</x:v>
      </x:c>
      <x:c r="M479" s="2" t="str">
        <x:v>https://www.census.gov/hfp/btos/downloads/Sector.xlsx</x:v>
      </x:c>
    </x:row>
    <x:row r="480" ht="24" customHeight="1">
      <x:c r="A480" s="2" t="str">
        <x:v>Census BTOS</x:v>
      </x:c>
      <x:c r="B480" s="2" t="str">
        <x:v>Halves</x:v>
      </x:c>
      <x:c r="C480" s="2" t="str">
        <x:v>Lower half</x:v>
      </x:c>
      <x:c r="D480" s="28" t="n">
        <x:v>46113</x:v>
      </x:c>
      <x:c r="E480" s="2" t="str">
        <x:v>2026Q2</x:v>
      </x:c>
      <x:c r="F480" s="20" t="n">
        <x:v>60598.2</x:v>
      </x:c>
      <x:c r="G480" s="20" t="n">
        <x:f>'Quarterly data'!$E$132</x:f>
        <x:v>59538.3333333333</x:v>
      </x:c>
      <x:c r="H480" s="22" t="n">
        <x:f>100*F480/G480</x:f>
        <x:v>101.78014164543858</x:v>
      </x:c>
      <x:c r="I480" s="24" t="n">
        <x:f>H480/100-1</x:f>
        <x:v>0.01780141645438582</x:v>
      </x:c>
      <x:c r="J480" s="26" t="n">
        <x:v>9</x:v>
      </x:c>
      <x:c r="K480" s="7" t="b">
        <x:v>0</x:v>
      </x:c>
      <x:c r="L480" s="2" t="str">
        <x:v>Aug 10–23, 2026</x:v>
      </x:c>
      <x:c r="M480" s="2" t="str">
        <x:v>https://www.census.gov/hfp/btos/downloads/Sector.xlsx</x:v>
      </x:c>
    </x:row>
    <x:row r="481" ht="24" customHeight="1">
      <x:c r="A481" s="2" t="str">
        <x:v>Census BTOS</x:v>
      </x:c>
      <x:c r="B481" s="2" t="str">
        <x:v>Halves</x:v>
      </x:c>
      <x:c r="C481" s="2" t="str">
        <x:v>Higher half</x:v>
      </x:c>
      <x:c r="D481" s="28" t="n">
        <x:v>46113</x:v>
      </x:c>
      <x:c r="E481" s="2" t="str">
        <x:v>2026Q2</x:v>
      </x:c>
      <x:c r="F481" s="20" t="n">
        <x:v>74828.6</x:v>
      </x:c>
      <x:c r="G481" s="20" t="n">
        <x:f>'Quarterly data'!$E$133</x:f>
        <x:v>72874.5</x:v>
      </x:c>
      <x:c r="H481" s="22" t="n">
        <x:f>100*F481/G481</x:f>
        <x:v>102.68145922098952</x:v>
      </x:c>
      <x:c r="I481" s="24" t="n">
        <x:f>H481/100-1</x:f>
        <x:v>0.02681459220989524</x:v>
      </x:c>
      <x:c r="J481" s="26" t="n">
        <x:v>9</x:v>
      </x:c>
      <x:c r="K481" s="7" t="b">
        <x:v>0</x:v>
      </x:c>
      <x:c r="L481" s="2" t="str">
        <x:v>Aug 10–23, 2026</x:v>
      </x:c>
      <x:c r="M481" s="2" t="str">
        <x:v>https://www.census.gov/hfp/btos/downloads/Sector.xlsx</x:v>
      </x:c>
    </x:row>
    <x:row r="482" ht="24" customHeight="1">
      <x:c r="A482" s="2" t="str">
        <x:v>Census BTOS</x:v>
      </x:c>
      <x:c r="B482" s="2" t="str">
        <x:v>Halves</x:v>
      </x:c>
      <x:c r="C482" s="2" t="str">
        <x:v>Lower half</x:v>
      </x:c>
      <x:c r="D482" s="28" t="n">
        <x:v>46143</x:v>
      </x:c>
      <x:c r="E482" s="2" t="str">
        <x:v>2026Q2</x:v>
      </x:c>
      <x:c r="F482" s="20" t="n">
        <x:v>60656.9</x:v>
      </x:c>
      <x:c r="G482" s="20" t="n">
        <x:f>'Quarterly data'!$E$132</x:f>
        <x:v>59538.3333333333</x:v>
      </x:c>
      <x:c r="H482" s="22" t="n">
        <x:f>100*F482/G482</x:f>
        <x:v>101.87873358900434</x:v>
      </x:c>
      <x:c r="I482" s="24" t="n">
        <x:f>H482/100-1</x:f>
        <x:v>0.018787335890043444</x:v>
      </x:c>
      <x:c r="J482" s="26" t="n">
        <x:v>9</x:v>
      </x:c>
      <x:c r="K482" s="7" t="b">
        <x:v>0</x:v>
      </x:c>
      <x:c r="L482" s="2" t="str">
        <x:v>Aug 10–23, 2026</x:v>
      </x:c>
      <x:c r="M482" s="2" t="str">
        <x:v>https://www.census.gov/hfp/btos/downloads/Sector.xlsx</x:v>
      </x:c>
    </x:row>
    <x:row r="483" ht="24" customHeight="1">
      <x:c r="A483" s="2" t="str">
        <x:v>Census BTOS</x:v>
      </x:c>
      <x:c r="B483" s="2" t="str">
        <x:v>Halves</x:v>
      </x:c>
      <x:c r="C483" s="2" t="str">
        <x:v>Higher half</x:v>
      </x:c>
      <x:c r="D483" s="28" t="n">
        <x:v>46143</x:v>
      </x:c>
      <x:c r="E483" s="2" t="str">
        <x:v>2026Q2</x:v>
      </x:c>
      <x:c r="F483" s="20" t="n">
        <x:v>74831.6</x:v>
      </x:c>
      <x:c r="G483" s="20" t="n">
        <x:f>'Quarterly data'!$E$133</x:f>
        <x:v>72874.5</x:v>
      </x:c>
      <x:c r="H483" s="22" t="n">
        <x:f>100*F483/G483</x:f>
        <x:v>102.68557588731314</x:v>
      </x:c>
      <x:c r="I483" s="24" t="n">
        <x:f>H483/100-1</x:f>
        <x:v>0.026855758873131297</x:v>
      </x:c>
      <x:c r="J483" s="26" t="n">
        <x:v>9</x:v>
      </x:c>
      <x:c r="K483" s="7" t="b">
        <x:v>0</x:v>
      </x:c>
      <x:c r="L483" s="2" t="str">
        <x:v>Aug 10–23, 2026</x:v>
      </x:c>
      <x:c r="M483" s="2" t="str">
        <x:v>https://www.census.gov/hfp/btos/downloads/Sector.xlsx</x:v>
      </x:c>
    </x:row>
    <x:row r="484" ht="24" customHeight="1">
      <x:c r="A484" s="2" t="str">
        <x:v>Census BTOS</x:v>
      </x:c>
      <x:c r="B484" s="2" t="str">
        <x:v>Halves</x:v>
      </x:c>
      <x:c r="C484" s="2" t="str">
        <x:v>Lower half</x:v>
      </x:c>
      <x:c r="D484" s="28" t="n">
        <x:v>46174</x:v>
      </x:c>
      <x:c r="E484" s="2" t="str">
        <x:v>2026Q2</x:v>
      </x:c>
      <x:c r="F484" s="20" t="n">
        <x:v>60601.2</x:v>
      </x:c>
      <x:c r="G484" s="20" t="n">
        <x:f>'Quarterly data'!$E$132</x:f>
        <x:v>59538.3333333333</x:v>
      </x:c>
      <x:c r="H484" s="22" t="n">
        <x:f>100*F484/G484</x:f>
        <x:v>101.78518041597856</x:v>
      </x:c>
      <x:c r="I484" s="24" t="n">
        <x:f>H484/100-1</x:f>
        <x:v>0.01785180415978549</x:v>
      </x:c>
      <x:c r="J484" s="26" t="n">
        <x:v>9</x:v>
      </x:c>
      <x:c r="K484" s="7" t="b">
        <x:v>0</x:v>
      </x:c>
      <x:c r="L484" s="2" t="str">
        <x:v>Aug 10–23, 2026</x:v>
      </x:c>
      <x:c r="M484" s="2" t="str">
        <x:v>https://www.census.gov/hfp/btos/downloads/Sector.xlsx</x:v>
      </x:c>
    </x:row>
    <x:row r="485" ht="24" customHeight="1">
      <x:c r="A485" s="2" t="str">
        <x:v>Census BTOS</x:v>
      </x:c>
      <x:c r="B485" s="2" t="str">
        <x:v>Halves</x:v>
      </x:c>
      <x:c r="C485" s="2" t="str">
        <x:v>Higher half</x:v>
      </x:c>
      <x:c r="D485" s="28" t="n">
        <x:v>46174</x:v>
      </x:c>
      <x:c r="E485" s="2" t="str">
        <x:v>2026Q2</x:v>
      </x:c>
      <x:c r="F485" s="20" t="n">
        <x:v>74914.3</x:v>
      </x:c>
      <x:c r="G485" s="20" t="n">
        <x:f>'Quarterly data'!$E$133</x:f>
        <x:v>72874.5</x:v>
      </x:c>
      <x:c r="H485" s="22" t="n">
        <x:f>100*F485/G485</x:f>
        <x:v>102.799058655634</x:v>
      </x:c>
      <x:c r="I485" s="24" t="n">
        <x:f>H485/100-1</x:f>
        <x:v>0.027990586556339903</x:v>
      </x:c>
      <x:c r="J485" s="26" t="n">
        <x:v>9</x:v>
      </x:c>
      <x:c r="K485" s="7" t="b">
        <x:v>0</x:v>
      </x:c>
      <x:c r="L485" s="2" t="str">
        <x:v>Aug 10–23, 2026</x:v>
      </x:c>
      <x:c r="M485" s="2" t="str">
        <x:v>https://www.census.gov/hfp/btos/downloads/Sector.xlsx</x:v>
      </x:c>
    </x:row>
    <x:row r="486" ht="24" customHeight="1">
      <x:c r="A486" s="2" t="str">
        <x:v>Census BTOS</x:v>
      </x:c>
      <x:c r="B486" s="2" t="str">
        <x:v>Halves</x:v>
      </x:c>
      <x:c r="C486" s="2" t="str">
        <x:v>Lower half</x:v>
      </x:c>
      <x:c r="D486" s="28" t="n">
        <x:v>46204</x:v>
      </x:c>
      <x:c r="E486" s="2" t="str">
        <x:v>2026Q3</x:v>
      </x:c>
      <x:c r="F486" s="20" t="n">
        <x:v>60636.8</x:v>
      </x:c>
      <x:c r="G486" s="20" t="n">
        <x:f>'Quarterly data'!$E$132</x:f>
        <x:v>59538.3333333333</x:v>
      </x:c>
      <x:c r="H486" s="22" t="n">
        <x:f>100*F486/G486</x:f>
        <x:v>101.84497382638642</x:v>
      </x:c>
      <x:c r="I486" s="24" t="n">
        <x:f>H486/100-1</x:f>
        <x:v>0.0184497382638642</x:v>
      </x:c>
      <x:c r="J486" s="26" t="n">
        <x:v>9</x:v>
      </x:c>
      <x:c r="K486" s="7" t="b">
        <x:v>1</x:v>
      </x:c>
      <x:c r="L486" s="2" t="str">
        <x:v>Aug 10–23, 2026</x:v>
      </x:c>
      <x:c r="M486" s="2" t="str">
        <x:v>https://www.census.gov/hfp/btos/downloads/Sector.xlsx</x:v>
      </x:c>
    </x:row>
    <x:row r="487" ht="24" customHeight="1">
      <x:c r="A487" s="2" t="str">
        <x:v>Census BTOS</x:v>
      </x:c>
      <x:c r="B487" s="2" t="str">
        <x:v>Halves</x:v>
      </x:c>
      <x:c r="C487" s="2" t="str">
        <x:v>Higher half</x:v>
      </x:c>
      <x:c r="D487" s="28" t="n">
        <x:v>46204</x:v>
      </x:c>
      <x:c r="E487" s="2" t="str">
        <x:v>2026Q3</x:v>
      </x:c>
      <x:c r="F487" s="20" t="n">
        <x:v>74948.6</x:v>
      </x:c>
      <x:c r="G487" s="20" t="n">
        <x:f>'Quarterly data'!$E$133</x:f>
        <x:v>72874.5</x:v>
      </x:c>
      <x:c r="H487" s="22" t="n">
        <x:f>100*F487/G487</x:f>
        <x:v>102.84612587393397</x:v>
      </x:c>
      <x:c r="I487" s="24" t="n">
        <x:f>H487/100-1</x:f>
        <x:v>0.0284612587393398</x:v>
      </x:c>
      <x:c r="J487" s="26" t="n">
        <x:v>9</x:v>
      </x:c>
      <x:c r="K487" s="7" t="b">
        <x:v>1</x:v>
      </x:c>
      <x:c r="L487" s="2" t="str">
        <x:v>Aug 10–23, 2026</x:v>
      </x:c>
      <x:c r="M487" s="2" t="str">
        <x:v>https://www.census.gov/hfp/btos/downloads/Sector.xlsx</x:v>
      </x:c>
    </x:row>
    <x:row r="488" ht="24" customHeight="1">
      <x:c r="A488" s="2" t="str">
        <x:v>Census BTOS</x:v>
      </x:c>
      <x:c r="B488" s="2" t="str">
        <x:v>Halves</x:v>
      </x:c>
      <x:c r="C488" s="2" t="str">
        <x:v>Lower half</x:v>
      </x:c>
      <x:c r="D488" s="28" t="n">
        <x:v>46235</x:v>
      </x:c>
      <x:c r="E488" s="2" t="str">
        <x:v>2026Q3</x:v>
      </x:c>
      <x:c r="F488" s="20" t="n">
        <x:v>60743</x:v>
      </x:c>
      <x:c r="G488" s="20" t="n">
        <x:f>'Quarterly data'!$E$132</x:f>
        <x:v>59538.3333333333</x:v>
      </x:c>
      <x:c r="H488" s="22" t="n">
        <x:f>100*F488/G488</x:f>
        <x:v>102.02334630350201</x:v>
      </x:c>
      <x:c r="I488" s="24" t="n">
        <x:f>H488/100-1</x:f>
        <x:v>0.02023346303502005</x:v>
      </x:c>
      <x:c r="J488" s="26" t="n">
        <x:v>9</x:v>
      </x:c>
      <x:c r="K488" s="7" t="b">
        <x:v>1</x:v>
      </x:c>
      <x:c r="L488" s="2" t="str">
        <x:v>Aug 10–23, 2026</x:v>
      </x:c>
      <x:c r="M488" s="2" t="str">
        <x:v>https://www.census.gov/hfp/btos/downloads/Sector.xlsx</x:v>
      </x:c>
    </x:row>
    <x:row r="489" ht="24" customHeight="1">
      <x:c r="A489" s="2" t="str">
        <x:v>Census BTOS</x:v>
      </x:c>
      <x:c r="B489" s="2" t="str">
        <x:v>Halves</x:v>
      </x:c>
      <x:c r="C489" s="2" t="str">
        <x:v>Higher half</x:v>
      </x:c>
      <x:c r="D489" s="28" t="n">
        <x:v>46235</x:v>
      </x:c>
      <x:c r="E489" s="2" t="str">
        <x:v>2026Q3</x:v>
      </x:c>
      <x:c r="F489" s="20" t="n">
        <x:v>74970.2</x:v>
      </x:c>
      <x:c r="G489" s="20" t="n">
        <x:f>'Quarterly data'!$E$133</x:f>
        <x:v>72874.5</x:v>
      </x:c>
      <x:c r="H489" s="22" t="n">
        <x:f>100*F489/G489</x:f>
        <x:v>102.87576587146395</x:v>
      </x:c>
      <x:c r="I489" s="24" t="n">
        <x:f>H489/100-1</x:f>
        <x:v>0.028757658714639645</x:v>
      </x:c>
      <x:c r="J489" s="26" t="n">
        <x:v>9</x:v>
      </x:c>
      <x:c r="K489" s="7" t="b">
        <x:v>1</x:v>
      </x:c>
      <x:c r="L489" s="2" t="str">
        <x:v>Aug 10–23, 2026</x:v>
      </x:c>
      <x:c r="M489" s="2" t="str">
        <x:v>https://www.census.gov/hfp/btos/downloads/Sector.xlsx</x:v>
      </x:c>
    </x:row>
    <x:row r="490" ht="24" customHeight="1">
      <x:c r="A490" s="2" t="str">
        <x:v>RPS</x:v>
      </x:c>
      <x:c r="B490" s="2" t="str">
        <x:v>Quartiles</x:v>
      </x:c>
      <x:c r="C490" s="2" t="str">
        <x:v>Q1</x:v>
      </x:c>
      <x:c r="D490" s="28" t="n">
        <x:v>44927</x:v>
      </x:c>
      <x:c r="E490" s="2" t="str">
        <x:v>2023Q1</x:v>
      </x:c>
      <x:c r="F490" s="20" t="n">
        <x:v>29340</x:v>
      </x:c>
      <x:c r="G490" s="20" t="n">
        <x:f>'Quarterly data'!$E$160</x:f>
        <x:v>29377.5333333333</x:v>
      </x:c>
      <x:c r="H490" s="22" t="n">
        <x:f>100*F490/G490</x:f>
        <x:v>99.87223796869728</x:v>
      </x:c>
      <x:c r="I490" s="24" t="n">
        <x:f>H490/100-1</x:f>
        <x:v>-0.00127762031302725</x:v>
      </x:c>
      <x:c r="J490" s="26" t="n">
        <x:v>5</x:v>
      </x:c>
      <x:c r="K490" s="7" t="b">
        <x:v>0</x:v>
      </x:c>
      <x:c r="L490" s="2" t="str">
        <x:v>May 2026</x:v>
      </x:c>
      <x:c r="M490" s="2" t="str">
        <x:v>https://www.genaiadoptiontracker.com/</x:v>
      </x:c>
    </x:row>
    <x:row r="491" ht="24" customHeight="1">
      <x:c r="A491" s="2" t="str">
        <x:v>RPS</x:v>
      </x:c>
      <x:c r="B491" s="2" t="str">
        <x:v>Quartiles</x:v>
      </x:c>
      <x:c r="C491" s="2" t="str">
        <x:v>Q2</x:v>
      </x:c>
      <x:c r="D491" s="28" t="n">
        <x:v>44927</x:v>
      </x:c>
      <x:c r="E491" s="2" t="str">
        <x:v>2023Q1</x:v>
      </x:c>
      <x:c r="F491" s="20" t="n">
        <x:v>54089.4</x:v>
      </x:c>
      <x:c r="G491" s="20" t="n">
        <x:f>'Quarterly data'!$E$161</x:f>
        <x:v>54180.2666666667</x:v>
      </x:c>
      <x:c r="H491" s="22" t="n">
        <x:f>100*F491/G491</x:f>
        <x:v>99.83228826239313</x:v>
      </x:c>
      <x:c r="I491" s="24" t="n">
        <x:f>H491/100-1</x:f>
        <x:v>-0.001677117376068682</x:v>
      </x:c>
      <x:c r="J491" s="26" t="n">
        <x:v>4</x:v>
      </x:c>
      <x:c r="K491" s="7" t="b">
        <x:v>0</x:v>
      </x:c>
      <x:c r="L491" s="2" t="str">
        <x:v>May 2026</x:v>
      </x:c>
      <x:c r="M491" s="2" t="str">
        <x:v>https://www.genaiadoptiontracker.com/</x:v>
      </x:c>
    </x:row>
    <x:row r="492" ht="24" customHeight="1">
      <x:c r="A492" s="2" t="str">
        <x:v>RPS</x:v>
      </x:c>
      <x:c r="B492" s="2" t="str">
        <x:v>Quartiles</x:v>
      </x:c>
      <x:c r="C492" s="2" t="str">
        <x:v>Q3</x:v>
      </x:c>
      <x:c r="D492" s="28" t="n">
        <x:v>44927</x:v>
      </x:c>
      <x:c r="E492" s="2" t="str">
        <x:v>2023Q1</x:v>
      </x:c>
      <x:c r="F492" s="20" t="n">
        <x:v>19678.1</x:v>
      </x:c>
      <x:c r="G492" s="20" t="n">
        <x:f>'Quarterly data'!$E$162</x:f>
        <x:v>19689.3666666667</x:v>
      </x:c>
      <x:c r="H492" s="22" t="n">
        <x:f>100*F492/G492</x:f>
        <x:v>99.94277791227395</x:v>
      </x:c>
      <x:c r="I492" s="24" t="n">
        <x:f>H492/100-1</x:f>
        <x:v>-0.0005722208772604986</x:v>
      </x:c>
      <x:c r="J492" s="26" t="n">
        <x:v>4</x:v>
      </x:c>
      <x:c r="K492" s="7" t="b">
        <x:v>0</x:v>
      </x:c>
      <x:c r="L492" s="2" t="str">
        <x:v>May 2026</x:v>
      </x:c>
      <x:c r="M492" s="2" t="str">
        <x:v>https://www.genaiadoptiontracker.com/</x:v>
      </x:c>
    </x:row>
    <x:row r="493" ht="24" customHeight="1">
      <x:c r="A493" s="2" t="str">
        <x:v>RPS</x:v>
      </x:c>
      <x:c r="B493" s="2" t="str">
        <x:v>Quartiles</x:v>
      </x:c>
      <x:c r="C493" s="2" t="str">
        <x:v>Q4</x:v>
      </x:c>
      <x:c r="D493" s="28" t="n">
        <x:v>44927</x:v>
      </x:c>
      <x:c r="E493" s="2" t="str">
        <x:v>2023Q1</x:v>
      </x:c>
      <x:c r="F493" s="20" t="n">
        <x:v>29138</x:v>
      </x:c>
      <x:c r="G493" s="20" t="n">
        <x:f>'Quarterly data'!$E$163</x:f>
        <x:v>29165.6666666667</x:v>
      </x:c>
      <x:c r="H493" s="22" t="n">
        <x:f>100*F493/G493</x:f>
        <x:v>99.90513960478633</x:v>
      </x:c>
      <x:c r="I493" s="24" t="n">
        <x:f>H493/100-1</x:f>
        <x:v>-0.0009486039521366951</x:v>
      </x:c>
      <x:c r="J493" s="26" t="n">
        <x:v>5</x:v>
      </x:c>
      <x:c r="K493" s="7" t="b">
        <x:v>0</x:v>
      </x:c>
      <x:c r="L493" s="2" t="str">
        <x:v>May 2026</x:v>
      </x:c>
      <x:c r="M493" s="2" t="str">
        <x:v>https://www.genaiadoptiontracker.com/</x:v>
      </x:c>
    </x:row>
    <x:row r="494" ht="24" customHeight="1">
      <x:c r="A494" s="2" t="str">
        <x:v>RPS</x:v>
      </x:c>
      <x:c r="B494" s="2" t="str">
        <x:v>Quartiles</x:v>
      </x:c>
      <x:c r="C494" s="2" t="str">
        <x:v>Q1</x:v>
      </x:c>
      <x:c r="D494" s="28" t="n">
        <x:v>44958</x:v>
      </x:c>
      <x:c r="E494" s="2" t="str">
        <x:v>2023Q1</x:v>
      </x:c>
      <x:c r="F494" s="20" t="n">
        <x:v>29390</x:v>
      </x:c>
      <x:c r="G494" s="20" t="n">
        <x:f>'Quarterly data'!$E$160</x:f>
        <x:v>29377.5333333333</x:v>
      </x:c>
      <x:c r="H494" s="22" t="n">
        <x:f>100*F494/G494</x:f>
        <x:v>100.0424360565785</x:v>
      </x:c>
      <x:c r="I494" s="24" t="n">
        <x:f>H494/100-1</x:f>
        <x:v>0.00042436056578498693</x:v>
      </x:c>
      <x:c r="J494" s="26" t="n">
        <x:v>5</x:v>
      </x:c>
      <x:c r="K494" s="7" t="b">
        <x:v>0</x:v>
      </x:c>
      <x:c r="L494" s="2" t="str">
        <x:v>May 2026</x:v>
      </x:c>
      <x:c r="M494" s="2" t="str">
        <x:v>https://www.genaiadoptiontracker.com/</x:v>
      </x:c>
    </x:row>
    <x:row r="495" ht="24" customHeight="1">
      <x:c r="A495" s="2" t="str">
        <x:v>RPS</x:v>
      </x:c>
      <x:c r="B495" s="2" t="str">
        <x:v>Quartiles</x:v>
      </x:c>
      <x:c r="C495" s="2" t="str">
        <x:v>Q2</x:v>
      </x:c>
      <x:c r="D495" s="28" t="n">
        <x:v>44958</x:v>
      </x:c>
      <x:c r="E495" s="2" t="str">
        <x:v>2023Q1</x:v>
      </x:c>
      <x:c r="F495" s="20" t="n">
        <x:v>54229.1</x:v>
      </x:c>
      <x:c r="G495" s="20" t="n">
        <x:f>'Quarterly data'!$E$161</x:f>
        <x:v>54180.2666666667</x:v>
      </x:c>
      <x:c r="H495" s="22" t="n">
        <x:f>100*F495/G495</x:f>
        <x:v>100.09013121628533</x:v>
      </x:c>
      <x:c r="I495" s="24" t="n">
        <x:f>H495/100-1</x:f>
        <x:v>0.0009013121628533849</x:v>
      </x:c>
      <x:c r="J495" s="26" t="n">
        <x:v>4</x:v>
      </x:c>
      <x:c r="K495" s="7" t="b">
        <x:v>0</x:v>
      </x:c>
      <x:c r="L495" s="2" t="str">
        <x:v>May 2026</x:v>
      </x:c>
      <x:c r="M495" s="2" t="str">
        <x:v>https://www.genaiadoptiontracker.com/</x:v>
      </x:c>
    </x:row>
    <x:row r="496" ht="24" customHeight="1">
      <x:c r="A496" s="2" t="str">
        <x:v>RPS</x:v>
      </x:c>
      <x:c r="B496" s="2" t="str">
        <x:v>Quartiles</x:v>
      </x:c>
      <x:c r="C496" s="2" t="str">
        <x:v>Q3</x:v>
      </x:c>
      <x:c r="D496" s="28" t="n">
        <x:v>44958</x:v>
      </x:c>
      <x:c r="E496" s="2" t="str">
        <x:v>2023Q1</x:v>
      </x:c>
      <x:c r="F496" s="20" t="n">
        <x:v>19697.7</x:v>
      </x:c>
      <x:c r="G496" s="20" t="n">
        <x:f>'Quarterly data'!$E$162</x:f>
        <x:v>19689.3666666667</x:v>
      </x:c>
      <x:c r="H496" s="22" t="n">
        <x:f>100*F496/G496</x:f>
        <x:v>100.04232402938285</x:v>
      </x:c>
      <x:c r="I496" s="24" t="n">
        <x:f>H496/100-1</x:f>
        <x:v>0.00042324029382845296</x:v>
      </x:c>
      <x:c r="J496" s="26" t="n">
        <x:v>4</x:v>
      </x:c>
      <x:c r="K496" s="7" t="b">
        <x:v>0</x:v>
      </x:c>
      <x:c r="L496" s="2" t="str">
        <x:v>May 2026</x:v>
      </x:c>
      <x:c r="M496" s="2" t="str">
        <x:v>https://www.genaiadoptiontracker.com/</x:v>
      </x:c>
    </x:row>
    <x:row r="497" ht="24" customHeight="1">
      <x:c r="A497" s="2" t="str">
        <x:v>RPS</x:v>
      </x:c>
      <x:c r="B497" s="2" t="str">
        <x:v>Quartiles</x:v>
      </x:c>
      <x:c r="C497" s="2" t="str">
        <x:v>Q4</x:v>
      </x:c>
      <x:c r="D497" s="28" t="n">
        <x:v>44958</x:v>
      </x:c>
      <x:c r="E497" s="2" t="str">
        <x:v>2023Q1</x:v>
      </x:c>
      <x:c r="F497" s="20" t="n">
        <x:v>29166.7</x:v>
      </x:c>
      <x:c r="G497" s="20" t="n">
        <x:f>'Quarterly data'!$E$163</x:f>
        <x:v>29165.6666666667</x:v>
      </x:c>
      <x:c r="H497" s="22" t="n">
        <x:f>100*F497/G497</x:f>
        <x:v>100.0035429786163</x:v>
      </x:c>
      <x:c r="I497" s="24" t="n">
        <x:f>H497/100-1</x:f>
        <x:v>0.00003542978616288828</x:v>
      </x:c>
      <x:c r="J497" s="26" t="n">
        <x:v>5</x:v>
      </x:c>
      <x:c r="K497" s="7" t="b">
        <x:v>0</x:v>
      </x:c>
      <x:c r="L497" s="2" t="str">
        <x:v>May 2026</x:v>
      </x:c>
      <x:c r="M497" s="2" t="str">
        <x:v>https://www.genaiadoptiontracker.com/</x:v>
      </x:c>
    </x:row>
    <x:row r="498" ht="24" customHeight="1">
      <x:c r="A498" s="2" t="str">
        <x:v>RPS</x:v>
      </x:c>
      <x:c r="B498" s="2" t="str">
        <x:v>Quartiles</x:v>
      </x:c>
      <x:c r="C498" s="2" t="str">
        <x:v>Q1</x:v>
      </x:c>
      <x:c r="D498" s="28" t="n">
        <x:v>44986</x:v>
      </x:c>
      <x:c r="E498" s="2" t="str">
        <x:v>2023Q1</x:v>
      </x:c>
      <x:c r="F498" s="20" t="n">
        <x:v>29402.6</x:v>
      </x:c>
      <x:c r="G498" s="20" t="n">
        <x:f>'Quarterly data'!$E$160</x:f>
        <x:v>29377.5333333333</x:v>
      </x:c>
      <x:c r="H498" s="22" t="n">
        <x:f>100*F498/G498</x:f>
        <x:v>100.08532597472457</x:v>
      </x:c>
      <x:c r="I498" s="24" t="n">
        <x:f>H498/100-1</x:f>
        <x:v>0.0008532597472457049</x:v>
      </x:c>
      <x:c r="J498" s="26" t="n">
        <x:v>5</x:v>
      </x:c>
      <x:c r="K498" s="7" t="b">
        <x:v>0</x:v>
      </x:c>
      <x:c r="L498" s="2" t="str">
        <x:v>May 2026</x:v>
      </x:c>
      <x:c r="M498" s="2" t="str">
        <x:v>https://www.genaiadoptiontracker.com/</x:v>
      </x:c>
    </x:row>
    <x:row r="499" ht="24" customHeight="1">
      <x:c r="A499" s="2" t="str">
        <x:v>RPS</x:v>
      </x:c>
      <x:c r="B499" s="2" t="str">
        <x:v>Quartiles</x:v>
      </x:c>
      <x:c r="C499" s="2" t="str">
        <x:v>Q2</x:v>
      </x:c>
      <x:c r="D499" s="28" t="n">
        <x:v>44986</x:v>
      </x:c>
      <x:c r="E499" s="2" t="str">
        <x:v>2023Q1</x:v>
      </x:c>
      <x:c r="F499" s="20" t="n">
        <x:v>54222.3</x:v>
      </x:c>
      <x:c r="G499" s="20" t="n">
        <x:f>'Quarterly data'!$E$161</x:f>
        <x:v>54180.2666666667</x:v>
      </x:c>
      <x:c r="H499" s="22" t="n">
        <x:f>100*F499/G499</x:f>
        <x:v>100.07758052132135</x:v>
      </x:c>
      <x:c r="I499" s="24" t="n">
        <x:f>H499/100-1</x:f>
        <x:v>0.0007758052132134097</x:v>
      </x:c>
      <x:c r="J499" s="26" t="n">
        <x:v>4</x:v>
      </x:c>
      <x:c r="K499" s="7" t="b">
        <x:v>0</x:v>
      </x:c>
      <x:c r="L499" s="2" t="str">
        <x:v>May 2026</x:v>
      </x:c>
      <x:c r="M499" s="2" t="str">
        <x:v>https://www.genaiadoptiontracker.com/</x:v>
      </x:c>
    </x:row>
    <x:row r="500" ht="24" customHeight="1">
      <x:c r="A500" s="2" t="str">
        <x:v>RPS</x:v>
      </x:c>
      <x:c r="B500" s="2" t="str">
        <x:v>Quartiles</x:v>
      </x:c>
      <x:c r="C500" s="2" t="str">
        <x:v>Q3</x:v>
      </x:c>
      <x:c r="D500" s="28" t="n">
        <x:v>44986</x:v>
      </x:c>
      <x:c r="E500" s="2" t="str">
        <x:v>2023Q1</x:v>
      </x:c>
      <x:c r="F500" s="20" t="n">
        <x:v>19692.3</x:v>
      </x:c>
      <x:c r="G500" s="20" t="n">
        <x:f>'Quarterly data'!$E$162</x:f>
        <x:v>19689.3666666667</x:v>
      </x:c>
      <x:c r="H500" s="22" t="n">
        <x:f>100*F500/G500</x:f>
        <x:v>100.01489805834265</x:v>
      </x:c>
      <x:c r="I500" s="24" t="n">
        <x:f>H500/100-1</x:f>
        <x:v>0.00014898058342649456</x:v>
      </x:c>
      <x:c r="J500" s="26" t="n">
        <x:v>4</x:v>
      </x:c>
      <x:c r="K500" s="7" t="b">
        <x:v>0</x:v>
      </x:c>
      <x:c r="L500" s="2" t="str">
        <x:v>May 2026</x:v>
      </x:c>
      <x:c r="M500" s="2" t="str">
        <x:v>https://www.genaiadoptiontracker.com/</x:v>
      </x:c>
    </x:row>
    <x:row r="501" ht="24" customHeight="1">
      <x:c r="A501" s="2" t="str">
        <x:v>RPS</x:v>
      </x:c>
      <x:c r="B501" s="2" t="str">
        <x:v>Quartiles</x:v>
      </x:c>
      <x:c r="C501" s="2" t="str">
        <x:v>Q4</x:v>
      </x:c>
      <x:c r="D501" s="28" t="n">
        <x:v>44986</x:v>
      </x:c>
      <x:c r="E501" s="2" t="str">
        <x:v>2023Q1</x:v>
      </x:c>
      <x:c r="F501" s="20" t="n">
        <x:v>29192.3</x:v>
      </x:c>
      <x:c r="G501" s="20" t="n">
        <x:f>'Quarterly data'!$E$163</x:f>
        <x:v>29165.6666666667</x:v>
      </x:c>
      <x:c r="H501" s="22" t="n">
        <x:f>100*F501/G501</x:f>
        <x:v>100.09131741659702</x:v>
      </x:c>
      <x:c r="I501" s="24" t="n">
        <x:f>H501/100-1</x:f>
        <x:v>0.0009131741659702541</x:v>
      </x:c>
      <x:c r="J501" s="26" t="n">
        <x:v>5</x:v>
      </x:c>
      <x:c r="K501" s="7" t="b">
        <x:v>0</x:v>
      </x:c>
      <x:c r="L501" s="2" t="str">
        <x:v>May 2026</x:v>
      </x:c>
      <x:c r="M501" s="2" t="str">
        <x:v>https://www.genaiadoptiontracker.com/</x:v>
      </x:c>
    </x:row>
    <x:row r="502" ht="24" customHeight="1">
      <x:c r="A502" s="2" t="str">
        <x:v>RPS</x:v>
      </x:c>
      <x:c r="B502" s="2" t="str">
        <x:v>Quartiles</x:v>
      </x:c>
      <x:c r="C502" s="2" t="str">
        <x:v>Q1</x:v>
      </x:c>
      <x:c r="D502" s="28" t="n">
        <x:v>45017</x:v>
      </x:c>
      <x:c r="E502" s="2" t="str">
        <x:v>2023Q2</x:v>
      </x:c>
      <x:c r="F502" s="20" t="n">
        <x:v>29454.3</x:v>
      </x:c>
      <x:c r="G502" s="20" t="n">
        <x:f>'Quarterly data'!$E$160</x:f>
        <x:v>29377.5333333333</x:v>
      </x:c>
      <x:c r="H502" s="22" t="n">
        <x:f>100*F502/G502</x:f>
        <x:v>100.26131079759374</x:v>
      </x:c>
      <x:c r="I502" s="24" t="n">
        <x:f>H502/100-1</x:f>
        <x:v>0.002613107975937279</x:v>
      </x:c>
      <x:c r="J502" s="26" t="n">
        <x:v>5</x:v>
      </x:c>
      <x:c r="K502" s="7" t="b">
        <x:v>0</x:v>
      </x:c>
      <x:c r="L502" s="2" t="str">
        <x:v>May 2026</x:v>
      </x:c>
      <x:c r="M502" s="2" t="str">
        <x:v>https://www.genaiadoptiontracker.com/</x:v>
      </x:c>
    </x:row>
    <x:row r="503" ht="24" customHeight="1">
      <x:c r="A503" s="2" t="str">
        <x:v>RPS</x:v>
      </x:c>
      <x:c r="B503" s="2" t="str">
        <x:v>Quartiles</x:v>
      </x:c>
      <x:c r="C503" s="2" t="str">
        <x:v>Q2</x:v>
      </x:c>
      <x:c r="D503" s="28" t="n">
        <x:v>45017</x:v>
      </x:c>
      <x:c r="E503" s="2" t="str">
        <x:v>2023Q2</x:v>
      </x:c>
      <x:c r="F503" s="20" t="n">
        <x:v>54295.5</x:v>
      </x:c>
      <x:c r="G503" s="20" t="n">
        <x:f>'Quarterly data'!$E$161</x:f>
        <x:v>54180.2666666667</x:v>
      </x:c>
      <x:c r="H503" s="22" t="n">
        <x:f>100*F503/G503</x:f>
        <x:v>100.21268506122765</x:v>
      </x:c>
      <x:c r="I503" s="24" t="n">
        <x:f>H503/100-1</x:f>
        <x:v>0.002126850612276465</x:v>
      </x:c>
      <x:c r="J503" s="26" t="n">
        <x:v>4</x:v>
      </x:c>
      <x:c r="K503" s="7" t="b">
        <x:v>0</x:v>
      </x:c>
      <x:c r="L503" s="2" t="str">
        <x:v>May 2026</x:v>
      </x:c>
      <x:c r="M503" s="2" t="str">
        <x:v>https://www.genaiadoptiontracker.com/</x:v>
      </x:c>
    </x:row>
    <x:row r="504" ht="24" customHeight="1">
      <x:c r="A504" s="2" t="str">
        <x:v>RPS</x:v>
      </x:c>
      <x:c r="B504" s="2" t="str">
        <x:v>Quartiles</x:v>
      </x:c>
      <x:c r="C504" s="2" t="str">
        <x:v>Q3</x:v>
      </x:c>
      <x:c r="D504" s="28" t="n">
        <x:v>45017</x:v>
      </x:c>
      <x:c r="E504" s="2" t="str">
        <x:v>2023Q2</x:v>
      </x:c>
      <x:c r="F504" s="20" t="n">
        <x:v>19718.9</x:v>
      </x:c>
      <x:c r="G504" s="20" t="n">
        <x:f>'Quarterly data'!$E$162</x:f>
        <x:v>19689.3666666667</x:v>
      </x:c>
      <x:c r="H504" s="22" t="n">
        <x:f>100*F504/G504</x:f>
        <x:v>100.14999636013331</x:v>
      </x:c>
      <x:c r="I504" s="24" t="n">
        <x:f>H504/100-1</x:f>
        <x:v>0.0014999636013330875</x:v>
      </x:c>
      <x:c r="J504" s="26" t="n">
        <x:v>4</x:v>
      </x:c>
      <x:c r="K504" s="7" t="b">
        <x:v>0</x:v>
      </x:c>
      <x:c r="L504" s="2" t="str">
        <x:v>May 2026</x:v>
      </x:c>
      <x:c r="M504" s="2" t="str">
        <x:v>https://www.genaiadoptiontracker.com/</x:v>
      </x:c>
    </x:row>
    <x:row r="505" ht="24" customHeight="1">
      <x:c r="A505" s="2" t="str">
        <x:v>RPS</x:v>
      </x:c>
      <x:c r="B505" s="2" t="str">
        <x:v>Quartiles</x:v>
      </x:c>
      <x:c r="C505" s="2" t="str">
        <x:v>Q4</x:v>
      </x:c>
      <x:c r="D505" s="28" t="n">
        <x:v>45017</x:v>
      </x:c>
      <x:c r="E505" s="2" t="str">
        <x:v>2023Q2</x:v>
      </x:c>
      <x:c r="F505" s="20" t="n">
        <x:v>29218.3</x:v>
      </x:c>
      <x:c r="G505" s="20" t="n">
        <x:f>'Quarterly data'!$E$163</x:f>
        <x:v>29165.6666666667</x:v>
      </x:c>
      <x:c r="H505" s="22" t="n">
        <x:f>100*F505/G505</x:f>
        <x:v>100.18046333017121</x:v>
      </x:c>
      <x:c r="I505" s="24" t="n">
        <x:f>H505/100-1</x:f>
        <x:v>0.0018046333017120997</x:v>
      </x:c>
      <x:c r="J505" s="26" t="n">
        <x:v>5</x:v>
      </x:c>
      <x:c r="K505" s="7" t="b">
        <x:v>0</x:v>
      </x:c>
      <x:c r="L505" s="2" t="str">
        <x:v>May 2026</x:v>
      </x:c>
      <x:c r="M505" s="2" t="str">
        <x:v>https://www.genaiadoptiontracker.com/</x:v>
      </x:c>
    </x:row>
    <x:row r="506" ht="24" customHeight="1">
      <x:c r="A506" s="2" t="str">
        <x:v>RPS</x:v>
      </x:c>
      <x:c r="B506" s="2" t="str">
        <x:v>Quartiles</x:v>
      </x:c>
      <x:c r="C506" s="2" t="str">
        <x:v>Q1</x:v>
      </x:c>
      <x:c r="D506" s="28" t="n">
        <x:v>45047</x:v>
      </x:c>
      <x:c r="E506" s="2" t="str">
        <x:v>2023Q2</x:v>
      </x:c>
      <x:c r="F506" s="20" t="n">
        <x:v>29544.7</x:v>
      </x:c>
      <x:c r="G506" s="20" t="n">
        <x:f>'Quarterly data'!$E$160</x:f>
        <x:v>29377.5333333333</x:v>
      </x:c>
      <x:c r="H506" s="22" t="n">
        <x:f>100*F506/G506</x:f>
        <x:v>100.56902894048298</x:v>
      </x:c>
      <x:c r="I506" s="24" t="n">
        <x:f>H506/100-1</x:f>
        <x:v>0.005690289404829851</x:v>
      </x:c>
      <x:c r="J506" s="26" t="n">
        <x:v>5</x:v>
      </x:c>
      <x:c r="K506" s="7" t="b">
        <x:v>0</x:v>
      </x:c>
      <x:c r="L506" s="2" t="str">
        <x:v>May 2026</x:v>
      </x:c>
      <x:c r="M506" s="2" t="str">
        <x:v>https://www.genaiadoptiontracker.com/</x:v>
      </x:c>
    </x:row>
    <x:row r="507" ht="24" customHeight="1">
      <x:c r="A507" s="2" t="str">
        <x:v>RPS</x:v>
      </x:c>
      <x:c r="B507" s="2" t="str">
        <x:v>Quartiles</x:v>
      </x:c>
      <x:c r="C507" s="2" t="str">
        <x:v>Q2</x:v>
      </x:c>
      <x:c r="D507" s="28" t="n">
        <x:v>45047</x:v>
      </x:c>
      <x:c r="E507" s="2" t="str">
        <x:v>2023Q2</x:v>
      </x:c>
      <x:c r="F507" s="20" t="n">
        <x:v>54367.8</x:v>
      </x:c>
      <x:c r="G507" s="20" t="n">
        <x:f>'Quarterly data'!$E$161</x:f>
        <x:v>54180.2666666667</x:v>
      </x:c>
      <x:c r="H507" s="22" t="n">
        <x:f>100*F507/G507</x:f>
        <x:v>100.34612847974164</x:v>
      </x:c>
      <x:c r="I507" s="24" t="n">
        <x:f>H507/100-1</x:f>
        <x:v>0.003461284797416475</x:v>
      </x:c>
      <x:c r="J507" s="26" t="n">
        <x:v>4</x:v>
      </x:c>
      <x:c r="K507" s="7" t="b">
        <x:v>0</x:v>
      </x:c>
      <x:c r="L507" s="2" t="str">
        <x:v>May 2026</x:v>
      </x:c>
      <x:c r="M507" s="2" t="str">
        <x:v>https://www.genaiadoptiontracker.com/</x:v>
      </x:c>
    </x:row>
    <x:row r="508" ht="24" customHeight="1">
      <x:c r="A508" s="2" t="str">
        <x:v>RPS</x:v>
      </x:c>
      <x:c r="B508" s="2" t="str">
        <x:v>Quartiles</x:v>
      </x:c>
      <x:c r="C508" s="2" t="str">
        <x:v>Q3</x:v>
      </x:c>
      <x:c r="D508" s="28" t="n">
        <x:v>45047</x:v>
      </x:c>
      <x:c r="E508" s="2" t="str">
        <x:v>2023Q2</x:v>
      </x:c>
      <x:c r="F508" s="20" t="n">
        <x:v>19731</x:v>
      </x:c>
      <x:c r="G508" s="20" t="n">
        <x:f>'Quarterly data'!$E$162</x:f>
        <x:v>19689.3666666667</x:v>
      </x:c>
      <x:c r="H508" s="22" t="n">
        <x:f>100*F508/G508</x:f>
        <x:v>100.21145085079746</x:v>
      </x:c>
      <x:c r="I508" s="24" t="n">
        <x:f>H508/100-1</x:f>
        <x:v>0.0021145085079745662</x:v>
      </x:c>
      <x:c r="J508" s="26" t="n">
        <x:v>4</x:v>
      </x:c>
      <x:c r="K508" s="7" t="b">
        <x:v>0</x:v>
      </x:c>
      <x:c r="L508" s="2" t="str">
        <x:v>May 2026</x:v>
      </x:c>
      <x:c r="M508" s="2" t="str">
        <x:v>https://www.genaiadoptiontracker.com/</x:v>
      </x:c>
    </x:row>
    <x:row r="509" ht="24" customHeight="1">
      <x:c r="A509" s="2" t="str">
        <x:v>RPS</x:v>
      </x:c>
      <x:c r="B509" s="2" t="str">
        <x:v>Quartiles</x:v>
      </x:c>
      <x:c r="C509" s="2" t="str">
        <x:v>Q4</x:v>
      </x:c>
      <x:c r="D509" s="28" t="n">
        <x:v>45047</x:v>
      </x:c>
      <x:c r="E509" s="2" t="str">
        <x:v>2023Q2</x:v>
      </x:c>
      <x:c r="F509" s="20" t="n">
        <x:v>29243.6</x:v>
      </x:c>
      <x:c r="G509" s="20" t="n">
        <x:f>'Quarterly data'!$E$163</x:f>
        <x:v>29165.6666666667</x:v>
      </x:c>
      <x:c r="H509" s="22" t="n">
        <x:f>100*F509/G509</x:f>
        <x:v>100.26720916145685</x:v>
      </x:c>
      <x:c r="I509" s="24" t="n">
        <x:f>H509/100-1</x:f>
        <x:v>0.0026720916145683837</x:v>
      </x:c>
      <x:c r="J509" s="26" t="n">
        <x:v>5</x:v>
      </x:c>
      <x:c r="K509" s="7" t="b">
        <x:v>0</x:v>
      </x:c>
      <x:c r="L509" s="2" t="str">
        <x:v>May 2026</x:v>
      </x:c>
      <x:c r="M509" s="2" t="str">
        <x:v>https://www.genaiadoptiontracker.com/</x:v>
      </x:c>
    </x:row>
    <x:row r="510" ht="24" customHeight="1">
      <x:c r="A510" s="2" t="str">
        <x:v>RPS</x:v>
      </x:c>
      <x:c r="B510" s="2" t="str">
        <x:v>Quartiles</x:v>
      </x:c>
      <x:c r="C510" s="2" t="str">
        <x:v>Q1</x:v>
      </x:c>
      <x:c r="D510" s="28" t="n">
        <x:v>45078</x:v>
      </x:c>
      <x:c r="E510" s="2" t="str">
        <x:v>2023Q2</x:v>
      </x:c>
      <x:c r="F510" s="20" t="n">
        <x:v>29609.9</x:v>
      </x:c>
      <x:c r="G510" s="20" t="n">
        <x:f>'Quarterly data'!$E$160</x:f>
        <x:v>29377.5333333333</x:v>
      </x:c>
      <x:c r="H510" s="22" t="n">
        <x:f>100*F510/G510</x:f>
        <x:v>100.79096724708008</x:v>
      </x:c>
      <x:c r="I510" s="24" t="n">
        <x:f>H510/100-1</x:f>
        <x:v>0.007909672470800766</x:v>
      </x:c>
      <x:c r="J510" s="26" t="n">
        <x:v>5</x:v>
      </x:c>
      <x:c r="K510" s="7" t="b">
        <x:v>0</x:v>
      </x:c>
      <x:c r="L510" s="2" t="str">
        <x:v>May 2026</x:v>
      </x:c>
      <x:c r="M510" s="2" t="str">
        <x:v>https://www.genaiadoptiontracker.com/</x:v>
      </x:c>
    </x:row>
    <x:row r="511" ht="24" customHeight="1">
      <x:c r="A511" s="2" t="str">
        <x:v>RPS</x:v>
      </x:c>
      <x:c r="B511" s="2" t="str">
        <x:v>Quartiles</x:v>
      </x:c>
      <x:c r="C511" s="2" t="str">
        <x:v>Q2</x:v>
      </x:c>
      <x:c r="D511" s="28" t="n">
        <x:v>45078</x:v>
      </x:c>
      <x:c r="E511" s="2" t="str">
        <x:v>2023Q2</x:v>
      </x:c>
      <x:c r="F511" s="20" t="n">
        <x:v>54443</x:v>
      </x:c>
      <x:c r="G511" s="20" t="n">
        <x:f>'Quarterly data'!$E$161</x:f>
        <x:v>54180.2666666667</x:v>
      </x:c>
      <x:c r="H511" s="22" t="n">
        <x:f>100*F511/G511</x:f>
        <x:v>100.48492440051969</x:v>
      </x:c>
      <x:c r="I511" s="24" t="n">
        <x:f>H511/100-1</x:f>
        <x:v>0.004849244005196818</x:v>
      </x:c>
      <x:c r="J511" s="26" t="n">
        <x:v>4</x:v>
      </x:c>
      <x:c r="K511" s="7" t="b">
        <x:v>0</x:v>
      </x:c>
      <x:c r="L511" s="2" t="str">
        <x:v>May 2026</x:v>
      </x:c>
      <x:c r="M511" s="2" t="str">
        <x:v>https://www.genaiadoptiontracker.com/</x:v>
      </x:c>
    </x:row>
    <x:row r="512" ht="24" customHeight="1">
      <x:c r="A512" s="2" t="str">
        <x:v>RPS</x:v>
      </x:c>
      <x:c r="B512" s="2" t="str">
        <x:v>Quartiles</x:v>
      </x:c>
      <x:c r="C512" s="2" t="str">
        <x:v>Q3</x:v>
      </x:c>
      <x:c r="D512" s="28" t="n">
        <x:v>45078</x:v>
      </x:c>
      <x:c r="E512" s="2" t="str">
        <x:v>2023Q2</x:v>
      </x:c>
      <x:c r="F512" s="20" t="n">
        <x:v>19754.4</x:v>
      </x:c>
      <x:c r="G512" s="20" t="n">
        <x:f>'Quarterly data'!$E$162</x:f>
        <x:v>19689.3666666667</x:v>
      </x:c>
      <x:c r="H512" s="22" t="n">
        <x:f>100*F512/G512</x:f>
        <x:v>100.33029672530503</x:v>
      </x:c>
      <x:c r="I512" s="24" t="n">
        <x:f>H512/100-1</x:f>
        <x:v>0.0033029672530502374</x:v>
      </x:c>
      <x:c r="J512" s="26" t="n">
        <x:v>4</x:v>
      </x:c>
      <x:c r="K512" s="7" t="b">
        <x:v>0</x:v>
      </x:c>
      <x:c r="L512" s="2" t="str">
        <x:v>May 2026</x:v>
      </x:c>
      <x:c r="M512" s="2" t="str">
        <x:v>https://www.genaiadoptiontracker.com/</x:v>
      </x:c>
    </x:row>
    <x:row r="513" ht="24" customHeight="1">
      <x:c r="A513" s="2" t="str">
        <x:v>RPS</x:v>
      </x:c>
      <x:c r="B513" s="2" t="str">
        <x:v>Quartiles</x:v>
      </x:c>
      <x:c r="C513" s="2" t="str">
        <x:v>Q4</x:v>
      </x:c>
      <x:c r="D513" s="28" t="n">
        <x:v>45078</x:v>
      </x:c>
      <x:c r="E513" s="2" t="str">
        <x:v>2023Q2</x:v>
      </x:c>
      <x:c r="F513" s="20" t="n">
        <x:v>29235.8</x:v>
      </x:c>
      <x:c r="G513" s="20" t="n">
        <x:f>'Quarterly data'!$E$163</x:f>
        <x:v>29165.6666666667</x:v>
      </x:c>
      <x:c r="H513" s="22" t="n">
        <x:f>100*F513/G513</x:f>
        <x:v>100.24046538738459</x:v>
      </x:c>
      <x:c r="I513" s="24" t="n">
        <x:f>H513/100-1</x:f>
        <x:v>0.002404653873845808</x:v>
      </x:c>
      <x:c r="J513" s="26" t="n">
        <x:v>5</x:v>
      </x:c>
      <x:c r="K513" s="7" t="b">
        <x:v>0</x:v>
      </x:c>
      <x:c r="L513" s="2" t="str">
        <x:v>May 2026</x:v>
      </x:c>
      <x:c r="M513" s="2" t="str">
        <x:v>https://www.genaiadoptiontracker.com/</x:v>
      </x:c>
    </x:row>
    <x:row r="514" ht="24" customHeight="1">
      <x:c r="A514" s="2" t="str">
        <x:v>RPS</x:v>
      </x:c>
      <x:c r="B514" s="2" t="str">
        <x:v>Quartiles</x:v>
      </x:c>
      <x:c r="C514" s="2" t="str">
        <x:v>Q1</x:v>
      </x:c>
      <x:c r="D514" s="28" t="n">
        <x:v>45108</x:v>
      </x:c>
      <x:c r="E514" s="2" t="str">
        <x:v>2023Q3</x:v>
      </x:c>
      <x:c r="F514" s="20" t="n">
        <x:v>29647.4</x:v>
      </x:c>
      <x:c r="G514" s="20" t="n">
        <x:f>'Quarterly data'!$E$160</x:f>
        <x:v>29377.5333333333</x:v>
      </x:c>
      <x:c r="H514" s="22" t="n">
        <x:f>100*F514/G514</x:f>
        <x:v>100.91861581299099</x:v>
      </x:c>
      <x:c r="I514" s="24" t="n">
        <x:f>H514/100-1</x:f>
        <x:v>0.009186158129909971</x:v>
      </x:c>
      <x:c r="J514" s="26" t="n">
        <x:v>5</x:v>
      </x:c>
      <x:c r="K514" s="7" t="b">
        <x:v>0</x:v>
      </x:c>
      <x:c r="L514" s="2" t="str">
        <x:v>May 2026</x:v>
      </x:c>
      <x:c r="M514" s="2" t="str">
        <x:v>https://www.genaiadoptiontracker.com/</x:v>
      </x:c>
    </x:row>
    <x:row r="515" ht="24" customHeight="1">
      <x:c r="A515" s="2" t="str">
        <x:v>RPS</x:v>
      </x:c>
      <x:c r="B515" s="2" t="str">
        <x:v>Quartiles</x:v>
      </x:c>
      <x:c r="C515" s="2" t="str">
        <x:v>Q2</x:v>
      </x:c>
      <x:c r="D515" s="28" t="n">
        <x:v>45108</x:v>
      </x:c>
      <x:c r="E515" s="2" t="str">
        <x:v>2023Q3</x:v>
      </x:c>
      <x:c r="F515" s="20" t="n">
        <x:v>54521.6</x:v>
      </x:c>
      <x:c r="G515" s="20" t="n">
        <x:f>'Quarterly data'!$E$161</x:f>
        <x:v>54180.2666666667</x:v>
      </x:c>
      <x:c r="H515" s="22" t="n">
        <x:f>100*F515/G515</x:f>
        <x:v>100.62999566877971</x:v>
      </x:c>
      <x:c r="I515" s="24" t="n">
        <x:f>H515/100-1</x:f>
        <x:v>0.006299956687797037</x:v>
      </x:c>
      <x:c r="J515" s="26" t="n">
        <x:v>4</x:v>
      </x:c>
      <x:c r="K515" s="7" t="b">
        <x:v>0</x:v>
      </x:c>
      <x:c r="L515" s="2" t="str">
        <x:v>May 2026</x:v>
      </x:c>
      <x:c r="M515" s="2" t="str">
        <x:v>https://www.genaiadoptiontracker.com/</x:v>
      </x:c>
    </x:row>
    <x:row r="516" ht="24" customHeight="1">
      <x:c r="A516" s="2" t="str">
        <x:v>RPS</x:v>
      </x:c>
      <x:c r="B516" s="2" t="str">
        <x:v>Quartiles</x:v>
      </x:c>
      <x:c r="C516" s="2" t="str">
        <x:v>Q3</x:v>
      </x:c>
      <x:c r="D516" s="28" t="n">
        <x:v>45108</x:v>
      </x:c>
      <x:c r="E516" s="2" t="str">
        <x:v>2023Q3</x:v>
      </x:c>
      <x:c r="F516" s="20" t="n">
        <x:v>19756.7</x:v>
      </x:c>
      <x:c r="G516" s="20" t="n">
        <x:f>'Quarterly data'!$E$162</x:f>
        <x:v>19689.3666666667</x:v>
      </x:c>
      <x:c r="H516" s="22" t="n">
        <x:f>100*F516/G516</x:f>
        <x:v>100.34197815741474</x:v>
      </x:c>
      <x:c r="I516" s="24" t="n">
        <x:f>H516/100-1</x:f>
        <x:v>0.0034197815741474624</x:v>
      </x:c>
      <x:c r="J516" s="26" t="n">
        <x:v>4</x:v>
      </x:c>
      <x:c r="K516" s="7" t="b">
        <x:v>0</x:v>
      </x:c>
      <x:c r="L516" s="2" t="str">
        <x:v>May 2026</x:v>
      </x:c>
      <x:c r="M516" s="2" t="str">
        <x:v>https://www.genaiadoptiontracker.com/</x:v>
      </x:c>
    </x:row>
    <x:row r="517" ht="24" customHeight="1">
      <x:c r="A517" s="2" t="str">
        <x:v>RPS</x:v>
      </x:c>
      <x:c r="B517" s="2" t="str">
        <x:v>Quartiles</x:v>
      </x:c>
      <x:c r="C517" s="2" t="str">
        <x:v>Q4</x:v>
      </x:c>
      <x:c r="D517" s="28" t="n">
        <x:v>45108</x:v>
      </x:c>
      <x:c r="E517" s="2" t="str">
        <x:v>2023Q3</x:v>
      </x:c>
      <x:c r="F517" s="20" t="n">
        <x:v>29233.5</x:v>
      </x:c>
      <x:c r="G517" s="20" t="n">
        <x:f>'Quarterly data'!$E$163</x:f>
        <x:v>29165.6666666667</x:v>
      </x:c>
      <x:c r="H517" s="22" t="n">
        <x:f>100*F517/G517</x:f>
        <x:v>100.23257940272227</x:v>
      </x:c>
      <x:c r="I517" s="24" t="n">
        <x:f>H517/100-1</x:f>
        <x:v>0.0023257940272225497</x:v>
      </x:c>
      <x:c r="J517" s="26" t="n">
        <x:v>5</x:v>
      </x:c>
      <x:c r="K517" s="7" t="b">
        <x:v>0</x:v>
      </x:c>
      <x:c r="L517" s="2" t="str">
        <x:v>May 2026</x:v>
      </x:c>
      <x:c r="M517" s="2" t="str">
        <x:v>https://www.genaiadoptiontracker.com/</x:v>
      </x:c>
    </x:row>
    <x:row r="518" ht="24" customHeight="1">
      <x:c r="A518" s="2" t="str">
        <x:v>RPS</x:v>
      </x:c>
      <x:c r="B518" s="2" t="str">
        <x:v>Quartiles</x:v>
      </x:c>
      <x:c r="C518" s="2" t="str">
        <x:v>Q1</x:v>
      </x:c>
      <x:c r="D518" s="28" t="n">
        <x:v>45139</x:v>
      </x:c>
      <x:c r="E518" s="2" t="str">
        <x:v>2023Q3</x:v>
      </x:c>
      <x:c r="F518" s="20" t="n">
        <x:v>29694.8</x:v>
      </x:c>
      <x:c r="G518" s="20" t="n">
        <x:f>'Quarterly data'!$E$160</x:f>
        <x:v>29377.5333333333</x:v>
      </x:c>
      <x:c r="H518" s="22" t="n">
        <x:f>100*F518/G518</x:f>
        <x:v>101.07996360030239</x:v>
      </x:c>
      <x:c r="I518" s="24" t="n">
        <x:f>H518/100-1</x:f>
        <x:v>0.010799636003024027</x:v>
      </x:c>
      <x:c r="J518" s="26" t="n">
        <x:v>5</x:v>
      </x:c>
      <x:c r="K518" s="7" t="b">
        <x:v>0</x:v>
      </x:c>
      <x:c r="L518" s="2" t="str">
        <x:v>May 2026</x:v>
      </x:c>
      <x:c r="M518" s="2" t="str">
        <x:v>https://www.genaiadoptiontracker.com/</x:v>
      </x:c>
    </x:row>
    <x:row r="519" ht="24" customHeight="1">
      <x:c r="A519" s="2" t="str">
        <x:v>RPS</x:v>
      </x:c>
      <x:c r="B519" s="2" t="str">
        <x:v>Quartiles</x:v>
      </x:c>
      <x:c r="C519" s="2" t="str">
        <x:v>Q2</x:v>
      </x:c>
      <x:c r="D519" s="28" t="n">
        <x:v>45139</x:v>
      </x:c>
      <x:c r="E519" s="2" t="str">
        <x:v>2023Q3</x:v>
      </x:c>
      <x:c r="F519" s="20" t="n">
        <x:v>54614</x:v>
      </x:c>
      <x:c r="G519" s="20" t="n">
        <x:f>'Quarterly data'!$E$161</x:f>
        <x:v>54180.2666666667</x:v>
      </x:c>
      <x:c r="H519" s="22" t="n">
        <x:f>100*F519/G519</x:f>
        <x:v>100.80053746505487</x:v>
      </x:c>
      <x:c r="I519" s="24" t="n">
        <x:f>H519/100-1</x:f>
        <x:v>0.008005374650548625</x:v>
      </x:c>
      <x:c r="J519" s="26" t="n">
        <x:v>4</x:v>
      </x:c>
      <x:c r="K519" s="7" t="b">
        <x:v>0</x:v>
      </x:c>
      <x:c r="L519" s="2" t="str">
        <x:v>May 2026</x:v>
      </x:c>
      <x:c r="M519" s="2" t="str">
        <x:v>https://www.genaiadoptiontracker.com/</x:v>
      </x:c>
    </x:row>
    <x:row r="520" ht="24" customHeight="1">
      <x:c r="A520" s="2" t="str">
        <x:v>RPS</x:v>
      </x:c>
      <x:c r="B520" s="2" t="str">
        <x:v>Quartiles</x:v>
      </x:c>
      <x:c r="C520" s="2" t="str">
        <x:v>Q3</x:v>
      </x:c>
      <x:c r="D520" s="28" t="n">
        <x:v>45139</x:v>
      </x:c>
      <x:c r="E520" s="2" t="str">
        <x:v>2023Q3</x:v>
      </x:c>
      <x:c r="F520" s="20" t="n">
        <x:v>19769</x:v>
      </x:c>
      <x:c r="G520" s="20" t="n">
        <x:f>'Quarterly data'!$E$162</x:f>
        <x:v>19689.3666666667</x:v>
      </x:c>
      <x:c r="H520" s="22" t="n">
        <x:f>100*F520/G520</x:f>
        <x:v>100.40444842478409</x:v>
      </x:c>
      <x:c r="I520" s="24" t="n">
        <x:f>H520/100-1</x:f>
        <x:v>0.004044484247840874</x:v>
      </x:c>
      <x:c r="J520" s="26" t="n">
        <x:v>4</x:v>
      </x:c>
      <x:c r="K520" s="7" t="b">
        <x:v>0</x:v>
      </x:c>
      <x:c r="L520" s="2" t="str">
        <x:v>May 2026</x:v>
      </x:c>
      <x:c r="M520" s="2" t="str">
        <x:v>https://www.genaiadoptiontracker.com/</x:v>
      </x:c>
    </x:row>
    <x:row r="521" ht="24" customHeight="1">
      <x:c r="A521" s="2" t="str">
        <x:v>RPS</x:v>
      </x:c>
      <x:c r="B521" s="2" t="str">
        <x:v>Quartiles</x:v>
      </x:c>
      <x:c r="C521" s="2" t="str">
        <x:v>Q4</x:v>
      </x:c>
      <x:c r="D521" s="28" t="n">
        <x:v>45139</x:v>
      </x:c>
      <x:c r="E521" s="2" t="str">
        <x:v>2023Q3</x:v>
      </x:c>
      <x:c r="F521" s="20" t="n">
        <x:v>29231</x:v>
      </x:c>
      <x:c r="G521" s="20" t="n">
        <x:f>'Quarterly data'!$E$163</x:f>
        <x:v>29165.6666666667</x:v>
      </x:c>
      <x:c r="H521" s="22" t="n">
        <x:f>100*F521/G521</x:f>
        <x:v>100.22400768026321</x:v>
      </x:c>
      <x:c r="I521" s="24" t="n">
        <x:f>H521/100-1</x:f>
        <x:v>0.0022400768026320517</x:v>
      </x:c>
      <x:c r="J521" s="26" t="n">
        <x:v>5</x:v>
      </x:c>
      <x:c r="K521" s="7" t="b">
        <x:v>0</x:v>
      </x:c>
      <x:c r="L521" s="2" t="str">
        <x:v>May 2026</x:v>
      </x:c>
      <x:c r="M521" s="2" t="str">
        <x:v>https://www.genaiadoptiontracker.com/</x:v>
      </x:c>
    </x:row>
    <x:row r="522" ht="24" customHeight="1">
      <x:c r="A522" s="2" t="str">
        <x:v>RPS</x:v>
      </x:c>
      <x:c r="B522" s="2" t="str">
        <x:v>Quartiles</x:v>
      </x:c>
      <x:c r="C522" s="2" t="str">
        <x:v>Q1</x:v>
      </x:c>
      <x:c r="D522" s="28" t="n">
        <x:v>45170</x:v>
      </x:c>
      <x:c r="E522" s="2" t="str">
        <x:v>2023Q3</x:v>
      </x:c>
      <x:c r="F522" s="20" t="n">
        <x:v>29716.4</x:v>
      </x:c>
      <x:c r="G522" s="20" t="n">
        <x:f>'Quarterly data'!$E$160</x:f>
        <x:v>29377.5333333333</x:v>
      </x:c>
      <x:c r="H522" s="22" t="n">
        <x:f>100*F522/G522</x:f>
        <x:v>101.15348917426707</x:v>
      </x:c>
      <x:c r="I522" s="24" t="n">
        <x:f>H522/100-1</x:f>
        <x:v>0.01153489174267075</x:v>
      </x:c>
      <x:c r="J522" s="26" t="n">
        <x:v>5</x:v>
      </x:c>
      <x:c r="K522" s="7" t="b">
        <x:v>0</x:v>
      </x:c>
      <x:c r="L522" s="2" t="str">
        <x:v>May 2026</x:v>
      </x:c>
      <x:c r="M522" s="2" t="str">
        <x:v>https://www.genaiadoptiontracker.com/</x:v>
      </x:c>
    </x:row>
    <x:row r="523" ht="24" customHeight="1">
      <x:c r="A523" s="2" t="str">
        <x:v>RPS</x:v>
      </x:c>
      <x:c r="B523" s="2" t="str">
        <x:v>Quartiles</x:v>
      </x:c>
      <x:c r="C523" s="2" t="str">
        <x:v>Q2</x:v>
      </x:c>
      <x:c r="D523" s="28" t="n">
        <x:v>45170</x:v>
      </x:c>
      <x:c r="E523" s="2" t="str">
        <x:v>2023Q3</x:v>
      </x:c>
      <x:c r="F523" s="20" t="n">
        <x:v>54687.5</x:v>
      </x:c>
      <x:c r="G523" s="20" t="n">
        <x:f>'Quarterly data'!$E$161</x:f>
        <x:v>54180.2666666667</x:v>
      </x:c>
      <x:c r="H523" s="22" t="n">
        <x:f>100*F523/G523</x:f>
        <x:v>100.93619571209192</x:v>
      </x:c>
      <x:c r="I523" s="24" t="n">
        <x:f>H523/100-1</x:f>
        <x:v>0.00936195712091914</x:v>
      </x:c>
      <x:c r="J523" s="26" t="n">
        <x:v>4</x:v>
      </x:c>
      <x:c r="K523" s="7" t="b">
        <x:v>0</x:v>
      </x:c>
      <x:c r="L523" s="2" t="str">
        <x:v>May 2026</x:v>
      </x:c>
      <x:c r="M523" s="2" t="str">
        <x:v>https://www.genaiadoptiontracker.com/</x:v>
      </x:c>
    </x:row>
    <x:row r="524" ht="24" customHeight="1">
      <x:c r="A524" s="2" t="str">
        <x:v>RPS</x:v>
      </x:c>
      <x:c r="B524" s="2" t="str">
        <x:v>Quartiles</x:v>
      </x:c>
      <x:c r="C524" s="2" t="str">
        <x:v>Q3</x:v>
      </x:c>
      <x:c r="D524" s="28" t="n">
        <x:v>45170</x:v>
      </x:c>
      <x:c r="E524" s="2" t="str">
        <x:v>2023Q3</x:v>
      </x:c>
      <x:c r="F524" s="20" t="n">
        <x:v>19796.7</x:v>
      </x:c>
      <x:c r="G524" s="20" t="n">
        <x:f>'Quarterly data'!$E$162</x:f>
        <x:v>19689.3666666667</x:v>
      </x:c>
      <x:c r="H524" s="22" t="n">
        <x:f>100*F524/G524</x:f>
        <x:v>100.5451334984533</x:v>
      </x:c>
      <x:c r="I524" s="24" t="n">
        <x:f>H524/100-1</x:f>
        <x:v>0.005451334984532874</x:v>
      </x:c>
      <x:c r="J524" s="26" t="n">
        <x:v>4</x:v>
      </x:c>
      <x:c r="K524" s="7" t="b">
        <x:v>0</x:v>
      </x:c>
      <x:c r="L524" s="2" t="str">
        <x:v>May 2026</x:v>
      </x:c>
      <x:c r="M524" s="2" t="str">
        <x:v>https://www.genaiadoptiontracker.com/</x:v>
      </x:c>
    </x:row>
    <x:row r="525" ht="24" customHeight="1">
      <x:c r="A525" s="2" t="str">
        <x:v>RPS</x:v>
      </x:c>
      <x:c r="B525" s="2" t="str">
        <x:v>Quartiles</x:v>
      </x:c>
      <x:c r="C525" s="2" t="str">
        <x:v>Q4</x:v>
      </x:c>
      <x:c r="D525" s="28" t="n">
        <x:v>45170</x:v>
      </x:c>
      <x:c r="E525" s="2" t="str">
        <x:v>2023Q3</x:v>
      </x:c>
      <x:c r="F525" s="20" t="n">
        <x:v>29222.1</x:v>
      </x:c>
      <x:c r="G525" s="20" t="n">
        <x:f>'Quarterly data'!$E$163</x:f>
        <x:v>29165.6666666667</x:v>
      </x:c>
      <x:c r="H525" s="22" t="n">
        <x:f>100*F525/G525</x:f>
        <x:v>100.19349234830896</x:v>
      </x:c>
      <x:c r="I525" s="24" t="n">
        <x:f>H525/100-1</x:f>
        <x:v>0.0019349234830896567</x:v>
      </x:c>
      <x:c r="J525" s="26" t="n">
        <x:v>5</x:v>
      </x:c>
      <x:c r="K525" s="7" t="b">
        <x:v>0</x:v>
      </x:c>
      <x:c r="L525" s="2" t="str">
        <x:v>May 2026</x:v>
      </x:c>
      <x:c r="M525" s="2" t="str">
        <x:v>https://www.genaiadoptiontracker.com/</x:v>
      </x:c>
    </x:row>
    <x:row r="526" ht="24" customHeight="1">
      <x:c r="A526" s="2" t="str">
        <x:v>RPS</x:v>
      </x:c>
      <x:c r="B526" s="2" t="str">
        <x:v>Quartiles</x:v>
      </x:c>
      <x:c r="C526" s="2" t="str">
        <x:v>Q1</x:v>
      </x:c>
      <x:c r="D526" s="28" t="n">
        <x:v>45200</x:v>
      </x:c>
      <x:c r="E526" s="2" t="str">
        <x:v>2023Q4</x:v>
      </x:c>
      <x:c r="F526" s="20" t="n">
        <x:v>29787.2</x:v>
      </x:c>
      <x:c r="G526" s="20" t="n">
        <x:f>'Quarterly data'!$E$160</x:f>
        <x:v>29377.5333333333</x:v>
      </x:c>
      <x:c r="H526" s="22" t="n">
        <x:f>100*F526/G526</x:f>
        <x:v>101.39448966670687</x:v>
      </x:c>
      <x:c r="I526" s="24" t="n">
        <x:f>H526/100-1</x:f>
        <x:v>0.013944896667068774</x:v>
      </x:c>
      <x:c r="J526" s="26" t="n">
        <x:v>5</x:v>
      </x:c>
      <x:c r="K526" s="7" t="b">
        <x:v>0</x:v>
      </x:c>
      <x:c r="L526" s="2" t="str">
        <x:v>May 2026</x:v>
      </x:c>
      <x:c r="M526" s="2" t="str">
        <x:v>https://www.genaiadoptiontracker.com/</x:v>
      </x:c>
    </x:row>
    <x:row r="527" ht="24" customHeight="1">
      <x:c r="A527" s="2" t="str">
        <x:v>RPS</x:v>
      </x:c>
      <x:c r="B527" s="2" t="str">
        <x:v>Quartiles</x:v>
      </x:c>
      <x:c r="C527" s="2" t="str">
        <x:v>Q2</x:v>
      </x:c>
      <x:c r="D527" s="28" t="n">
        <x:v>45200</x:v>
      </x:c>
      <x:c r="E527" s="2" t="str">
        <x:v>2023Q4</x:v>
      </x:c>
      <x:c r="F527" s="20" t="n">
        <x:v>54781.3</x:v>
      </x:c>
      <x:c r="G527" s="20" t="n">
        <x:f>'Quarterly data'!$E$161</x:f>
        <x:v>54180.2666666667</x:v>
      </x:c>
      <x:c r="H527" s="22" t="n">
        <x:f>100*F527/G527</x:f>
        <x:v>101.10932147497729</x:v>
      </x:c>
      <x:c r="I527" s="24" t="n">
        <x:f>H527/100-1</x:f>
        <x:v>0.011093214749772873</x:v>
      </x:c>
      <x:c r="J527" s="26" t="n">
        <x:v>4</x:v>
      </x:c>
      <x:c r="K527" s="7" t="b">
        <x:v>0</x:v>
      </x:c>
      <x:c r="L527" s="2" t="str">
        <x:v>May 2026</x:v>
      </x:c>
      <x:c r="M527" s="2" t="str">
        <x:v>https://www.genaiadoptiontracker.com/</x:v>
      </x:c>
    </x:row>
    <x:row r="528" ht="24" customHeight="1">
      <x:c r="A528" s="2" t="str">
        <x:v>RPS</x:v>
      </x:c>
      <x:c r="B528" s="2" t="str">
        <x:v>Quartiles</x:v>
      </x:c>
      <x:c r="C528" s="2" t="str">
        <x:v>Q3</x:v>
      </x:c>
      <x:c r="D528" s="28" t="n">
        <x:v>45200</x:v>
      </x:c>
      <x:c r="E528" s="2" t="str">
        <x:v>2023Q4</x:v>
      </x:c>
      <x:c r="F528" s="20" t="n">
        <x:v>19779.2</x:v>
      </x:c>
      <x:c r="G528" s="20" t="n">
        <x:f>'Quarterly data'!$E$162</x:f>
        <x:v>19689.3666666667</x:v>
      </x:c>
      <x:c r="H528" s="22" t="n">
        <x:f>100*F528/G528</x:f>
        <x:v>100.45625303674893</x:v>
      </x:c>
      <x:c r="I528" s="24" t="n">
        <x:f>H528/100-1</x:f>
        <x:v>0.004562530367489437</x:v>
      </x:c>
      <x:c r="J528" s="26" t="n">
        <x:v>4</x:v>
      </x:c>
      <x:c r="K528" s="7" t="b">
        <x:v>0</x:v>
      </x:c>
      <x:c r="L528" s="2" t="str">
        <x:v>May 2026</x:v>
      </x:c>
      <x:c r="M528" s="2" t="str">
        <x:v>https://www.genaiadoptiontracker.com/</x:v>
      </x:c>
    </x:row>
    <x:row r="529" ht="24" customHeight="1">
      <x:c r="A529" s="2" t="str">
        <x:v>RPS</x:v>
      </x:c>
      <x:c r="B529" s="2" t="str">
        <x:v>Quartiles</x:v>
      </x:c>
      <x:c r="C529" s="2" t="str">
        <x:v>Q4</x:v>
      </x:c>
      <x:c r="D529" s="28" t="n">
        <x:v>45200</x:v>
      </x:c>
      <x:c r="E529" s="2" t="str">
        <x:v>2023Q4</x:v>
      </x:c>
      <x:c r="F529" s="20" t="n">
        <x:v>29188.6</x:v>
      </x:c>
      <x:c r="G529" s="20" t="n">
        <x:f>'Quarterly data'!$E$163</x:f>
        <x:v>29165.6666666667</x:v>
      </x:c>
      <x:c r="H529" s="22" t="n">
        <x:f>100*F529/G529</x:f>
        <x:v>100.07863126735762</x:v>
      </x:c>
      <x:c r="I529" s="24" t="n">
        <x:f>H529/100-1</x:f>
        <x:v>0.0007863126735763171</x:v>
      </x:c>
      <x:c r="J529" s="26" t="n">
        <x:v>5</x:v>
      </x:c>
      <x:c r="K529" s="7" t="b">
        <x:v>0</x:v>
      </x:c>
      <x:c r="L529" s="2" t="str">
        <x:v>May 2026</x:v>
      </x:c>
      <x:c r="M529" s="2" t="str">
        <x:v>https://www.genaiadoptiontracker.com/</x:v>
      </x:c>
    </x:row>
    <x:row r="530" ht="24" customHeight="1">
      <x:c r="A530" s="2" t="str">
        <x:v>RPS</x:v>
      </x:c>
      <x:c r="B530" s="2" t="str">
        <x:v>Quartiles</x:v>
      </x:c>
      <x:c r="C530" s="2" t="str">
        <x:v>Q1</x:v>
      </x:c>
      <x:c r="D530" s="28" t="n">
        <x:v>45231</x:v>
      </x:c>
      <x:c r="E530" s="2" t="str">
        <x:v>2023Q4</x:v>
      </x:c>
      <x:c r="F530" s="20" t="n">
        <x:v>29802.3</x:v>
      </x:c>
      <x:c r="G530" s="20" t="n">
        <x:f>'Quarterly data'!$E$160</x:f>
        <x:v>29377.5333333333</x:v>
      </x:c>
      <x:c r="H530" s="22" t="n">
        <x:f>100*F530/G530</x:f>
        <x:v>101.445889489247</x:v>
      </x:c>
      <x:c r="I530" s="24" t="n">
        <x:f>H530/100-1</x:f>
        <x:v>0.014458894892469987</x:v>
      </x:c>
      <x:c r="J530" s="26" t="n">
        <x:v>5</x:v>
      </x:c>
      <x:c r="K530" s="7" t="b">
        <x:v>0</x:v>
      </x:c>
      <x:c r="L530" s="2" t="str">
        <x:v>May 2026</x:v>
      </x:c>
      <x:c r="M530" s="2" t="str">
        <x:v>https://www.genaiadoptiontracker.com/</x:v>
      </x:c>
    </x:row>
    <x:row r="531" ht="24" customHeight="1">
      <x:c r="A531" s="2" t="str">
        <x:v>RPS</x:v>
      </x:c>
      <x:c r="B531" s="2" t="str">
        <x:v>Quartiles</x:v>
      </x:c>
      <x:c r="C531" s="2" t="str">
        <x:v>Q2</x:v>
      </x:c>
      <x:c r="D531" s="28" t="n">
        <x:v>45231</x:v>
      </x:c>
      <x:c r="E531" s="2" t="str">
        <x:v>2023Q4</x:v>
      </x:c>
      <x:c r="F531" s="20" t="n">
        <x:v>54812</x:v>
      </x:c>
      <x:c r="G531" s="20" t="n">
        <x:f>'Quarterly data'!$E$161</x:f>
        <x:v>54180.2666666667</x:v>
      </x:c>
      <x:c r="H531" s="22" t="n">
        <x:f>100*F531/G531</x:f>
        <x:v>101.16598417135876</x:v>
      </x:c>
      <x:c r="I531" s="24" t="n">
        <x:f>H531/100-1</x:f>
        <x:v>0.011659841713587582</x:v>
      </x:c>
      <x:c r="J531" s="26" t="n">
        <x:v>4</x:v>
      </x:c>
      <x:c r="K531" s="7" t="b">
        <x:v>0</x:v>
      </x:c>
      <x:c r="L531" s="2" t="str">
        <x:v>May 2026</x:v>
      </x:c>
      <x:c r="M531" s="2" t="str">
        <x:v>https://www.genaiadoptiontracker.com/</x:v>
      </x:c>
    </x:row>
    <x:row r="532" ht="24" customHeight="1">
      <x:c r="A532" s="2" t="str">
        <x:v>RPS</x:v>
      </x:c>
      <x:c r="B532" s="2" t="str">
        <x:v>Quartiles</x:v>
      </x:c>
      <x:c r="C532" s="2" t="str">
        <x:v>Q3</x:v>
      </x:c>
      <x:c r="D532" s="28" t="n">
        <x:v>45231</x:v>
      </x:c>
      <x:c r="E532" s="2" t="str">
        <x:v>2023Q4</x:v>
      </x:c>
      <x:c r="F532" s="20" t="n">
        <x:v>19817.1</x:v>
      </x:c>
      <x:c r="G532" s="20" t="n">
        <x:f>'Quarterly data'!$E$162</x:f>
        <x:v>19689.3666666667</x:v>
      </x:c>
      <x:c r="H532" s="22" t="n">
        <x:f>100*F532/G532</x:f>
        <x:v>100.64874272238296</x:v>
      </x:c>
      <x:c r="I532" s="24" t="n">
        <x:f>H532/100-1</x:f>
        <x:v>0.006487427223829556</x:v>
      </x:c>
      <x:c r="J532" s="26" t="n">
        <x:v>4</x:v>
      </x:c>
      <x:c r="K532" s="7" t="b">
        <x:v>0</x:v>
      </x:c>
      <x:c r="L532" s="2" t="str">
        <x:v>May 2026</x:v>
      </x:c>
      <x:c r="M532" s="2" t="str">
        <x:v>https://www.genaiadoptiontracker.com/</x:v>
      </x:c>
    </x:row>
    <x:row r="533" ht="24" customHeight="1">
      <x:c r="A533" s="2" t="str">
        <x:v>RPS</x:v>
      </x:c>
      <x:c r="B533" s="2" t="str">
        <x:v>Quartiles</x:v>
      </x:c>
      <x:c r="C533" s="2" t="str">
        <x:v>Q4</x:v>
      </x:c>
      <x:c r="D533" s="28" t="n">
        <x:v>45231</x:v>
      </x:c>
      <x:c r="E533" s="2" t="str">
        <x:v>2023Q4</x:v>
      </x:c>
      <x:c r="F533" s="20" t="n">
        <x:v>29191.9</x:v>
      </x:c>
      <x:c r="G533" s="20" t="n">
        <x:f>'Quarterly data'!$E$163</x:f>
        <x:v>29165.6666666667</x:v>
      </x:c>
      <x:c r="H533" s="22" t="n">
        <x:f>100*F533/G533</x:f>
        <x:v>100.08994594100358</x:v>
      </x:c>
      <x:c r="I533" s="24" t="n">
        <x:f>H533/100-1</x:f>
        <x:v>0.0008994594100357745</x:v>
      </x:c>
      <x:c r="J533" s="26" t="n">
        <x:v>5</x:v>
      </x:c>
      <x:c r="K533" s="7" t="b">
        <x:v>0</x:v>
      </x:c>
      <x:c r="L533" s="2" t="str">
        <x:v>May 2026</x:v>
      </x:c>
      <x:c r="M533" s="2" t="str">
        <x:v>https://www.genaiadoptiontracker.com/</x:v>
      </x:c>
    </x:row>
    <x:row r="534" ht="24" customHeight="1">
      <x:c r="A534" s="2" t="str">
        <x:v>RPS</x:v>
      </x:c>
      <x:c r="B534" s="2" t="str">
        <x:v>Quartiles</x:v>
      </x:c>
      <x:c r="C534" s="2" t="str">
        <x:v>Q1</x:v>
      </x:c>
      <x:c r="D534" s="28" t="n">
        <x:v>45261</x:v>
      </x:c>
      <x:c r="E534" s="2" t="str">
        <x:v>2023Q4</x:v>
      </x:c>
      <x:c r="F534" s="20" t="n">
        <x:v>29765.4</x:v>
      </x:c>
      <x:c r="G534" s="20" t="n">
        <x:f>'Quarterly data'!$E$160</x:f>
        <x:v>29377.5333333333</x:v>
      </x:c>
      <x:c r="H534" s="22" t="n">
        <x:f>100*F534/G534</x:f>
        <x:v>101.32028330039066</x:v>
      </x:c>
      <x:c r="I534" s="24" t="n">
        <x:f>H534/100-1</x:f>
        <x:v>0.013202833003906456</x:v>
      </x:c>
      <x:c r="J534" s="26" t="n">
        <x:v>5</x:v>
      </x:c>
      <x:c r="K534" s="7" t="b">
        <x:v>0</x:v>
      </x:c>
      <x:c r="L534" s="2" t="str">
        <x:v>May 2026</x:v>
      </x:c>
      <x:c r="M534" s="2" t="str">
        <x:v>https://www.genaiadoptiontracker.com/</x:v>
      </x:c>
    </x:row>
    <x:row r="535" ht="24" customHeight="1">
      <x:c r="A535" s="2" t="str">
        <x:v>RPS</x:v>
      </x:c>
      <x:c r="B535" s="2" t="str">
        <x:v>Quartiles</x:v>
      </x:c>
      <x:c r="C535" s="2" t="str">
        <x:v>Q2</x:v>
      </x:c>
      <x:c r="D535" s="28" t="n">
        <x:v>45261</x:v>
      </x:c>
      <x:c r="E535" s="2" t="str">
        <x:v>2023Q4</x:v>
      </x:c>
      <x:c r="F535" s="20" t="n">
        <x:v>54898</x:v>
      </x:c>
      <x:c r="G535" s="20" t="n">
        <x:f>'Quarterly data'!$E$161</x:f>
        <x:v>54180.2666666667</x:v>
      </x:c>
      <x:c r="H535" s="22" t="n">
        <x:f>100*F535/G535</x:f>
        <x:v>101.32471354884429</x:v>
      </x:c>
      <x:c r="I535" s="24" t="n">
        <x:f>H535/100-1</x:f>
        <x:v>0.013247135488442918</x:v>
      </x:c>
      <x:c r="J535" s="26" t="n">
        <x:v>4</x:v>
      </x:c>
      <x:c r="K535" s="7" t="b">
        <x:v>0</x:v>
      </x:c>
      <x:c r="L535" s="2" t="str">
        <x:v>May 2026</x:v>
      </x:c>
      <x:c r="M535" s="2" t="str">
        <x:v>https://www.genaiadoptiontracker.com/</x:v>
      </x:c>
    </x:row>
    <x:row r="536" ht="24" customHeight="1">
      <x:c r="A536" s="2" t="str">
        <x:v>RPS</x:v>
      </x:c>
      <x:c r="B536" s="2" t="str">
        <x:v>Quartiles</x:v>
      </x:c>
      <x:c r="C536" s="2" t="str">
        <x:v>Q3</x:v>
      </x:c>
      <x:c r="D536" s="28" t="n">
        <x:v>45261</x:v>
      </x:c>
      <x:c r="E536" s="2" t="str">
        <x:v>2023Q4</x:v>
      </x:c>
      <x:c r="F536" s="20" t="n">
        <x:v>19844.7</x:v>
      </x:c>
      <x:c r="G536" s="20" t="n">
        <x:f>'Quarterly data'!$E$162</x:f>
        <x:v>19689.3666666667</x:v>
      </x:c>
      <x:c r="H536" s="22" t="n">
        <x:f>100*F536/G536</x:f>
        <x:v>100.78891990769958</x:v>
      </x:c>
      <x:c r="I536" s="24" t="n">
        <x:f>H536/100-1</x:f>
        <x:v>0.007889199076995812</x:v>
      </x:c>
      <x:c r="J536" s="26" t="n">
        <x:v>4</x:v>
      </x:c>
      <x:c r="K536" s="7" t="b">
        <x:v>0</x:v>
      </x:c>
      <x:c r="L536" s="2" t="str">
        <x:v>May 2026</x:v>
      </x:c>
      <x:c r="M536" s="2" t="str">
        <x:v>https://www.genaiadoptiontracker.com/</x:v>
      </x:c>
    </x:row>
    <x:row r="537" ht="24" customHeight="1">
      <x:c r="A537" s="2" t="str">
        <x:v>RPS</x:v>
      </x:c>
      <x:c r="B537" s="2" t="str">
        <x:v>Quartiles</x:v>
      </x:c>
      <x:c r="C537" s="2" t="str">
        <x:v>Q4</x:v>
      </x:c>
      <x:c r="D537" s="28" t="n">
        <x:v>45261</x:v>
      </x:c>
      <x:c r="E537" s="2" t="str">
        <x:v>2023Q4</x:v>
      </x:c>
      <x:c r="F537" s="20" t="n">
        <x:v>29214.4</x:v>
      </x:c>
      <x:c r="G537" s="20" t="n">
        <x:f>'Quarterly data'!$E$163</x:f>
        <x:v>29165.6666666667</x:v>
      </x:c>
      <x:c r="H537" s="22" t="n">
        <x:f>100*F537/G537</x:f>
        <x:v>100.16709144313508</x:v>
      </x:c>
      <x:c r="I537" s="24" t="n">
        <x:f>H537/100-1</x:f>
        <x:v>0.0016709144313507007</x:v>
      </x:c>
      <x:c r="J537" s="26" t="n">
        <x:v>5</x:v>
      </x:c>
      <x:c r="K537" s="7" t="b">
        <x:v>0</x:v>
      </x:c>
      <x:c r="L537" s="2" t="str">
        <x:v>May 2026</x:v>
      </x:c>
      <x:c r="M537" s="2" t="str">
        <x:v>https://www.genaiadoptiontracker.com/</x:v>
      </x:c>
    </x:row>
    <x:row r="538" ht="24" customHeight="1">
      <x:c r="A538" s="2" t="str">
        <x:v>RPS</x:v>
      </x:c>
      <x:c r="B538" s="2" t="str">
        <x:v>Quartiles</x:v>
      </x:c>
      <x:c r="C538" s="2" t="str">
        <x:v>Q1</x:v>
      </x:c>
      <x:c r="D538" s="28" t="n">
        <x:v>45292</x:v>
      </x:c>
      <x:c r="E538" s="2" t="str">
        <x:v>2024Q1</x:v>
      </x:c>
      <x:c r="F538" s="20" t="n">
        <x:v>29785.7</x:v>
      </x:c>
      <x:c r="G538" s="20" t="n">
        <x:f>'Quarterly data'!$E$160</x:f>
        <x:v>29377.5333333333</x:v>
      </x:c>
      <x:c r="H538" s="22" t="n">
        <x:f>100*F538/G538</x:f>
        <x:v>101.38938372407044</x:v>
      </x:c>
      <x:c r="I538" s="24" t="n">
        <x:f>H538/100-1</x:f>
        <x:v>0.013893837240704476</x:v>
      </x:c>
      <x:c r="J538" s="26" t="n">
        <x:v>5</x:v>
      </x:c>
      <x:c r="K538" s="7" t="b">
        <x:v>0</x:v>
      </x:c>
      <x:c r="L538" s="2" t="str">
        <x:v>May 2026</x:v>
      </x:c>
      <x:c r="M538" s="2" t="str">
        <x:v>https://www.genaiadoptiontracker.com/</x:v>
      </x:c>
    </x:row>
    <x:row r="539" ht="24" customHeight="1">
      <x:c r="A539" s="2" t="str">
        <x:v>RPS</x:v>
      </x:c>
      <x:c r="B539" s="2" t="str">
        <x:v>Quartiles</x:v>
      </x:c>
      <x:c r="C539" s="2" t="str">
        <x:v>Q2</x:v>
      </x:c>
      <x:c r="D539" s="28" t="n">
        <x:v>45292</x:v>
      </x:c>
      <x:c r="E539" s="2" t="str">
        <x:v>2024Q1</x:v>
      </x:c>
      <x:c r="F539" s="20" t="n">
        <x:v>54987.5</x:v>
      </x:c>
      <x:c r="G539" s="20" t="n">
        <x:f>'Quarterly data'!$E$161</x:f>
        <x:v>54180.2666666667</x:v>
      </x:c>
      <x:c r="H539" s="22" t="n">
        <x:f>100*F539/G539</x:f>
        <x:v>101.4899028428554</x:v>
      </x:c>
      <x:c r="I539" s="24" t="n">
        <x:f>H539/100-1</x:f>
        <x:v>0.014899028428553951</x:v>
      </x:c>
      <x:c r="J539" s="26" t="n">
        <x:v>4</x:v>
      </x:c>
      <x:c r="K539" s="7" t="b">
        <x:v>0</x:v>
      </x:c>
      <x:c r="L539" s="2" t="str">
        <x:v>May 2026</x:v>
      </x:c>
      <x:c r="M539" s="2" t="str">
        <x:v>https://www.genaiadoptiontracker.com/</x:v>
      </x:c>
    </x:row>
    <x:row r="540" ht="24" customHeight="1">
      <x:c r="A540" s="2" t="str">
        <x:v>RPS</x:v>
      </x:c>
      <x:c r="B540" s="2" t="str">
        <x:v>Quartiles</x:v>
      </x:c>
      <x:c r="C540" s="2" t="str">
        <x:v>Q3</x:v>
      </x:c>
      <x:c r="D540" s="28" t="n">
        <x:v>45292</x:v>
      </x:c>
      <x:c r="E540" s="2" t="str">
        <x:v>2024Q1</x:v>
      </x:c>
      <x:c r="F540" s="20" t="n">
        <x:v>19865.9</x:v>
      </x:c>
      <x:c r="G540" s="20" t="n">
        <x:f>'Quarterly data'!$E$162</x:f>
        <x:v>19689.3666666667</x:v>
      </x:c>
      <x:c r="H540" s="22" t="n">
        <x:f>100*F540/G540</x:f>
        <x:v>100.89659223845003</x:v>
      </x:c>
      <x:c r="I540" s="24" t="n">
        <x:f>H540/100-1</x:f>
        <x:v>0.008965922384500224</x:v>
      </x:c>
      <x:c r="J540" s="26" t="n">
        <x:v>4</x:v>
      </x:c>
      <x:c r="K540" s="7" t="b">
        <x:v>0</x:v>
      </x:c>
      <x:c r="L540" s="2" t="str">
        <x:v>May 2026</x:v>
      </x:c>
      <x:c r="M540" s="2" t="str">
        <x:v>https://www.genaiadoptiontracker.com/</x:v>
      </x:c>
    </x:row>
    <x:row r="541" ht="24" customHeight="1">
      <x:c r="A541" s="2" t="str">
        <x:v>RPS</x:v>
      </x:c>
      <x:c r="B541" s="2" t="str">
        <x:v>Quartiles</x:v>
      </x:c>
      <x:c r="C541" s="2" t="str">
        <x:v>Q4</x:v>
      </x:c>
      <x:c r="D541" s="28" t="n">
        <x:v>45292</x:v>
      </x:c>
      <x:c r="E541" s="2" t="str">
        <x:v>2024Q1</x:v>
      </x:c>
      <x:c r="F541" s="20" t="n">
        <x:v>29209.6</x:v>
      </x:c>
      <x:c r="G541" s="20" t="n">
        <x:f>'Quarterly data'!$E$163</x:f>
        <x:v>29165.6666666667</x:v>
      </x:c>
      <x:c r="H541" s="22" t="n">
        <x:f>100*F541/G541</x:f>
        <x:v>100.15063373601369</x:v>
      </x:c>
      <x:c r="I541" s="24" t="n">
        <x:f>H541/100-1</x:f>
        <x:v>0.0015063373601369445</x:v>
      </x:c>
      <x:c r="J541" s="26" t="n">
        <x:v>5</x:v>
      </x:c>
      <x:c r="K541" s="7" t="b">
        <x:v>0</x:v>
      </x:c>
      <x:c r="L541" s="2" t="str">
        <x:v>May 2026</x:v>
      </x:c>
      <x:c r="M541" s="2" t="str">
        <x:v>https://www.genaiadoptiontracker.com/</x:v>
      </x:c>
    </x:row>
    <x:row r="542" ht="24" customHeight="1">
      <x:c r="A542" s="2" t="str">
        <x:v>RPS</x:v>
      </x:c>
      <x:c r="B542" s="2" t="str">
        <x:v>Quartiles</x:v>
      </x:c>
      <x:c r="C542" s="2" t="str">
        <x:v>Q1</x:v>
      </x:c>
      <x:c r="D542" s="28" t="n">
        <x:v>45323</x:v>
      </x:c>
      <x:c r="E542" s="2" t="str">
        <x:v>2024Q1</x:v>
      </x:c>
      <x:c r="F542" s="20" t="n">
        <x:v>29864.3</x:v>
      </x:c>
      <x:c r="G542" s="20" t="n">
        <x:f>'Quarterly data'!$E$160</x:f>
        <x:v>29377.5333333333</x:v>
      </x:c>
      <x:c r="H542" s="22" t="n">
        <x:f>100*F542/G542</x:f>
        <x:v>101.6569351182197</x:v>
      </x:c>
      <x:c r="I542" s="24" t="n">
        <x:f>H542/100-1</x:f>
        <x:v>0.016569351182197156</x:v>
      </x:c>
      <x:c r="J542" s="26" t="n">
        <x:v>5</x:v>
      </x:c>
      <x:c r="K542" s="7" t="b">
        <x:v>0</x:v>
      </x:c>
      <x:c r="L542" s="2" t="str">
        <x:v>May 2026</x:v>
      </x:c>
      <x:c r="M542" s="2" t="str">
        <x:v>https://www.genaiadoptiontracker.com/</x:v>
      </x:c>
    </x:row>
    <x:row r="543" ht="24" customHeight="1">
      <x:c r="A543" s="2" t="str">
        <x:v>RPS</x:v>
      </x:c>
      <x:c r="B543" s="2" t="str">
        <x:v>Quartiles</x:v>
      </x:c>
      <x:c r="C543" s="2" t="str">
        <x:v>Q2</x:v>
      </x:c>
      <x:c r="D543" s="28" t="n">
        <x:v>45323</x:v>
      </x:c>
      <x:c r="E543" s="2" t="str">
        <x:v>2024Q1</x:v>
      </x:c>
      <x:c r="F543" s="20" t="n">
        <x:v>55079.2</x:v>
      </x:c>
      <x:c r="G543" s="20" t="n">
        <x:f>'Quarterly data'!$E$161</x:f>
        <x:v>54180.2666666667</x:v>
      </x:c>
      <x:c r="H543" s="22" t="n">
        <x:f>100*F543/G543</x:f>
        <x:v>101.65915265582544</x:v>
      </x:c>
      <x:c r="I543" s="24" t="n">
        <x:f>H543/100-1</x:f>
        <x:v>0.016591526558254355</x:v>
      </x:c>
      <x:c r="J543" s="26" t="n">
        <x:v>4</x:v>
      </x:c>
      <x:c r="K543" s="7" t="b">
        <x:v>0</x:v>
      </x:c>
      <x:c r="L543" s="2" t="str">
        <x:v>May 2026</x:v>
      </x:c>
      <x:c r="M543" s="2" t="str">
        <x:v>https://www.genaiadoptiontracker.com/</x:v>
      </x:c>
    </x:row>
    <x:row r="544" ht="24" customHeight="1">
      <x:c r="A544" s="2" t="str">
        <x:v>RPS</x:v>
      </x:c>
      <x:c r="B544" s="2" t="str">
        <x:v>Quartiles</x:v>
      </x:c>
      <x:c r="C544" s="2" t="str">
        <x:v>Q3</x:v>
      </x:c>
      <x:c r="D544" s="28" t="n">
        <x:v>45323</x:v>
      </x:c>
      <x:c r="E544" s="2" t="str">
        <x:v>2024Q1</x:v>
      </x:c>
      <x:c r="F544" s="20" t="n">
        <x:v>19844.6</x:v>
      </x:c>
      <x:c r="G544" s="20" t="n">
        <x:f>'Quarterly data'!$E$162</x:f>
        <x:v>19689.3666666667</x:v>
      </x:c>
      <x:c r="H544" s="22" t="n">
        <x:f>100*F544/G544</x:f>
        <x:v>100.78841201934696</x:v>
      </x:c>
      <x:c r="I544" s="24" t="n">
        <x:f>H544/100-1</x:f>
        <x:v>0.007884120193469624</x:v>
      </x:c>
      <x:c r="J544" s="26" t="n">
        <x:v>4</x:v>
      </x:c>
      <x:c r="K544" s="7" t="b">
        <x:v>0</x:v>
      </x:c>
      <x:c r="L544" s="2" t="str">
        <x:v>May 2026</x:v>
      </x:c>
      <x:c r="M544" s="2" t="str">
        <x:v>https://www.genaiadoptiontracker.com/</x:v>
      </x:c>
    </x:row>
    <x:row r="545" ht="24" customHeight="1">
      <x:c r="A545" s="2" t="str">
        <x:v>RPS</x:v>
      </x:c>
      <x:c r="B545" s="2" t="str">
        <x:v>Quartiles</x:v>
      </x:c>
      <x:c r="C545" s="2" t="str">
        <x:v>Q4</x:v>
      </x:c>
      <x:c r="D545" s="28" t="n">
        <x:v>45323</x:v>
      </x:c>
      <x:c r="E545" s="2" t="str">
        <x:v>2024Q1</x:v>
      </x:c>
      <x:c r="F545" s="20" t="n">
        <x:v>29196.2</x:v>
      </x:c>
      <x:c r="G545" s="20" t="n">
        <x:f>'Quarterly data'!$E$163</x:f>
        <x:v>29165.6666666667</x:v>
      </x:c>
      <x:c r="H545" s="22" t="n">
        <x:f>100*F545/G545</x:f>
        <x:v>100.10468930363315</x:v>
      </x:c>
      <x:c r="I545" s="24" t="n">
        <x:f>H545/100-1</x:f>
        <x:v>0.001046893036331431</x:v>
      </x:c>
      <x:c r="J545" s="26" t="n">
        <x:v>5</x:v>
      </x:c>
      <x:c r="K545" s="7" t="b">
        <x:v>0</x:v>
      </x:c>
      <x:c r="L545" s="2" t="str">
        <x:v>May 2026</x:v>
      </x:c>
      <x:c r="M545" s="2" t="str">
        <x:v>https://www.genaiadoptiontracker.com/</x:v>
      </x:c>
    </x:row>
    <x:row r="546" ht="24" customHeight="1">
      <x:c r="A546" s="2" t="str">
        <x:v>RPS</x:v>
      </x:c>
      <x:c r="B546" s="2" t="str">
        <x:v>Quartiles</x:v>
      </x:c>
      <x:c r="C546" s="2" t="str">
        <x:v>Q1</x:v>
      </x:c>
      <x:c r="D546" s="28" t="n">
        <x:v>45352</x:v>
      </x:c>
      <x:c r="E546" s="2" t="str">
        <x:v>2024Q1</x:v>
      </x:c>
      <x:c r="F546" s="20" t="n">
        <x:v>29926.6</x:v>
      </x:c>
      <x:c r="G546" s="20" t="n">
        <x:f>'Quarterly data'!$E$160</x:f>
        <x:v>29377.5333333333</x:v>
      </x:c>
      <x:c r="H546" s="22" t="n">
        <x:f>100*F546/G546</x:f>
        <x:v>101.8690019357197</x:v>
      </x:c>
      <x:c r="I546" s="24" t="n">
        <x:f>H546/100-1</x:f>
        <x:v>0.018690019357197052</x:v>
      </x:c>
      <x:c r="J546" s="26" t="n">
        <x:v>5</x:v>
      </x:c>
      <x:c r="K546" s="7" t="b">
        <x:v>0</x:v>
      </x:c>
      <x:c r="L546" s="2" t="str">
        <x:v>May 2026</x:v>
      </x:c>
      <x:c r="M546" s="2" t="str">
        <x:v>https://www.genaiadoptiontracker.com/</x:v>
      </x:c>
    </x:row>
    <x:row r="547" ht="24" customHeight="1">
      <x:c r="A547" s="2" t="str">
        <x:v>RPS</x:v>
      </x:c>
      <x:c r="B547" s="2" t="str">
        <x:v>Quartiles</x:v>
      </x:c>
      <x:c r="C547" s="2" t="str">
        <x:v>Q2</x:v>
      </x:c>
      <x:c r="D547" s="28" t="n">
        <x:v>45352</x:v>
      </x:c>
      <x:c r="E547" s="2" t="str">
        <x:v>2024Q1</x:v>
      </x:c>
      <x:c r="F547" s="20" t="n">
        <x:v>55194.5</x:v>
      </x:c>
      <x:c r="G547" s="20" t="n">
        <x:f>'Quarterly data'!$E$161</x:f>
        <x:v>54180.2666666667</x:v>
      </x:c>
      <x:c r="H547" s="22" t="n">
        <x:f>100*F547/G547</x:f>
        <x:v>101.8719607630822</x:v>
      </x:c>
      <x:c r="I547" s="24" t="n">
        <x:f>H547/100-1</x:f>
        <x:v>0.018719607630822033</x:v>
      </x:c>
      <x:c r="J547" s="26" t="n">
        <x:v>4</x:v>
      </x:c>
      <x:c r="K547" s="7" t="b">
        <x:v>0</x:v>
      </x:c>
      <x:c r="L547" s="2" t="str">
        <x:v>May 2026</x:v>
      </x:c>
      <x:c r="M547" s="2" t="str">
        <x:v>https://www.genaiadoptiontracker.com/</x:v>
      </x:c>
    </x:row>
    <x:row r="548" ht="24" customHeight="1">
      <x:c r="A548" s="2" t="str">
        <x:v>RPS</x:v>
      </x:c>
      <x:c r="B548" s="2" t="str">
        <x:v>Quartiles</x:v>
      </x:c>
      <x:c r="C548" s="2" t="str">
        <x:v>Q3</x:v>
      </x:c>
      <x:c r="D548" s="28" t="n">
        <x:v>45352</x:v>
      </x:c>
      <x:c r="E548" s="2" t="str">
        <x:v>2024Q1</x:v>
      </x:c>
      <x:c r="F548" s="20" t="n">
        <x:v>19836.3</x:v>
      </x:c>
      <x:c r="G548" s="20" t="n">
        <x:f>'Quarterly data'!$E$162</x:f>
        <x:v>19689.3666666667</x:v>
      </x:c>
      <x:c r="H548" s="22" t="n">
        <x:f>100*F548/G548</x:f>
        <x:v>100.74625728608149</x:v>
      </x:c>
      <x:c r="I548" s="24" t="n">
        <x:f>H548/100-1</x:f>
        <x:v>0.0074625728608148645</x:v>
      </x:c>
      <x:c r="J548" s="26" t="n">
        <x:v>4</x:v>
      </x:c>
      <x:c r="K548" s="7" t="b">
        <x:v>0</x:v>
      </x:c>
      <x:c r="L548" s="2" t="str">
        <x:v>May 2026</x:v>
      </x:c>
      <x:c r="M548" s="2" t="str">
        <x:v>https://www.genaiadoptiontracker.com/</x:v>
      </x:c>
    </x:row>
    <x:row r="549" ht="24" customHeight="1">
      <x:c r="A549" s="2" t="str">
        <x:v>RPS</x:v>
      </x:c>
      <x:c r="B549" s="2" t="str">
        <x:v>Quartiles</x:v>
      </x:c>
      <x:c r="C549" s="2" t="str">
        <x:v>Q4</x:v>
      </x:c>
      <x:c r="D549" s="28" t="n">
        <x:v>45352</x:v>
      </x:c>
      <x:c r="E549" s="2" t="str">
        <x:v>2024Q1</x:v>
      </x:c>
      <x:c r="F549" s="20" t="n">
        <x:v>29170.6</x:v>
      </x:c>
      <x:c r="G549" s="20" t="n">
        <x:f>'Quarterly data'!$E$163</x:f>
        <x:v>29165.6666666667</x:v>
      </x:c>
      <x:c r="H549" s="22" t="n">
        <x:f>100*F549/G549</x:f>
        <x:v>100.01691486565242</x:v>
      </x:c>
      <x:c r="I549" s="24" t="n">
        <x:f>H549/100-1</x:f>
        <x:v>0.00016914865652428723</x:v>
      </x:c>
      <x:c r="J549" s="26" t="n">
        <x:v>5</x:v>
      </x:c>
      <x:c r="K549" s="7" t="b">
        <x:v>0</x:v>
      </x:c>
      <x:c r="L549" s="2" t="str">
        <x:v>May 2026</x:v>
      </x:c>
      <x:c r="M549" s="2" t="str">
        <x:v>https://www.genaiadoptiontracker.com/</x:v>
      </x:c>
    </x:row>
    <x:row r="550" ht="24" customHeight="1">
      <x:c r="A550" s="2" t="str">
        <x:v>RPS</x:v>
      </x:c>
      <x:c r="B550" s="2" t="str">
        <x:v>Quartiles</x:v>
      </x:c>
      <x:c r="C550" s="2" t="str">
        <x:v>Q1</x:v>
      </x:c>
      <x:c r="D550" s="28" t="n">
        <x:v>45383</x:v>
      </x:c>
      <x:c r="E550" s="2" t="str">
        <x:v>2024Q2</x:v>
      </x:c>
      <x:c r="F550" s="20" t="n">
        <x:v>29927.4</x:v>
      </x:c>
      <x:c r="G550" s="20" t="n">
        <x:f>'Quarterly data'!$E$160</x:f>
        <x:v>29377.5333333333</x:v>
      </x:c>
      <x:c r="H550" s="22" t="n">
        <x:f>100*F550/G550</x:f>
        <x:v>101.8717251051258</x:v>
      </x:c>
      <x:c r="I550" s="24" t="n">
        <x:f>H550/100-1</x:f>
        <x:v>0.0187172510512581</x:v>
      </x:c>
      <x:c r="J550" s="26" t="n">
        <x:v>5</x:v>
      </x:c>
      <x:c r="K550" s="7" t="b">
        <x:v>0</x:v>
      </x:c>
      <x:c r="L550" s="2" t="str">
        <x:v>May 2026</x:v>
      </x:c>
      <x:c r="M550" s="2" t="str">
        <x:v>https://www.genaiadoptiontracker.com/</x:v>
      </x:c>
    </x:row>
    <x:row r="551" ht="24" customHeight="1">
      <x:c r="A551" s="2" t="str">
        <x:v>RPS</x:v>
      </x:c>
      <x:c r="B551" s="2" t="str">
        <x:v>Quartiles</x:v>
      </x:c>
      <x:c r="C551" s="2" t="str">
        <x:v>Q2</x:v>
      </x:c>
      <x:c r="D551" s="28" t="n">
        <x:v>45383</x:v>
      </x:c>
      <x:c r="E551" s="2" t="str">
        <x:v>2024Q2</x:v>
      </x:c>
      <x:c r="F551" s="20" t="n">
        <x:v>55270</x:v>
      </x:c>
      <x:c r="G551" s="20" t="n">
        <x:f>'Quarterly data'!$E$161</x:f>
        <x:v>54180.2666666667</x:v>
      </x:c>
      <x:c r="H551" s="22" t="n">
        <x:f>100*F551/G551</x:f>
        <x:v>102.011310390991</x:v>
      </x:c>
      <x:c r="I551" s="24" t="n">
        <x:f>H551/100-1</x:f>
        <x:v>0.020113103909910057</x:v>
      </x:c>
      <x:c r="J551" s="26" t="n">
        <x:v>4</x:v>
      </x:c>
      <x:c r="K551" s="7" t="b">
        <x:v>0</x:v>
      </x:c>
      <x:c r="L551" s="2" t="str">
        <x:v>May 2026</x:v>
      </x:c>
      <x:c r="M551" s="2" t="str">
        <x:v>https://www.genaiadoptiontracker.com/</x:v>
      </x:c>
    </x:row>
    <x:row r="552" ht="24" customHeight="1">
      <x:c r="A552" s="2" t="str">
        <x:v>RPS</x:v>
      </x:c>
      <x:c r="B552" s="2" t="str">
        <x:v>Quartiles</x:v>
      </x:c>
      <x:c r="C552" s="2" t="str">
        <x:v>Q3</x:v>
      </x:c>
      <x:c r="D552" s="28" t="n">
        <x:v>45383</x:v>
      </x:c>
      <x:c r="E552" s="2" t="str">
        <x:v>2024Q2</x:v>
      </x:c>
      <x:c r="F552" s="20" t="n">
        <x:v>19829.9</x:v>
      </x:c>
      <x:c r="G552" s="20" t="n">
        <x:f>'Quarterly data'!$E$162</x:f>
        <x:v>19689.3666666667</x:v>
      </x:c>
      <x:c r="H552" s="22" t="n">
        <x:f>100*F552/G552</x:f>
        <x:v>100.71375243151532</x:v>
      </x:c>
      <x:c r="I552" s="24" t="n">
        <x:f>H552/100-1</x:f>
        <x:v>0.007137524315153243</x:v>
      </x:c>
      <x:c r="J552" s="26" t="n">
        <x:v>4</x:v>
      </x:c>
      <x:c r="K552" s="7" t="b">
        <x:v>0</x:v>
      </x:c>
      <x:c r="L552" s="2" t="str">
        <x:v>May 2026</x:v>
      </x:c>
      <x:c r="M552" s="2" t="str">
        <x:v>https://www.genaiadoptiontracker.com/</x:v>
      </x:c>
    </x:row>
    <x:row r="553" ht="24" customHeight="1">
      <x:c r="A553" s="2" t="str">
        <x:v>RPS</x:v>
      </x:c>
      <x:c r="B553" s="2" t="str">
        <x:v>Quartiles</x:v>
      </x:c>
      <x:c r="C553" s="2" t="str">
        <x:v>Q4</x:v>
      </x:c>
      <x:c r="D553" s="28" t="n">
        <x:v>45383</x:v>
      </x:c>
      <x:c r="E553" s="2" t="str">
        <x:v>2024Q2</x:v>
      </x:c>
      <x:c r="F553" s="20" t="n">
        <x:v>29164.6</x:v>
      </x:c>
      <x:c r="G553" s="20" t="n">
        <x:f>'Quarterly data'!$E$163</x:f>
        <x:v>29165.6666666667</x:v>
      </x:c>
      <x:c r="H553" s="22" t="n">
        <x:f>100*F553/G553</x:f>
        <x:v>99.99634273175069</x:v>
      </x:c>
      <x:c r="I553" s="24" t="n">
        <x:f>H553/100-1</x:f>
        <x:v>-0.00003657268249313006</x:v>
      </x:c>
      <x:c r="J553" s="26" t="n">
        <x:v>5</x:v>
      </x:c>
      <x:c r="K553" s="7" t="b">
        <x:v>0</x:v>
      </x:c>
      <x:c r="L553" s="2" t="str">
        <x:v>May 2026</x:v>
      </x:c>
      <x:c r="M553" s="2" t="str">
        <x:v>https://www.genaiadoptiontracker.com/</x:v>
      </x:c>
    </x:row>
    <x:row r="554" ht="24" customHeight="1">
      <x:c r="A554" s="2" t="str">
        <x:v>RPS</x:v>
      </x:c>
      <x:c r="B554" s="2" t="str">
        <x:v>Quartiles</x:v>
      </x:c>
      <x:c r="C554" s="2" t="str">
        <x:v>Q1</x:v>
      </x:c>
      <x:c r="D554" s="28" t="n">
        <x:v>45413</x:v>
      </x:c>
      <x:c r="E554" s="2" t="str">
        <x:v>2024Q2</x:v>
      </x:c>
      <x:c r="F554" s="20" t="n">
        <x:v>29908.6</x:v>
      </x:c>
      <x:c r="G554" s="20" t="n">
        <x:f>'Quarterly data'!$E$160</x:f>
        <x:v>29377.5333333333</x:v>
      </x:c>
      <x:c r="H554" s="22" t="n">
        <x:f>100*F554/G554</x:f>
        <x:v>101.80773062408247</x:v>
      </x:c>
      <x:c r="I554" s="24" t="n">
        <x:f>H554/100-1</x:f>
        <x:v>0.018077306240824598</x:v>
      </x:c>
      <x:c r="J554" s="26" t="n">
        <x:v>5</x:v>
      </x:c>
      <x:c r="K554" s="7" t="b">
        <x:v>0</x:v>
      </x:c>
      <x:c r="L554" s="2" t="str">
        <x:v>May 2026</x:v>
      </x:c>
      <x:c r="M554" s="2" t="str">
        <x:v>https://www.genaiadoptiontracker.com/</x:v>
      </x:c>
    </x:row>
    <x:row r="555" ht="24" customHeight="1">
      <x:c r="A555" s="2" t="str">
        <x:v>RPS</x:v>
      </x:c>
      <x:c r="B555" s="2" t="str">
        <x:v>Quartiles</x:v>
      </x:c>
      <x:c r="C555" s="2" t="str">
        <x:v>Q2</x:v>
      </x:c>
      <x:c r="D555" s="28" t="n">
        <x:v>45413</x:v>
      </x:c>
      <x:c r="E555" s="2" t="str">
        <x:v>2024Q2</x:v>
      </x:c>
      <x:c r="F555" s="20" t="n">
        <x:v>55341.7</x:v>
      </x:c>
      <x:c r="G555" s="20" t="n">
        <x:f>'Quarterly data'!$E$161</x:f>
        <x:v>54180.2666666667</x:v>
      </x:c>
      <x:c r="H555" s="22" t="n">
        <x:f>100*F555/G555</x:f>
        <x:v>102.14364639524347</x:v>
      </x:c>
      <x:c r="I555" s="24" t="n">
        <x:f>H555/100-1</x:f>
        <x:v>0.021436463952434703</x:v>
      </x:c>
      <x:c r="J555" s="26" t="n">
        <x:v>4</x:v>
      </x:c>
      <x:c r="K555" s="7" t="b">
        <x:v>0</x:v>
      </x:c>
      <x:c r="L555" s="2" t="str">
        <x:v>May 2026</x:v>
      </x:c>
      <x:c r="M555" s="2" t="str">
        <x:v>https://www.genaiadoptiontracker.com/</x:v>
      </x:c>
    </x:row>
    <x:row r="556" ht="24" customHeight="1">
      <x:c r="A556" s="2" t="str">
        <x:v>RPS</x:v>
      </x:c>
      <x:c r="B556" s="2" t="str">
        <x:v>Quartiles</x:v>
      </x:c>
      <x:c r="C556" s="2" t="str">
        <x:v>Q3</x:v>
      </x:c>
      <x:c r="D556" s="28" t="n">
        <x:v>45413</x:v>
      </x:c>
      <x:c r="E556" s="2" t="str">
        <x:v>2024Q2</x:v>
      </x:c>
      <x:c r="F556" s="20" t="n">
        <x:v>19825</x:v>
      </x:c>
      <x:c r="G556" s="20" t="n">
        <x:f>'Quarterly data'!$E$162</x:f>
        <x:v>19689.3666666667</x:v>
      </x:c>
      <x:c r="H556" s="22" t="n">
        <x:f>100*F556/G556</x:f>
        <x:v>100.68886590223809</x:v>
      </x:c>
      <x:c r="I556" s="24" t="n">
        <x:f>H556/100-1</x:f>
        <x:v>0.006888659022380894</x:v>
      </x:c>
      <x:c r="J556" s="26" t="n">
        <x:v>4</x:v>
      </x:c>
      <x:c r="K556" s="7" t="b">
        <x:v>0</x:v>
      </x:c>
      <x:c r="L556" s="2" t="str">
        <x:v>May 2026</x:v>
      </x:c>
      <x:c r="M556" s="2" t="str">
        <x:v>https://www.genaiadoptiontracker.com/</x:v>
      </x:c>
    </x:row>
    <x:row r="557" ht="24" customHeight="1">
      <x:c r="A557" s="2" t="str">
        <x:v>RPS</x:v>
      </x:c>
      <x:c r="B557" s="2" t="str">
        <x:v>Quartiles</x:v>
      </x:c>
      <x:c r="C557" s="2" t="str">
        <x:v>Q4</x:v>
      </x:c>
      <x:c r="D557" s="28" t="n">
        <x:v>45413</x:v>
      </x:c>
      <x:c r="E557" s="2" t="str">
        <x:v>2024Q2</x:v>
      </x:c>
      <x:c r="F557" s="20" t="n">
        <x:v>29163.2</x:v>
      </x:c>
      <x:c r="G557" s="20" t="n">
        <x:f>'Quarterly data'!$E$163</x:f>
        <x:v>29165.6666666667</x:v>
      </x:c>
      <x:c r="H557" s="22" t="n">
        <x:f>100*F557/G557</x:f>
        <x:v>99.99154256717361</x:v>
      </x:c>
      <x:c r="I557" s="24" t="n">
        <x:f>H557/100-1</x:f>
        <x:v>-0.00008457432826391997</x:v>
      </x:c>
      <x:c r="J557" s="26" t="n">
        <x:v>5</x:v>
      </x:c>
      <x:c r="K557" s="7" t="b">
        <x:v>0</x:v>
      </x:c>
      <x:c r="L557" s="2" t="str">
        <x:v>May 2026</x:v>
      </x:c>
      <x:c r="M557" s="2" t="str">
        <x:v>https://www.genaiadoptiontracker.com/</x:v>
      </x:c>
    </x:row>
    <x:row r="558" ht="24" customHeight="1">
      <x:c r="A558" s="2" t="str">
        <x:v>RPS</x:v>
      </x:c>
      <x:c r="B558" s="2" t="str">
        <x:v>Quartiles</x:v>
      </x:c>
      <x:c r="C558" s="2" t="str">
        <x:v>Q1</x:v>
      </x:c>
      <x:c r="D558" s="28" t="n">
        <x:v>45444</x:v>
      </x:c>
      <x:c r="E558" s="2" t="str">
        <x:v>2024Q2</x:v>
      </x:c>
      <x:c r="F558" s="20" t="n">
        <x:v>29933.9</x:v>
      </x:c>
      <x:c r="G558" s="20" t="n">
        <x:f>'Quarterly data'!$E$160</x:f>
        <x:v>29377.5333333333</x:v>
      </x:c>
      <x:c r="H558" s="22" t="n">
        <x:f>100*F558/G558</x:f>
        <x:v>101.89385085655036</x:v>
      </x:c>
      <x:c r="I558" s="24" t="n">
        <x:f>H558/100-1</x:f>
        <x:v>0.01893850856550361</x:v>
      </x:c>
      <x:c r="J558" s="26" t="n">
        <x:v>5</x:v>
      </x:c>
      <x:c r="K558" s="7" t="b">
        <x:v>0</x:v>
      </x:c>
      <x:c r="L558" s="2" t="str">
        <x:v>May 2026</x:v>
      </x:c>
      <x:c r="M558" s="2" t="str">
        <x:v>https://www.genaiadoptiontracker.com/</x:v>
      </x:c>
    </x:row>
    <x:row r="559" ht="24" customHeight="1">
      <x:c r="A559" s="2" t="str">
        <x:v>RPS</x:v>
      </x:c>
      <x:c r="B559" s="2" t="str">
        <x:v>Quartiles</x:v>
      </x:c>
      <x:c r="C559" s="2" t="str">
        <x:v>Q2</x:v>
      </x:c>
      <x:c r="D559" s="28" t="n">
        <x:v>45444</x:v>
      </x:c>
      <x:c r="E559" s="2" t="str">
        <x:v>2024Q2</x:v>
      </x:c>
      <x:c r="F559" s="20" t="n">
        <x:v>55362.2</x:v>
      </x:c>
      <x:c r="G559" s="20" t="n">
        <x:f>'Quarterly data'!$E$161</x:f>
        <x:v>54180.2666666667</x:v>
      </x:c>
      <x:c r="H559" s="22" t="n">
        <x:f>100*F559/G559</x:f>
        <x:v>102.18148304917898</x:v>
      </x:c>
      <x:c r="I559" s="24" t="n">
        <x:f>H559/100-1</x:f>
        <x:v>0.021814830491789783</x:v>
      </x:c>
      <x:c r="J559" s="26" t="n">
        <x:v>4</x:v>
      </x:c>
      <x:c r="K559" s="7" t="b">
        <x:v>0</x:v>
      </x:c>
      <x:c r="L559" s="2" t="str">
        <x:v>May 2026</x:v>
      </x:c>
      <x:c r="M559" s="2" t="str">
        <x:v>https://www.genaiadoptiontracker.com/</x:v>
      </x:c>
    </x:row>
    <x:row r="560" ht="24" customHeight="1">
      <x:c r="A560" s="2" t="str">
        <x:v>RPS</x:v>
      </x:c>
      <x:c r="B560" s="2" t="str">
        <x:v>Quartiles</x:v>
      </x:c>
      <x:c r="C560" s="2" t="str">
        <x:v>Q3</x:v>
      </x:c>
      <x:c r="D560" s="28" t="n">
        <x:v>45444</x:v>
      </x:c>
      <x:c r="E560" s="2" t="str">
        <x:v>2024Q2</x:v>
      </x:c>
      <x:c r="F560" s="20" t="n">
        <x:v>19835.7</x:v>
      </x:c>
      <x:c r="G560" s="20" t="n">
        <x:f>'Quarterly data'!$E$162</x:f>
        <x:v>19689.3666666667</x:v>
      </x:c>
      <x:c r="H560" s="22" t="n">
        <x:f>100*F560/G560</x:f>
        <x:v>100.74320995596591</x:v>
      </x:c>
      <x:c r="I560" s="24" t="n">
        <x:f>H560/100-1</x:f>
        <x:v>0.007432099559659067</x:v>
      </x:c>
      <x:c r="J560" s="26" t="n">
        <x:v>4</x:v>
      </x:c>
      <x:c r="K560" s="7" t="b">
        <x:v>0</x:v>
      </x:c>
      <x:c r="L560" s="2" t="str">
        <x:v>May 2026</x:v>
      </x:c>
      <x:c r="M560" s="2" t="str">
        <x:v>https://www.genaiadoptiontracker.com/</x:v>
      </x:c>
    </x:row>
    <x:row r="561" ht="24" customHeight="1">
      <x:c r="A561" s="2" t="str">
        <x:v>RPS</x:v>
      </x:c>
      <x:c r="B561" s="2" t="str">
        <x:v>Quartiles</x:v>
      </x:c>
      <x:c r="C561" s="2" t="str">
        <x:v>Q4</x:v>
      </x:c>
      <x:c r="D561" s="28" t="n">
        <x:v>45444</x:v>
      </x:c>
      <x:c r="E561" s="2" t="str">
        <x:v>2024Q2</x:v>
      </x:c>
      <x:c r="F561" s="20" t="n">
        <x:v>29185.4</x:v>
      </x:c>
      <x:c r="G561" s="20" t="n">
        <x:f>'Quarterly data'!$E$163</x:f>
        <x:v>29165.6666666667</x:v>
      </x:c>
      <x:c r="H561" s="22" t="n">
        <x:f>100*F561/G561</x:f>
        <x:v>100.06765946261002</x:v>
      </x:c>
      <x:c r="I561" s="24" t="n">
        <x:f>H561/100-1</x:f>
        <x:v>0.0006765946261002576</x:v>
      </x:c>
      <x:c r="J561" s="26" t="n">
        <x:v>5</x:v>
      </x:c>
      <x:c r="K561" s="7" t="b">
        <x:v>0</x:v>
      </x:c>
      <x:c r="L561" s="2" t="str">
        <x:v>May 2026</x:v>
      </x:c>
      <x:c r="M561" s="2" t="str">
        <x:v>https://www.genaiadoptiontracker.com/</x:v>
      </x:c>
    </x:row>
    <x:row r="562" ht="24" customHeight="1">
      <x:c r="A562" s="2" t="str">
        <x:v>RPS</x:v>
      </x:c>
      <x:c r="B562" s="2" t="str">
        <x:v>Quartiles</x:v>
      </x:c>
      <x:c r="C562" s="2" t="str">
        <x:v>Q1</x:v>
      </x:c>
      <x:c r="D562" s="28" t="n">
        <x:v>45474</x:v>
      </x:c>
      <x:c r="E562" s="2" t="str">
        <x:v>2024Q3</x:v>
      </x:c>
      <x:c r="F562" s="20" t="n">
        <x:v>29939.9</x:v>
      </x:c>
      <x:c r="G562" s="20" t="n">
        <x:f>'Quarterly data'!$E$160</x:f>
        <x:v>29377.5333333333</x:v>
      </x:c>
      <x:c r="H562" s="22" t="n">
        <x:f>100*F562/G562</x:f>
        <x:v>101.9142746270961</x:v>
      </x:c>
      <x:c r="I562" s="24" t="n">
        <x:f>H562/100-1</x:f>
        <x:v>0.01914274627096102</x:v>
      </x:c>
      <x:c r="J562" s="26" t="n">
        <x:v>5</x:v>
      </x:c>
      <x:c r="K562" s="7" t="b">
        <x:v>0</x:v>
      </x:c>
      <x:c r="L562" s="2" t="str">
        <x:v>May 2026</x:v>
      </x:c>
      <x:c r="M562" s="2" t="str">
        <x:v>https://www.genaiadoptiontracker.com/</x:v>
      </x:c>
    </x:row>
    <x:row r="563" ht="24" customHeight="1">
      <x:c r="A563" s="2" t="str">
        <x:v>RPS</x:v>
      </x:c>
      <x:c r="B563" s="2" t="str">
        <x:v>Quartiles</x:v>
      </x:c>
      <x:c r="C563" s="2" t="str">
        <x:v>Q2</x:v>
      </x:c>
      <x:c r="D563" s="28" t="n">
        <x:v>45474</x:v>
      </x:c>
      <x:c r="E563" s="2" t="str">
        <x:v>2024Q3</x:v>
      </x:c>
      <x:c r="F563" s="20" t="n">
        <x:v>55393</x:v>
      </x:c>
      <x:c r="G563" s="20" t="n">
        <x:f>'Quarterly data'!$E$161</x:f>
        <x:v>54180.2666666667</x:v>
      </x:c>
      <x:c r="H563" s="22" t="n">
        <x:f>100*F563/G563</x:f>
        <x:v>102.23833031460403</x:v>
      </x:c>
      <x:c r="I563" s="24" t="n">
        <x:f>H563/100-1</x:f>
        <x:v>0.022383303146040312</x:v>
      </x:c>
      <x:c r="J563" s="26" t="n">
        <x:v>4</x:v>
      </x:c>
      <x:c r="K563" s="7" t="b">
        <x:v>0</x:v>
      </x:c>
      <x:c r="L563" s="2" t="str">
        <x:v>May 2026</x:v>
      </x:c>
      <x:c r="M563" s="2" t="str">
        <x:v>https://www.genaiadoptiontracker.com/</x:v>
      </x:c>
    </x:row>
    <x:row r="564" ht="24" customHeight="1">
      <x:c r="A564" s="2" t="str">
        <x:v>RPS</x:v>
      </x:c>
      <x:c r="B564" s="2" t="str">
        <x:v>Quartiles</x:v>
      </x:c>
      <x:c r="C564" s="2" t="str">
        <x:v>Q3</x:v>
      </x:c>
      <x:c r="D564" s="28" t="n">
        <x:v>45474</x:v>
      </x:c>
      <x:c r="E564" s="2" t="str">
        <x:v>2024Q3</x:v>
      </x:c>
      <x:c r="F564" s="20" t="n">
        <x:v>19820.3</x:v>
      </x:c>
      <x:c r="G564" s="20" t="n">
        <x:f>'Quarterly data'!$E$162</x:f>
        <x:v>19689.3666666667</x:v>
      </x:c>
      <x:c r="H564" s="22" t="n">
        <x:f>100*F564/G564</x:f>
        <x:v>100.66499514966605</x:v>
      </x:c>
      <x:c r="I564" s="24" t="n">
        <x:f>H564/100-1</x:f>
        <x:v>0.006649951496660478</x:v>
      </x:c>
      <x:c r="J564" s="26" t="n">
        <x:v>4</x:v>
      </x:c>
      <x:c r="K564" s="7" t="b">
        <x:v>0</x:v>
      </x:c>
      <x:c r="L564" s="2" t="str">
        <x:v>May 2026</x:v>
      </x:c>
      <x:c r="M564" s="2" t="str">
        <x:v>https://www.genaiadoptiontracker.com/</x:v>
      </x:c>
    </x:row>
    <x:row r="565" ht="24" customHeight="1">
      <x:c r="A565" s="2" t="str">
        <x:v>RPS</x:v>
      </x:c>
      <x:c r="B565" s="2" t="str">
        <x:v>Quartiles</x:v>
      </x:c>
      <x:c r="C565" s="2" t="str">
        <x:v>Q4</x:v>
      </x:c>
      <x:c r="D565" s="28" t="n">
        <x:v>45474</x:v>
      </x:c>
      <x:c r="E565" s="2" t="str">
        <x:v>2024Q3</x:v>
      </x:c>
      <x:c r="F565" s="20" t="n">
        <x:v>29154.8</x:v>
      </x:c>
      <x:c r="G565" s="20" t="n">
        <x:f>'Quarterly data'!$E$163</x:f>
        <x:v>29165.6666666667</x:v>
      </x:c>
      <x:c r="H565" s="22" t="n">
        <x:f>100*F565/G565</x:f>
        <x:v>99.96274157971119</x:v>
      </x:c>
      <x:c r="I565" s="24" t="n">
        <x:f>H565/100-1</x:f>
        <x:v>-0.00037258420288810434</x:v>
      </x:c>
      <x:c r="J565" s="26" t="n">
        <x:v>5</x:v>
      </x:c>
      <x:c r="K565" s="7" t="b">
        <x:v>0</x:v>
      </x:c>
      <x:c r="L565" s="2" t="str">
        <x:v>May 2026</x:v>
      </x:c>
      <x:c r="M565" s="2" t="str">
        <x:v>https://www.genaiadoptiontracker.com/</x:v>
      </x:c>
    </x:row>
    <x:row r="566" ht="24" customHeight="1">
      <x:c r="A566" s="2" t="str">
        <x:v>RPS</x:v>
      </x:c>
      <x:c r="B566" s="2" t="str">
        <x:v>Quartiles</x:v>
      </x:c>
      <x:c r="C566" s="2" t="str">
        <x:v>Q1</x:v>
      </x:c>
      <x:c r="D566" s="28" t="n">
        <x:v>45505</x:v>
      </x:c>
      <x:c r="E566" s="2" t="str">
        <x:v>2024Q3</x:v>
      </x:c>
      <x:c r="F566" s="20" t="n">
        <x:v>29926.7</x:v>
      </x:c>
      <x:c r="G566" s="20" t="n">
        <x:f>'Quarterly data'!$E$160</x:f>
        <x:v>29377.5333333333</x:v>
      </x:c>
      <x:c r="H566" s="22" t="n">
        <x:f>100*F566/G566</x:f>
        <x:v>101.86934233189547</x:v>
      </x:c>
      <x:c r="I566" s="24" t="n">
        <x:f>H566/100-1</x:f>
        <x:v>0.018693423318954627</x:v>
      </x:c>
      <x:c r="J566" s="26" t="n">
        <x:v>5</x:v>
      </x:c>
      <x:c r="K566" s="7" t="b">
        <x:v>0</x:v>
      </x:c>
      <x:c r="L566" s="2" t="str">
        <x:v>May 2026</x:v>
      </x:c>
      <x:c r="M566" s="2" t="str">
        <x:v>https://www.genaiadoptiontracker.com/</x:v>
      </x:c>
    </x:row>
    <x:row r="567" ht="24" customHeight="1">
      <x:c r="A567" s="2" t="str">
        <x:v>RPS</x:v>
      </x:c>
      <x:c r="B567" s="2" t="str">
        <x:v>Quartiles</x:v>
      </x:c>
      <x:c r="C567" s="2" t="str">
        <x:v>Q2</x:v>
      </x:c>
      <x:c r="D567" s="28" t="n">
        <x:v>45505</x:v>
      </x:c>
      <x:c r="E567" s="2" t="str">
        <x:v>2024Q3</x:v>
      </x:c>
      <x:c r="F567" s="20" t="n">
        <x:v>55418.5</x:v>
      </x:c>
      <x:c r="G567" s="20" t="n">
        <x:f>'Quarterly data'!$E$161</x:f>
        <x:v>54180.2666666667</x:v>
      </x:c>
      <x:c r="H567" s="22" t="n">
        <x:f>100*F567/G567</x:f>
        <x:v>102.28539542071893</x:v>
      </x:c>
      <x:c r="I567" s="24" t="n">
        <x:f>H567/100-1</x:f>
        <x:v>0.022853954207189275</x:v>
      </x:c>
      <x:c r="J567" s="26" t="n">
        <x:v>4</x:v>
      </x:c>
      <x:c r="K567" s="7" t="b">
        <x:v>0</x:v>
      </x:c>
      <x:c r="L567" s="2" t="str">
        <x:v>May 2026</x:v>
      </x:c>
      <x:c r="M567" s="2" t="str">
        <x:v>https://www.genaiadoptiontracker.com/</x:v>
      </x:c>
    </x:row>
    <x:row r="568" ht="24" customHeight="1">
      <x:c r="A568" s="2" t="str">
        <x:v>RPS</x:v>
      </x:c>
      <x:c r="B568" s="2" t="str">
        <x:v>Quartiles</x:v>
      </x:c>
      <x:c r="C568" s="2" t="str">
        <x:v>Q3</x:v>
      </x:c>
      <x:c r="D568" s="28" t="n">
        <x:v>45505</x:v>
      </x:c>
      <x:c r="E568" s="2" t="str">
        <x:v>2024Q3</x:v>
      </x:c>
      <x:c r="F568" s="20" t="n">
        <x:v>19804.6</x:v>
      </x:c>
      <x:c r="G568" s="20" t="n">
        <x:f>'Quarterly data'!$E$162</x:f>
        <x:v>19689.3666666667</x:v>
      </x:c>
      <x:c r="H568" s="22" t="n">
        <x:f>100*F568/G568</x:f>
        <x:v>100.58525667830841</x:v>
      </x:c>
      <x:c r="I568" s="24" t="n">
        <x:f>H568/100-1</x:f>
        <x:v>0.005852566783084212</x:v>
      </x:c>
      <x:c r="J568" s="26" t="n">
        <x:v>4</x:v>
      </x:c>
      <x:c r="K568" s="7" t="b">
        <x:v>0</x:v>
      </x:c>
      <x:c r="L568" s="2" t="str">
        <x:v>May 2026</x:v>
      </x:c>
      <x:c r="M568" s="2" t="str">
        <x:v>https://www.genaiadoptiontracker.com/</x:v>
      </x:c>
    </x:row>
    <x:row r="569" ht="24" customHeight="1">
      <x:c r="A569" s="2" t="str">
        <x:v>RPS</x:v>
      </x:c>
      <x:c r="B569" s="2" t="str">
        <x:v>Quartiles</x:v>
      </x:c>
      <x:c r="C569" s="2" t="str">
        <x:v>Q4</x:v>
      </x:c>
      <x:c r="D569" s="28" t="n">
        <x:v>45505</x:v>
      </x:c>
      <x:c r="E569" s="2" t="str">
        <x:v>2024Q3</x:v>
      </x:c>
      <x:c r="F569" s="20" t="n">
        <x:v>29131.7</x:v>
      </x:c>
      <x:c r="G569" s="20" t="n">
        <x:f>'Quarterly data'!$E$163</x:f>
        <x:v>29165.6666666667</x:v>
      </x:c>
      <x:c r="H569" s="22" t="n">
        <x:f>100*F569/G569</x:f>
        <x:v>99.88353886418952</x:v>
      </x:c>
      <x:c r="I569" s="24" t="n">
        <x:f>H569/100-1</x:f>
        <x:v>-0.0011646113581048612</x:v>
      </x:c>
      <x:c r="J569" s="26" t="n">
        <x:v>5</x:v>
      </x:c>
      <x:c r="K569" s="7" t="b">
        <x:v>0</x:v>
      </x:c>
      <x:c r="L569" s="2" t="str">
        <x:v>May 2026</x:v>
      </x:c>
      <x:c r="M569" s="2" t="str">
        <x:v>https://www.genaiadoptiontracker.com/</x:v>
      </x:c>
    </x:row>
    <x:row r="570" ht="24" customHeight="1">
      <x:c r="A570" s="2" t="str">
        <x:v>RPS</x:v>
      </x:c>
      <x:c r="B570" s="2" t="str">
        <x:v>Quartiles</x:v>
      </x:c>
      <x:c r="C570" s="2" t="str">
        <x:v>Q1</x:v>
      </x:c>
      <x:c r="D570" s="28" t="n">
        <x:v>45536</x:v>
      </x:c>
      <x:c r="E570" s="2" t="str">
        <x:v>2024Q3</x:v>
      </x:c>
      <x:c r="F570" s="20" t="n">
        <x:v>29976.2</x:v>
      </x:c>
      <x:c r="G570" s="20" t="n">
        <x:f>'Quarterly data'!$E$160</x:f>
        <x:v>29377.5333333333</x:v>
      </x:c>
      <x:c r="H570" s="22" t="n">
        <x:f>100*F570/G570</x:f>
        <x:v>102.03783843889786</x:v>
      </x:c>
      <x:c r="I570" s="24" t="n">
        <x:f>H570/100-1</x:f>
        <x:v>0.020378384388978654</x:v>
      </x:c>
      <x:c r="J570" s="26" t="n">
        <x:v>5</x:v>
      </x:c>
      <x:c r="K570" s="7" t="b">
        <x:v>0</x:v>
      </x:c>
      <x:c r="L570" s="2" t="str">
        <x:v>May 2026</x:v>
      </x:c>
      <x:c r="M570" s="2" t="str">
        <x:v>https://www.genaiadoptiontracker.com/</x:v>
      </x:c>
    </x:row>
    <x:row r="571" ht="24" customHeight="1">
      <x:c r="A571" s="2" t="str">
        <x:v>RPS</x:v>
      </x:c>
      <x:c r="B571" s="2" t="str">
        <x:v>Quartiles</x:v>
      </x:c>
      <x:c r="C571" s="2" t="str">
        <x:v>Q2</x:v>
      </x:c>
      <x:c r="D571" s="28" t="n">
        <x:v>45536</x:v>
      </x:c>
      <x:c r="E571" s="2" t="str">
        <x:v>2024Q3</x:v>
      </x:c>
      <x:c r="F571" s="20" t="n">
        <x:v>55500.6</x:v>
      </x:c>
      <x:c r="G571" s="20" t="n">
        <x:f>'Quarterly data'!$E$161</x:f>
        <x:v>54180.2666666667</x:v>
      </x:c>
      <x:c r="H571" s="22" t="n">
        <x:f>100*F571/G571</x:f>
        <x:v>102.43692660550452</x:v>
      </x:c>
      <x:c r="I571" s="24" t="n">
        <x:f>H571/100-1</x:f>
        <x:v>0.02436926605504519</x:v>
      </x:c>
      <x:c r="J571" s="26" t="n">
        <x:v>4</x:v>
      </x:c>
      <x:c r="K571" s="7" t="b">
        <x:v>0</x:v>
      </x:c>
      <x:c r="L571" s="2" t="str">
        <x:v>May 2026</x:v>
      </x:c>
      <x:c r="M571" s="2" t="str">
        <x:v>https://www.genaiadoptiontracker.com/</x:v>
      </x:c>
    </x:row>
    <x:row r="572" ht="24" customHeight="1">
      <x:c r="A572" s="2" t="str">
        <x:v>RPS</x:v>
      </x:c>
      <x:c r="B572" s="2" t="str">
        <x:v>Quartiles</x:v>
      </x:c>
      <x:c r="C572" s="2" t="str">
        <x:v>Q3</x:v>
      </x:c>
      <x:c r="D572" s="28" t="n">
        <x:v>45536</x:v>
      </x:c>
      <x:c r="E572" s="2" t="str">
        <x:v>2024Q3</x:v>
      </x:c>
      <x:c r="F572" s="20" t="n">
        <x:v>19824.2</x:v>
      </x:c>
      <x:c r="G572" s="20" t="n">
        <x:f>'Quarterly data'!$E$162</x:f>
        <x:v>19689.3666666667</x:v>
      </x:c>
      <x:c r="H572" s="22" t="n">
        <x:f>100*F572/G572</x:f>
        <x:v>100.68480279541731</x:v>
      </x:c>
      <x:c r="I572" s="24" t="n">
        <x:f>H572/100-1</x:f>
        <x:v>0.006848027954173164</x:v>
      </x:c>
      <x:c r="J572" s="26" t="n">
        <x:v>4</x:v>
      </x:c>
      <x:c r="K572" s="7" t="b">
        <x:v>0</x:v>
      </x:c>
      <x:c r="L572" s="2" t="str">
        <x:v>May 2026</x:v>
      </x:c>
      <x:c r="M572" s="2" t="str">
        <x:v>https://www.genaiadoptiontracker.com/</x:v>
      </x:c>
    </x:row>
    <x:row r="573" ht="24" customHeight="1">
      <x:c r="A573" s="2" t="str">
        <x:v>RPS</x:v>
      </x:c>
      <x:c r="B573" s="2" t="str">
        <x:v>Quartiles</x:v>
      </x:c>
      <x:c r="C573" s="2" t="str">
        <x:v>Q4</x:v>
      </x:c>
      <x:c r="D573" s="28" t="n">
        <x:v>45536</x:v>
      </x:c>
      <x:c r="E573" s="2" t="str">
        <x:v>2024Q3</x:v>
      </x:c>
      <x:c r="F573" s="20" t="n">
        <x:v>29121.3</x:v>
      </x:c>
      <x:c r="G573" s="20" t="n">
        <x:f>'Quarterly data'!$E$163</x:f>
        <x:v>29165.6666666667</x:v>
      </x:c>
      <x:c r="H573" s="22" t="n">
        <x:f>100*F573/G573</x:f>
        <x:v>99.84788049875984</x:v>
      </x:c>
      <x:c r="I573" s="24" t="n">
        <x:f>H573/100-1</x:f>
        <x:v>-0.001521195012401666</x:v>
      </x:c>
      <x:c r="J573" s="26" t="n">
        <x:v>5</x:v>
      </x:c>
      <x:c r="K573" s="7" t="b">
        <x:v>0</x:v>
      </x:c>
      <x:c r="L573" s="2" t="str">
        <x:v>May 2026</x:v>
      </x:c>
      <x:c r="M573" s="2" t="str">
        <x:v>https://www.genaiadoptiontracker.com/</x:v>
      </x:c>
    </x:row>
    <x:row r="574" ht="24" customHeight="1">
      <x:c r="A574" s="2" t="str">
        <x:v>RPS</x:v>
      </x:c>
      <x:c r="B574" s="2" t="str">
        <x:v>Quartiles</x:v>
      </x:c>
      <x:c r="C574" s="2" t="str">
        <x:v>Q1</x:v>
      </x:c>
      <x:c r="D574" s="28" t="n">
        <x:v>45566</x:v>
      </x:c>
      <x:c r="E574" s="2" t="str">
        <x:v>2024Q4</x:v>
      </x:c>
      <x:c r="F574" s="20" t="n">
        <x:v>29991.6</x:v>
      </x:c>
      <x:c r="G574" s="20" t="n">
        <x:f>'Quarterly data'!$E$160</x:f>
        <x:v>29377.5333333333</x:v>
      </x:c>
      <x:c r="H574" s="22" t="n">
        <x:f>100*F574/G574</x:f>
        <x:v>102.09025944996529</x:v>
      </x:c>
      <x:c r="I574" s="24" t="n">
        <x:f>H574/100-1</x:f>
        <x:v>0.020902594499652816</x:v>
      </x:c>
      <x:c r="J574" s="26" t="n">
        <x:v>5</x:v>
      </x:c>
      <x:c r="K574" s="7" t="b">
        <x:v>0</x:v>
      </x:c>
      <x:c r="L574" s="2" t="str">
        <x:v>May 2026</x:v>
      </x:c>
      <x:c r="M574" s="2" t="str">
        <x:v>https://www.genaiadoptiontracker.com/</x:v>
      </x:c>
    </x:row>
    <x:row r="575" ht="24" customHeight="1">
      <x:c r="A575" s="2" t="str">
        <x:v>RPS</x:v>
      </x:c>
      <x:c r="B575" s="2" t="str">
        <x:v>Quartiles</x:v>
      </x:c>
      <x:c r="C575" s="2" t="str">
        <x:v>Q2</x:v>
      </x:c>
      <x:c r="D575" s="28" t="n">
        <x:v>45566</x:v>
      </x:c>
      <x:c r="E575" s="2" t="str">
        <x:v>2024Q4</x:v>
      </x:c>
      <x:c r="F575" s="20" t="n">
        <x:v>55557.3</x:v>
      </x:c>
      <x:c r="G575" s="20" t="n">
        <x:f>'Quarterly data'!$E$161</x:f>
        <x:v>54180.2666666667</x:v>
      </x:c>
      <x:c r="H575" s="22" t="n">
        <x:f>100*F575/G575</x:f>
        <x:v>102.54157725321882</x:v>
      </x:c>
      <x:c r="I575" s="24" t="n">
        <x:f>H575/100-1</x:f>
        <x:v>0.025415772532188186</x:v>
      </x:c>
      <x:c r="J575" s="26" t="n">
        <x:v>4</x:v>
      </x:c>
      <x:c r="K575" s="7" t="b">
        <x:v>0</x:v>
      </x:c>
      <x:c r="L575" s="2" t="str">
        <x:v>May 2026</x:v>
      </x:c>
      <x:c r="M575" s="2" t="str">
        <x:v>https://www.genaiadoptiontracker.com/</x:v>
      </x:c>
    </x:row>
    <x:row r="576" ht="24" customHeight="1">
      <x:c r="A576" s="2" t="str">
        <x:v>RPS</x:v>
      </x:c>
      <x:c r="B576" s="2" t="str">
        <x:v>Quartiles</x:v>
      </x:c>
      <x:c r="C576" s="2" t="str">
        <x:v>Q3</x:v>
      </x:c>
      <x:c r="D576" s="28" t="n">
        <x:v>45566</x:v>
      </x:c>
      <x:c r="E576" s="2" t="str">
        <x:v>2024Q4</x:v>
      </x:c>
      <x:c r="F576" s="20" t="n">
        <x:v>19780.7</x:v>
      </x:c>
      <x:c r="G576" s="20" t="n">
        <x:f>'Quarterly data'!$E$162</x:f>
        <x:v>19689.3666666667</x:v>
      </x:c>
      <x:c r="H576" s="22" t="n">
        <x:f>100*F576/G576</x:f>
        <x:v>100.46387136203788</x:v>
      </x:c>
      <x:c r="I576" s="24" t="n">
        <x:f>H576/100-1</x:f>
        <x:v>0.004638713620378709</x:v>
      </x:c>
      <x:c r="J576" s="26" t="n">
        <x:v>4</x:v>
      </x:c>
      <x:c r="K576" s="7" t="b">
        <x:v>0</x:v>
      </x:c>
      <x:c r="L576" s="2" t="str">
        <x:v>May 2026</x:v>
      </x:c>
      <x:c r="M576" s="2" t="str">
        <x:v>https://www.genaiadoptiontracker.com/</x:v>
      </x:c>
    </x:row>
    <x:row r="577" ht="24" customHeight="1">
      <x:c r="A577" s="2" t="str">
        <x:v>RPS</x:v>
      </x:c>
      <x:c r="B577" s="2" t="str">
        <x:v>Quartiles</x:v>
      </x:c>
      <x:c r="C577" s="2" t="str">
        <x:v>Q4</x:v>
      </x:c>
      <x:c r="D577" s="28" t="n">
        <x:v>45566</x:v>
      </x:c>
      <x:c r="E577" s="2" t="str">
        <x:v>2024Q4</x:v>
      </x:c>
      <x:c r="F577" s="20" t="n">
        <x:v>29087.2</x:v>
      </x:c>
      <x:c r="G577" s="20" t="n">
        <x:f>'Quarterly data'!$E$163</x:f>
        <x:v>29165.6666666667</x:v>
      </x:c>
      <x:c r="H577" s="22" t="n">
        <x:f>100*F577/G577</x:f>
        <x:v>99.73096220441832</x:v>
      </x:c>
      <x:c r="I577" s="24" t="n">
        <x:f>H577/100-1</x:f>
        <x:v>-0.002690377955816836</x:v>
      </x:c>
      <x:c r="J577" s="26" t="n">
        <x:v>5</x:v>
      </x:c>
      <x:c r="K577" s="7" t="b">
        <x:v>0</x:v>
      </x:c>
      <x:c r="L577" s="2" t="str">
        <x:v>May 2026</x:v>
      </x:c>
      <x:c r="M577" s="2" t="str">
        <x:v>https://www.genaiadoptiontracker.com/</x:v>
      </x:c>
    </x:row>
    <x:row r="578" ht="24" customHeight="1">
      <x:c r="A578" s="2" t="str">
        <x:v>RPS</x:v>
      </x:c>
      <x:c r="B578" s="2" t="str">
        <x:v>Quartiles</x:v>
      </x:c>
      <x:c r="C578" s="2" t="str">
        <x:v>Q1</x:v>
      </x:c>
      <x:c r="D578" s="28" t="n">
        <x:v>45597</x:v>
      </x:c>
      <x:c r="E578" s="2" t="str">
        <x:v>2024Q4</x:v>
      </x:c>
      <x:c r="F578" s="20" t="n">
        <x:v>30034.3</x:v>
      </x:c>
      <x:c r="G578" s="20" t="n">
        <x:f>'Quarterly data'!$E$160</x:f>
        <x:v>29377.5333333333</x:v>
      </x:c>
      <x:c r="H578" s="22" t="n">
        <x:f>100*F578/G578</x:f>
        <x:v>102.23560861701584</x:v>
      </x:c>
      <x:c r="I578" s="24" t="n">
        <x:f>H578/100-1</x:f>
        <x:v>0.022356086170158385</x:v>
      </x:c>
      <x:c r="J578" s="26" t="n">
        <x:v>5</x:v>
      </x:c>
      <x:c r="K578" s="7" t="b">
        <x:v>0</x:v>
      </x:c>
      <x:c r="L578" s="2" t="str">
        <x:v>May 2026</x:v>
      </x:c>
      <x:c r="M578" s="2" t="str">
        <x:v>https://www.genaiadoptiontracker.com/</x:v>
      </x:c>
    </x:row>
    <x:row r="579" ht="24" customHeight="1">
      <x:c r="A579" s="2" t="str">
        <x:v>RPS</x:v>
      </x:c>
      <x:c r="B579" s="2" t="str">
        <x:v>Quartiles</x:v>
      </x:c>
      <x:c r="C579" s="2" t="str">
        <x:v>Q2</x:v>
      </x:c>
      <x:c r="D579" s="28" t="n">
        <x:v>45597</x:v>
      </x:c>
      <x:c r="E579" s="2" t="str">
        <x:v>2024Q4</x:v>
      </x:c>
      <x:c r="F579" s="20" t="n">
        <x:v>55604.6</x:v>
      </x:c>
      <x:c r="G579" s="20" t="n">
        <x:f>'Quarterly data'!$E$161</x:f>
        <x:v>54180.2666666667</x:v>
      </x:c>
      <x:c r="H579" s="22" t="n">
        <x:f>100*F579/G579</x:f>
        <x:v>102.62887841083587</x:v>
      </x:c>
      <x:c r="I579" s="24" t="n">
        <x:f>H579/100-1</x:f>
        <x:v>0.026288784108358776</x:v>
      </x:c>
      <x:c r="J579" s="26" t="n">
        <x:v>4</x:v>
      </x:c>
      <x:c r="K579" s="7" t="b">
        <x:v>0</x:v>
      </x:c>
      <x:c r="L579" s="2" t="str">
        <x:v>May 2026</x:v>
      </x:c>
      <x:c r="M579" s="2" t="str">
        <x:v>https://www.genaiadoptiontracker.com/</x:v>
      </x:c>
    </x:row>
    <x:row r="580" ht="24" customHeight="1">
      <x:c r="A580" s="2" t="str">
        <x:v>RPS</x:v>
      </x:c>
      <x:c r="B580" s="2" t="str">
        <x:v>Quartiles</x:v>
      </x:c>
      <x:c r="C580" s="2" t="str">
        <x:v>Q3</x:v>
      </x:c>
      <x:c r="D580" s="28" t="n">
        <x:v>45597</x:v>
      </x:c>
      <x:c r="E580" s="2" t="str">
        <x:v>2024Q4</x:v>
      </x:c>
      <x:c r="F580" s="20" t="n">
        <x:v>19800.6</x:v>
      </x:c>
      <x:c r="G580" s="20" t="n">
        <x:f>'Quarterly data'!$E$162</x:f>
        <x:v>19689.3666666667</x:v>
      </x:c>
      <x:c r="H580" s="22" t="n">
        <x:f>100*F580/G580</x:f>
        <x:v>100.56494114420455</x:v>
      </x:c>
      <x:c r="I580" s="24" t="n">
        <x:f>H580/100-1</x:f>
        <x:v>0.00564941144204556</x:v>
      </x:c>
      <x:c r="J580" s="26" t="n">
        <x:v>4</x:v>
      </x:c>
      <x:c r="K580" s="7" t="b">
        <x:v>0</x:v>
      </x:c>
      <x:c r="L580" s="2" t="str">
        <x:v>May 2026</x:v>
      </x:c>
      <x:c r="M580" s="2" t="str">
        <x:v>https://www.genaiadoptiontracker.com/</x:v>
      </x:c>
    </x:row>
    <x:row r="581" ht="24" customHeight="1">
      <x:c r="A581" s="2" t="str">
        <x:v>RPS</x:v>
      </x:c>
      <x:c r="B581" s="2" t="str">
        <x:v>Quartiles</x:v>
      </x:c>
      <x:c r="C581" s="2" t="str">
        <x:v>Q4</x:v>
      </x:c>
      <x:c r="D581" s="28" t="n">
        <x:v>45597</x:v>
      </x:c>
      <x:c r="E581" s="2" t="str">
        <x:v>2024Q4</x:v>
      </x:c>
      <x:c r="F581" s="20" t="n">
        <x:v>29095.2</x:v>
      </x:c>
      <x:c r="G581" s="20" t="n">
        <x:f>'Quarterly data'!$E$163</x:f>
        <x:v>29165.6666666667</x:v>
      </x:c>
      <x:c r="H581" s="22" t="n">
        <x:f>100*F581/G581</x:f>
        <x:v>99.7583917162873</x:v>
      </x:c>
      <x:c r="I581" s="24" t="n">
        <x:f>H581/100-1</x:f>
        <x:v>-0.0024160828371269094</x:v>
      </x:c>
      <x:c r="J581" s="26" t="n">
        <x:v>5</x:v>
      </x:c>
      <x:c r="K581" s="7" t="b">
        <x:v>0</x:v>
      </x:c>
      <x:c r="L581" s="2" t="str">
        <x:v>May 2026</x:v>
      </x:c>
      <x:c r="M581" s="2" t="str">
        <x:v>https://www.genaiadoptiontracker.com/</x:v>
      </x:c>
    </x:row>
    <x:row r="582" ht="24" customHeight="1">
      <x:c r="A582" s="2" t="str">
        <x:v>RPS</x:v>
      </x:c>
      <x:c r="B582" s="2" t="str">
        <x:v>Quartiles</x:v>
      </x:c>
      <x:c r="C582" s="2" t="str">
        <x:v>Q1</x:v>
      </x:c>
      <x:c r="D582" s="28" t="n">
        <x:v>45627</x:v>
      </x:c>
      <x:c r="E582" s="2" t="str">
        <x:v>2024Q4</x:v>
      </x:c>
      <x:c r="F582" s="20" t="n">
        <x:v>30078.3</x:v>
      </x:c>
      <x:c r="G582" s="20" t="n">
        <x:f>'Quarterly data'!$E$160</x:f>
        <x:v>29377.5333333333</x:v>
      </x:c>
      <x:c r="H582" s="22" t="n">
        <x:f>100*F582/G582</x:f>
        <x:v>102.38538293435131</x:v>
      </x:c>
      <x:c r="I582" s="24" t="n">
        <x:f>H582/100-1</x:f>
        <x:v>0.0238538293435131</x:v>
      </x:c>
      <x:c r="J582" s="26" t="n">
        <x:v>5</x:v>
      </x:c>
      <x:c r="K582" s="7" t="b">
        <x:v>0</x:v>
      </x:c>
      <x:c r="L582" s="2" t="str">
        <x:v>May 2026</x:v>
      </x:c>
      <x:c r="M582" s="2" t="str">
        <x:v>https://www.genaiadoptiontracker.com/</x:v>
      </x:c>
    </x:row>
    <x:row r="583" ht="24" customHeight="1">
      <x:c r="A583" s="2" t="str">
        <x:v>RPS</x:v>
      </x:c>
      <x:c r="B583" s="2" t="str">
        <x:v>Quartiles</x:v>
      </x:c>
      <x:c r="C583" s="2" t="str">
        <x:v>Q2</x:v>
      </x:c>
      <x:c r="D583" s="28" t="n">
        <x:v>45627</x:v>
      </x:c>
      <x:c r="E583" s="2" t="str">
        <x:v>2024Q4</x:v>
      </x:c>
      <x:c r="F583" s="20" t="n">
        <x:v>55736.4</x:v>
      </x:c>
      <x:c r="G583" s="20" t="n">
        <x:f>'Quarterly data'!$E$161</x:f>
        <x:v>54180.2666666667</x:v>
      </x:c>
      <x:c r="H583" s="22" t="n">
        <x:f>100*F583/G583</x:f>
        <x:v>102.87214041028462</x:v>
      </x:c>
      <x:c r="I583" s="24" t="n">
        <x:f>H583/100-1</x:f>
        <x:v>0.02872140410284607</x:v>
      </x:c>
      <x:c r="J583" s="26" t="n">
        <x:v>4</x:v>
      </x:c>
      <x:c r="K583" s="7" t="b">
        <x:v>0</x:v>
      </x:c>
      <x:c r="L583" s="2" t="str">
        <x:v>May 2026</x:v>
      </x:c>
      <x:c r="M583" s="2" t="str">
        <x:v>https://www.genaiadoptiontracker.com/</x:v>
      </x:c>
    </x:row>
    <x:row r="584" ht="24" customHeight="1">
      <x:c r="A584" s="2" t="str">
        <x:v>RPS</x:v>
      </x:c>
      <x:c r="B584" s="2" t="str">
        <x:v>Quartiles</x:v>
      </x:c>
      <x:c r="C584" s="2" t="str">
        <x:v>Q3</x:v>
      </x:c>
      <x:c r="D584" s="28" t="n">
        <x:v>45627</x:v>
      </x:c>
      <x:c r="E584" s="2" t="str">
        <x:v>2024Q4</x:v>
      </x:c>
      <x:c r="F584" s="20" t="n">
        <x:v>19788.5</x:v>
      </x:c>
      <x:c r="G584" s="20" t="n">
        <x:f>'Quarterly data'!$E$162</x:f>
        <x:v>19689.3666666667</x:v>
      </x:c>
      <x:c r="H584" s="22" t="n">
        <x:f>100*F584/G584</x:f>
        <x:v>100.50348665354039</x:v>
      </x:c>
      <x:c r="I584" s="24" t="n">
        <x:f>H584/100-1</x:f>
        <x:v>0.005034866535403859</x:v>
      </x:c>
      <x:c r="J584" s="26" t="n">
        <x:v>4</x:v>
      </x:c>
      <x:c r="K584" s="7" t="b">
        <x:v>0</x:v>
      </x:c>
      <x:c r="L584" s="2" t="str">
        <x:v>May 2026</x:v>
      </x:c>
      <x:c r="M584" s="2" t="str">
        <x:v>https://www.genaiadoptiontracker.com/</x:v>
      </x:c>
    </x:row>
    <x:row r="585" ht="24" customHeight="1">
      <x:c r="A585" s="2" t="str">
        <x:v>RPS</x:v>
      </x:c>
      <x:c r="B585" s="2" t="str">
        <x:v>Quartiles</x:v>
      </x:c>
      <x:c r="C585" s="2" t="str">
        <x:v>Q4</x:v>
      </x:c>
      <x:c r="D585" s="28" t="n">
        <x:v>45627</x:v>
      </x:c>
      <x:c r="E585" s="2" t="str">
        <x:v>2024Q4</x:v>
      </x:c>
      <x:c r="F585" s="20" t="n">
        <x:v>29143.8</x:v>
      </x:c>
      <x:c r="G585" s="20" t="n">
        <x:f>'Quarterly data'!$E$163</x:f>
        <x:v>29165.6666666667</x:v>
      </x:c>
      <x:c r="H585" s="22" t="n">
        <x:f>100*F585/G585</x:f>
        <x:v>99.92502600089134</x:v>
      </x:c>
      <x:c r="I585" s="24" t="n">
        <x:f>H585/100-1</x:f>
        <x:v>-0.0007497399910866287</x:v>
      </x:c>
      <x:c r="J585" s="26" t="n">
        <x:v>5</x:v>
      </x:c>
      <x:c r="K585" s="7" t="b">
        <x:v>0</x:v>
      </x:c>
      <x:c r="L585" s="2" t="str">
        <x:v>May 2026</x:v>
      </x:c>
      <x:c r="M585" s="2" t="str">
        <x:v>https://www.genaiadoptiontracker.com/</x:v>
      </x:c>
    </x:row>
    <x:row r="586" ht="24" customHeight="1">
      <x:c r="A586" s="2" t="str">
        <x:v>RPS</x:v>
      </x:c>
      <x:c r="B586" s="2" t="str">
        <x:v>Quartiles</x:v>
      </x:c>
      <x:c r="C586" s="2" t="str">
        <x:v>Q1</x:v>
      </x:c>
      <x:c r="D586" s="28" t="n">
        <x:v>45658</x:v>
      </x:c>
      <x:c r="E586" s="2" t="str">
        <x:v>2025Q1</x:v>
      </x:c>
      <x:c r="F586" s="20" t="n">
        <x:v>30053.7</x:v>
      </x:c>
      <x:c r="G586" s="20" t="n">
        <x:f>'Quarterly data'!$E$160</x:f>
        <x:v>29377.5333333333</x:v>
      </x:c>
      <x:c r="H586" s="22" t="n">
        <x:f>100*F586/G586</x:f>
        <x:v>102.30164547511374</x:v>
      </x:c>
      <x:c r="I586" s="24" t="n">
        <x:f>H586/100-1</x:f>
        <x:v>0.02301645475113734</x:v>
      </x:c>
      <x:c r="J586" s="26" t="n">
        <x:v>5</x:v>
      </x:c>
      <x:c r="K586" s="7" t="b">
        <x:v>0</x:v>
      </x:c>
      <x:c r="L586" s="2" t="str">
        <x:v>May 2026</x:v>
      </x:c>
      <x:c r="M586" s="2" t="str">
        <x:v>https://www.genaiadoptiontracker.com/</x:v>
      </x:c>
    </x:row>
    <x:row r="587" ht="24" customHeight="1">
      <x:c r="A587" s="2" t="str">
        <x:v>RPS</x:v>
      </x:c>
      <x:c r="B587" s="2" t="str">
        <x:v>Quartiles</x:v>
      </x:c>
      <x:c r="C587" s="2" t="str">
        <x:v>Q2</x:v>
      </x:c>
      <x:c r="D587" s="28" t="n">
        <x:v>45658</x:v>
      </x:c>
      <x:c r="E587" s="2" t="str">
        <x:v>2025Q1</x:v>
      </x:c>
      <x:c r="F587" s="20" t="n">
        <x:v>55755</x:v>
      </x:c>
      <x:c r="G587" s="20" t="n">
        <x:f>'Quarterly data'!$E$161</x:f>
        <x:v>54180.2666666667</x:v>
      </x:c>
      <x:c r="H587" s="22" t="n">
        <x:f>100*F587/G587</x:f>
        <x:v>102.90647025239196</x:v>
      </x:c>
      <x:c r="I587" s="24" t="n">
        <x:f>H587/100-1</x:f>
        <x:v>0.02906470252391946</x:v>
      </x:c>
      <x:c r="J587" s="26" t="n">
        <x:v>4</x:v>
      </x:c>
      <x:c r="K587" s="7" t="b">
        <x:v>0</x:v>
      </x:c>
      <x:c r="L587" s="2" t="str">
        <x:v>May 2026</x:v>
      </x:c>
      <x:c r="M587" s="2" t="str">
        <x:v>https://www.genaiadoptiontracker.com/</x:v>
      </x:c>
    </x:row>
    <x:row r="588" ht="24" customHeight="1">
      <x:c r="A588" s="2" t="str">
        <x:v>RPS</x:v>
      </x:c>
      <x:c r="B588" s="2" t="str">
        <x:v>Quartiles</x:v>
      </x:c>
      <x:c r="C588" s="2" t="str">
        <x:v>Q3</x:v>
      </x:c>
      <x:c r="D588" s="28" t="n">
        <x:v>45658</x:v>
      </x:c>
      <x:c r="E588" s="2" t="str">
        <x:v>2025Q1</x:v>
      </x:c>
      <x:c r="F588" s="20" t="n">
        <x:v>19771.5</x:v>
      </x:c>
      <x:c r="G588" s="20" t="n">
        <x:f>'Quarterly data'!$E$162</x:f>
        <x:v>19689.3666666667</x:v>
      </x:c>
      <x:c r="H588" s="22" t="n">
        <x:f>100*F588/G588</x:f>
        <x:v>100.417145633599</x:v>
      </x:c>
      <x:c r="I588" s="24" t="n">
        <x:f>H588/100-1</x:f>
        <x:v>0.004171456335990031</x:v>
      </x:c>
      <x:c r="J588" s="26" t="n">
        <x:v>4</x:v>
      </x:c>
      <x:c r="K588" s="7" t="b">
        <x:v>0</x:v>
      </x:c>
      <x:c r="L588" s="2" t="str">
        <x:v>May 2026</x:v>
      </x:c>
      <x:c r="M588" s="2" t="str">
        <x:v>https://www.genaiadoptiontracker.com/</x:v>
      </x:c>
    </x:row>
    <x:row r="589" ht="24" customHeight="1">
      <x:c r="A589" s="2" t="str">
        <x:v>RPS</x:v>
      </x:c>
      <x:c r="B589" s="2" t="str">
        <x:v>Quartiles</x:v>
      </x:c>
      <x:c r="C589" s="2" t="str">
        <x:v>Q4</x:v>
      </x:c>
      <x:c r="D589" s="28" t="n">
        <x:v>45658</x:v>
      </x:c>
      <x:c r="E589" s="2" t="str">
        <x:v>2025Q1</x:v>
      </x:c>
      <x:c r="F589" s="20" t="n">
        <x:v>29089.8</x:v>
      </x:c>
      <x:c r="G589" s="20" t="n">
        <x:f>'Quarterly data'!$E$163</x:f>
        <x:v>29165.6666666667</x:v>
      </x:c>
      <x:c r="H589" s="22" t="n">
        <x:f>100*F589/G589</x:f>
        <x:v>99.73987679577574</x:v>
      </x:c>
      <x:c r="I589" s="24" t="n">
        <x:f>H589/100-1</x:f>
        <x:v>-0.002601232042242607</x:v>
      </x:c>
      <x:c r="J589" s="26" t="n">
        <x:v>5</x:v>
      </x:c>
      <x:c r="K589" s="7" t="b">
        <x:v>0</x:v>
      </x:c>
      <x:c r="L589" s="2" t="str">
        <x:v>May 2026</x:v>
      </x:c>
      <x:c r="M589" s="2" t="str">
        <x:v>https://www.genaiadoptiontracker.com/</x:v>
      </x:c>
    </x:row>
    <x:row r="590" ht="24" customHeight="1">
      <x:c r="A590" s="2" t="str">
        <x:v>RPS</x:v>
      </x:c>
      <x:c r="B590" s="2" t="str">
        <x:v>Quartiles</x:v>
      </x:c>
      <x:c r="C590" s="2" t="str">
        <x:v>Q1</x:v>
      </x:c>
      <x:c r="D590" s="28" t="n">
        <x:v>45689</x:v>
      </x:c>
      <x:c r="E590" s="2" t="str">
        <x:v>2025Q1</x:v>
      </x:c>
      <x:c r="F590" s="20" t="n">
        <x:v>30042.8</x:v>
      </x:c>
      <x:c r="G590" s="20" t="n">
        <x:f>'Quarterly data'!$E$160</x:f>
        <x:v>29377.5333333333</x:v>
      </x:c>
      <x:c r="H590" s="22" t="n">
        <x:f>100*F590/G590</x:f>
        <x:v>102.26454229195565</x:v>
      </x:c>
      <x:c r="I590" s="24" t="n">
        <x:f>H590/100-1</x:f>
        <x:v>0.022645422919556513</x:v>
      </x:c>
      <x:c r="J590" s="26" t="n">
        <x:v>5</x:v>
      </x:c>
      <x:c r="K590" s="7" t="b">
        <x:v>0</x:v>
      </x:c>
      <x:c r="L590" s="2" t="str">
        <x:v>May 2026</x:v>
      </x:c>
      <x:c r="M590" s="2" t="str">
        <x:v>https://www.genaiadoptiontracker.com/</x:v>
      </x:c>
    </x:row>
    <x:row r="591" ht="24" customHeight="1">
      <x:c r="A591" s="2" t="str">
        <x:v>RPS</x:v>
      </x:c>
      <x:c r="B591" s="2" t="str">
        <x:v>Quartiles</x:v>
      </x:c>
      <x:c r="C591" s="2" t="str">
        <x:v>Q2</x:v>
      </x:c>
      <x:c r="D591" s="28" t="n">
        <x:v>45689</x:v>
      </x:c>
      <x:c r="E591" s="2" t="str">
        <x:v>2025Q1</x:v>
      </x:c>
      <x:c r="F591" s="20" t="n">
        <x:v>55794.8</x:v>
      </x:c>
      <x:c r="G591" s="20" t="n">
        <x:f>'Quarterly data'!$E$161</x:f>
        <x:v>54180.2666666667</x:v>
      </x:c>
      <x:c r="H591" s="22" t="n">
        <x:f>100*F591/G591</x:f>
        <x:v>102.9799287317399</x:v>
      </x:c>
      <x:c r="I591" s="24" t="n">
        <x:f>H591/100-1</x:f>
        <x:v>0.029799287317399115</x:v>
      </x:c>
      <x:c r="J591" s="26" t="n">
        <x:v>4</x:v>
      </x:c>
      <x:c r="K591" s="7" t="b">
        <x:v>0</x:v>
      </x:c>
      <x:c r="L591" s="2" t="str">
        <x:v>May 2026</x:v>
      </x:c>
      <x:c r="M591" s="2" t="str">
        <x:v>https://www.genaiadoptiontracker.com/</x:v>
      </x:c>
    </x:row>
    <x:row r="592" ht="24" customHeight="1">
      <x:c r="A592" s="2" t="str">
        <x:v>RPS</x:v>
      </x:c>
      <x:c r="B592" s="2" t="str">
        <x:v>Quartiles</x:v>
      </x:c>
      <x:c r="C592" s="2" t="str">
        <x:v>Q3</x:v>
      </x:c>
      <x:c r="D592" s="28" t="n">
        <x:v>45689</x:v>
      </x:c>
      <x:c r="E592" s="2" t="str">
        <x:v>2025Q1</x:v>
      </x:c>
      <x:c r="F592" s="20" t="n">
        <x:v>19784</x:v>
      </x:c>
      <x:c r="G592" s="20" t="n">
        <x:f>'Quarterly data'!$E$162</x:f>
        <x:v>19689.3666666667</x:v>
      </x:c>
      <x:c r="H592" s="22" t="n">
        <x:f>100*F592/G592</x:f>
        <x:v>100.48063167767356</x:v>
      </x:c>
      <x:c r="I592" s="24" t="n">
        <x:f>H592/100-1</x:f>
        <x:v>0.004806316776735597</x:v>
      </x:c>
      <x:c r="J592" s="26" t="n">
        <x:v>4</x:v>
      </x:c>
      <x:c r="K592" s="7" t="b">
        <x:v>0</x:v>
      </x:c>
      <x:c r="L592" s="2" t="str">
        <x:v>May 2026</x:v>
      </x:c>
      <x:c r="M592" s="2" t="str">
        <x:v>https://www.genaiadoptiontracker.com/</x:v>
      </x:c>
    </x:row>
    <x:row r="593" ht="24" customHeight="1">
      <x:c r="A593" s="2" t="str">
        <x:v>RPS</x:v>
      </x:c>
      <x:c r="B593" s="2" t="str">
        <x:v>Quartiles</x:v>
      </x:c>
      <x:c r="C593" s="2" t="str">
        <x:v>Q4</x:v>
      </x:c>
      <x:c r="D593" s="28" t="n">
        <x:v>45689</x:v>
      </x:c>
      <x:c r="E593" s="2" t="str">
        <x:v>2025Q1</x:v>
      </x:c>
      <x:c r="F593" s="20" t="n">
        <x:v>29087.2</x:v>
      </x:c>
      <x:c r="G593" s="20" t="n">
        <x:f>'Quarterly data'!$E$163</x:f>
        <x:v>29165.6666666667</x:v>
      </x:c>
      <x:c r="H593" s="22" t="n">
        <x:f>100*F593/G593</x:f>
        <x:v>99.73096220441832</x:v>
      </x:c>
      <x:c r="I593" s="24" t="n">
        <x:f>H593/100-1</x:f>
        <x:v>-0.002690377955816836</x:v>
      </x:c>
      <x:c r="J593" s="26" t="n">
        <x:v>5</x:v>
      </x:c>
      <x:c r="K593" s="7" t="b">
        <x:v>0</x:v>
      </x:c>
      <x:c r="L593" s="2" t="str">
        <x:v>May 2026</x:v>
      </x:c>
      <x:c r="M593" s="2" t="str">
        <x:v>https://www.genaiadoptiontracker.com/</x:v>
      </x:c>
    </x:row>
    <x:row r="594" ht="24" customHeight="1">
      <x:c r="A594" s="2" t="str">
        <x:v>RPS</x:v>
      </x:c>
      <x:c r="B594" s="2" t="str">
        <x:v>Quartiles</x:v>
      </x:c>
      <x:c r="C594" s="2" t="str">
        <x:v>Q1</x:v>
      </x:c>
      <x:c r="D594" s="28" t="n">
        <x:v>45717</x:v>
      </x:c>
      <x:c r="E594" s="2" t="str">
        <x:v>2025Q1</x:v>
      </x:c>
      <x:c r="F594" s="20" t="n">
        <x:v>30060.2</x:v>
      </x:c>
      <x:c r="G594" s="20" t="n">
        <x:f>'Quarterly data'!$E$160</x:f>
        <x:v>29377.5333333333</x:v>
      </x:c>
      <x:c r="H594" s="22" t="n">
        <x:f>100*F594/G594</x:f>
        <x:v>102.32377122653831</x:v>
      </x:c>
      <x:c r="I594" s="24" t="n">
        <x:f>H594/100-1</x:f>
        <x:v>0.02323771226538307</x:v>
      </x:c>
      <x:c r="J594" s="26" t="n">
        <x:v>5</x:v>
      </x:c>
      <x:c r="K594" s="7" t="b">
        <x:v>0</x:v>
      </x:c>
      <x:c r="L594" s="2" t="str">
        <x:v>May 2026</x:v>
      </x:c>
      <x:c r="M594" s="2" t="str">
        <x:v>https://www.genaiadoptiontracker.com/</x:v>
      </x:c>
    </x:row>
    <x:row r="595" ht="24" customHeight="1">
      <x:c r="A595" s="2" t="str">
        <x:v>RPS</x:v>
      </x:c>
      <x:c r="B595" s="2" t="str">
        <x:v>Quartiles</x:v>
      </x:c>
      <x:c r="C595" s="2" t="str">
        <x:v>Q2</x:v>
      </x:c>
      <x:c r="D595" s="28" t="n">
        <x:v>45717</x:v>
      </x:c>
      <x:c r="E595" s="2" t="str">
        <x:v>2025Q1</x:v>
      </x:c>
      <x:c r="F595" s="20" t="n">
        <x:v>55860.5</x:v>
      </x:c>
      <x:c r="G595" s="20" t="n">
        <x:f>'Quarterly data'!$E$161</x:f>
        <x:v>54180.2666666667</x:v>
      </x:c>
      <x:c r="H595" s="22" t="n">
        <x:f>100*F595/G595</x:f>
        <x:v>103.10119059337711</x:v>
      </x:c>
      <x:c r="I595" s="24" t="n">
        <x:f>H595/100-1</x:f>
        <x:v>0.03101190593377101</x:v>
      </x:c>
      <x:c r="J595" s="26" t="n">
        <x:v>4</x:v>
      </x:c>
      <x:c r="K595" s="7" t="b">
        <x:v>0</x:v>
      </x:c>
      <x:c r="L595" s="2" t="str">
        <x:v>May 2026</x:v>
      </x:c>
      <x:c r="M595" s="2" t="str">
        <x:v>https://www.genaiadoptiontracker.com/</x:v>
      </x:c>
    </x:row>
    <x:row r="596" ht="24" customHeight="1">
      <x:c r="A596" s="2" t="str">
        <x:v>RPS</x:v>
      </x:c>
      <x:c r="B596" s="2" t="str">
        <x:v>Quartiles</x:v>
      </x:c>
      <x:c r="C596" s="2" t="str">
        <x:v>Q3</x:v>
      </x:c>
      <x:c r="D596" s="28" t="n">
        <x:v>45717</x:v>
      </x:c>
      <x:c r="E596" s="2" t="str">
        <x:v>2025Q1</x:v>
      </x:c>
      <x:c r="F596" s="20" t="n">
        <x:v>19780</x:v>
      </x:c>
      <x:c r="G596" s="20" t="n">
        <x:f>'Quarterly data'!$E$162</x:f>
        <x:v>19689.3666666667</x:v>
      </x:c>
      <x:c r="H596" s="22" t="n">
        <x:f>100*F596/G596</x:f>
        <x:v>100.4603161435697</x:v>
      </x:c>
      <x:c r="I596" s="24" t="n">
        <x:f>H596/100-1</x:f>
        <x:v>0.004603161435696945</x:v>
      </x:c>
      <x:c r="J596" s="26" t="n">
        <x:v>4</x:v>
      </x:c>
      <x:c r="K596" s="7" t="b">
        <x:v>0</x:v>
      </x:c>
      <x:c r="L596" s="2" t="str">
        <x:v>May 2026</x:v>
      </x:c>
      <x:c r="M596" s="2" t="str">
        <x:v>https://www.genaiadoptiontracker.com/</x:v>
      </x:c>
    </x:row>
    <x:row r="597" ht="24" customHeight="1">
      <x:c r="A597" s="2" t="str">
        <x:v>RPS</x:v>
      </x:c>
      <x:c r="B597" s="2" t="str">
        <x:v>Quartiles</x:v>
      </x:c>
      <x:c r="C597" s="2" t="str">
        <x:v>Q4</x:v>
      </x:c>
      <x:c r="D597" s="28" t="n">
        <x:v>45717</x:v>
      </x:c>
      <x:c r="E597" s="2" t="str">
        <x:v>2025Q1</x:v>
      </x:c>
      <x:c r="F597" s="20" t="n">
        <x:v>29075.2</x:v>
      </x:c>
      <x:c r="G597" s="20" t="n">
        <x:f>'Quarterly data'!$E$163</x:f>
        <x:v>29165.6666666667</x:v>
      </x:c>
      <x:c r="H597" s="22" t="n">
        <x:f>100*F597/G597</x:f>
        <x:v>99.68981793661486</x:v>
      </x:c>
      <x:c r="I597" s="24" t="n">
        <x:f>H597/100-1</x:f>
        <x:v>-0.0031018206338514487</x:v>
      </x:c>
      <x:c r="J597" s="26" t="n">
        <x:v>5</x:v>
      </x:c>
      <x:c r="K597" s="7" t="b">
        <x:v>0</x:v>
      </x:c>
      <x:c r="L597" s="2" t="str">
        <x:v>May 2026</x:v>
      </x:c>
      <x:c r="M597" s="2" t="str">
        <x:v>https://www.genaiadoptiontracker.com/</x:v>
      </x:c>
    </x:row>
    <x:row r="598" ht="24" customHeight="1">
      <x:c r="A598" s="2" t="str">
        <x:v>RPS</x:v>
      </x:c>
      <x:c r="B598" s="2" t="str">
        <x:v>Quartiles</x:v>
      </x:c>
      <x:c r="C598" s="2" t="str">
        <x:v>Q1</x:v>
      </x:c>
      <x:c r="D598" s="28" t="n">
        <x:v>45748</x:v>
      </x:c>
      <x:c r="E598" s="2" t="str">
        <x:v>2025Q2</x:v>
      </x:c>
      <x:c r="F598" s="20" t="n">
        <x:v>30058.2</x:v>
      </x:c>
      <x:c r="G598" s="20" t="n">
        <x:f>'Quarterly data'!$E$160</x:f>
        <x:v>29377.5333333333</x:v>
      </x:c>
      <x:c r="H598" s="22" t="n">
        <x:f>100*F598/G598</x:f>
        <x:v>102.31696330302306</x:v>
      </x:c>
      <x:c r="I598" s="24" t="n">
        <x:f>H598/100-1</x:f>
        <x:v>0.023169633030230674</x:v>
      </x:c>
      <x:c r="J598" s="26" t="n">
        <x:v>5</x:v>
      </x:c>
      <x:c r="K598" s="7" t="b">
        <x:v>0</x:v>
      </x:c>
      <x:c r="L598" s="2" t="str">
        <x:v>May 2026</x:v>
      </x:c>
      <x:c r="M598" s="2" t="str">
        <x:v>https://www.genaiadoptiontracker.com/</x:v>
      </x:c>
    </x:row>
    <x:row r="599" ht="24" customHeight="1">
      <x:c r="A599" s="2" t="str">
        <x:v>RPS</x:v>
      </x:c>
      <x:c r="B599" s="2" t="str">
        <x:v>Quartiles</x:v>
      </x:c>
      <x:c r="C599" s="2" t="str">
        <x:v>Q2</x:v>
      </x:c>
      <x:c r="D599" s="28" t="n">
        <x:v>45748</x:v>
      </x:c>
      <x:c r="E599" s="2" t="str">
        <x:v>2025Q2</x:v>
      </x:c>
      <x:c r="F599" s="20" t="n">
        <x:v>55944.3</x:v>
      </x:c>
      <x:c r="G599" s="20" t="n">
        <x:f>'Quarterly data'!$E$161</x:f>
        <x:v>54180.2666666667</x:v>
      </x:c>
      <x:c r="H599" s="22" t="n">
        <x:f>100*F599/G599</x:f>
        <x:v>103.2558594519037</x:v>
      </x:c>
      <x:c r="I599" s="24" t="n">
        <x:f>H599/100-1</x:f>
        <x:v>0.032558594519036976</x:v>
      </x:c>
      <x:c r="J599" s="26" t="n">
        <x:v>4</x:v>
      </x:c>
      <x:c r="K599" s="7" t="b">
        <x:v>0</x:v>
      </x:c>
      <x:c r="L599" s="2" t="str">
        <x:v>May 2026</x:v>
      </x:c>
      <x:c r="M599" s="2" t="str">
        <x:v>https://www.genaiadoptiontracker.com/</x:v>
      </x:c>
    </x:row>
    <x:row r="600" ht="24" customHeight="1">
      <x:c r="A600" s="2" t="str">
        <x:v>RPS</x:v>
      </x:c>
      <x:c r="B600" s="2" t="str">
        <x:v>Quartiles</x:v>
      </x:c>
      <x:c r="C600" s="2" t="str">
        <x:v>Q3</x:v>
      </x:c>
      <x:c r="D600" s="28" t="n">
        <x:v>45748</x:v>
      </x:c>
      <x:c r="E600" s="2" t="str">
        <x:v>2025Q2</x:v>
      </x:c>
      <x:c r="F600" s="20" t="n">
        <x:v>19789.4</x:v>
      </x:c>
      <x:c r="G600" s="20" t="n">
        <x:f>'Quarterly data'!$E$162</x:f>
        <x:v>19689.3666666667</x:v>
      </x:c>
      <x:c r="H600" s="22" t="n">
        <x:f>100*F600/G600</x:f>
        <x:v>100.50805764871377</x:v>
      </x:c>
      <x:c r="I600" s="24" t="n">
        <x:f>H600/100-1</x:f>
        <x:v>0.005080576487137778</x:v>
      </x:c>
      <x:c r="J600" s="26" t="n">
        <x:v>4</x:v>
      </x:c>
      <x:c r="K600" s="7" t="b">
        <x:v>0</x:v>
      </x:c>
      <x:c r="L600" s="2" t="str">
        <x:v>May 2026</x:v>
      </x:c>
      <x:c r="M600" s="2" t="str">
        <x:v>https://www.genaiadoptiontracker.com/</x:v>
      </x:c>
    </x:row>
    <x:row r="601" ht="24" customHeight="1">
      <x:c r="A601" s="2" t="str">
        <x:v>RPS</x:v>
      </x:c>
      <x:c r="B601" s="2" t="str">
        <x:v>Quartiles</x:v>
      </x:c>
      <x:c r="C601" s="2" t="str">
        <x:v>Q4</x:v>
      </x:c>
      <x:c r="D601" s="28" t="n">
        <x:v>45748</x:v>
      </x:c>
      <x:c r="E601" s="2" t="str">
        <x:v>2025Q2</x:v>
      </x:c>
      <x:c r="F601" s="20" t="n">
        <x:v>29082.4</x:v>
      </x:c>
      <x:c r="G601" s="20" t="n">
        <x:f>'Quarterly data'!$E$163</x:f>
        <x:v>29165.6666666667</x:v>
      </x:c>
      <x:c r="H601" s="22" t="n">
        <x:f>100*F601/G601</x:f>
        <x:v>99.71450449729693</x:v>
      </x:c>
      <x:c r="I601" s="24" t="n">
        <x:f>H601/100-1</x:f>
        <x:v>-0.0028549550270307034</x:v>
      </x:c>
      <x:c r="J601" s="26" t="n">
        <x:v>5</x:v>
      </x:c>
      <x:c r="K601" s="7" t="b">
        <x:v>0</x:v>
      </x:c>
      <x:c r="L601" s="2" t="str">
        <x:v>May 2026</x:v>
      </x:c>
      <x:c r="M601" s="2" t="str">
        <x:v>https://www.genaiadoptiontracker.com/</x:v>
      </x:c>
    </x:row>
    <x:row r="602" ht="24" customHeight="1">
      <x:c r="A602" s="2" t="str">
        <x:v>RPS</x:v>
      </x:c>
      <x:c r="B602" s="2" t="str">
        <x:v>Quartiles</x:v>
      </x:c>
      <x:c r="C602" s="2" t="str">
        <x:v>Q1</x:v>
      </x:c>
      <x:c r="D602" s="28" t="n">
        <x:v>45778</x:v>
      </x:c>
      <x:c r="E602" s="2" t="str">
        <x:v>2025Q2</x:v>
      </x:c>
      <x:c r="F602" s="20" t="n">
        <x:v>30065.2</x:v>
      </x:c>
      <x:c r="G602" s="20" t="n">
        <x:f>'Quarterly data'!$E$160</x:f>
        <x:v>29377.5333333333</x:v>
      </x:c>
      <x:c r="H602" s="22" t="n">
        <x:f>100*F602/G602</x:f>
        <x:v>102.34079103532643</x:v>
      </x:c>
      <x:c r="I602" s="24" t="n">
        <x:f>H602/100-1</x:f>
        <x:v>0.023407910353264283</x:v>
      </x:c>
      <x:c r="J602" s="26" t="n">
        <x:v>5</x:v>
      </x:c>
      <x:c r="K602" s="7" t="b">
        <x:v>0</x:v>
      </x:c>
      <x:c r="L602" s="2" t="str">
        <x:v>May 2026</x:v>
      </x:c>
      <x:c r="M602" s="2" t="str">
        <x:v>https://www.genaiadoptiontracker.com/</x:v>
      </x:c>
    </x:row>
    <x:row r="603" ht="24" customHeight="1">
      <x:c r="A603" s="2" t="str">
        <x:v>RPS</x:v>
      </x:c>
      <x:c r="B603" s="2" t="str">
        <x:v>Quartiles</x:v>
      </x:c>
      <x:c r="C603" s="2" t="str">
        <x:v>Q2</x:v>
      </x:c>
      <x:c r="D603" s="28" t="n">
        <x:v>45778</x:v>
      </x:c>
      <x:c r="E603" s="2" t="str">
        <x:v>2025Q2</x:v>
      </x:c>
      <x:c r="F603" s="20" t="n">
        <x:v>55966.8</x:v>
      </x:c>
      <x:c r="G603" s="20" t="n">
        <x:f>'Quarterly data'!$E$161</x:f>
        <x:v>54180.2666666667</x:v>
      </x:c>
      <x:c r="H603" s="22" t="n">
        <x:f>100*F603/G603</x:f>
        <x:v>103.29738748671096</x:v>
      </x:c>
      <x:c r="I603" s="24" t="n">
        <x:f>H603/100-1</x:f>
        <x:v>0.032973874867109565</x:v>
      </x:c>
      <x:c r="J603" s="26" t="n">
        <x:v>4</x:v>
      </x:c>
      <x:c r="K603" s="7" t="b">
        <x:v>0</x:v>
      </x:c>
      <x:c r="L603" s="2" t="str">
        <x:v>May 2026</x:v>
      </x:c>
      <x:c r="M603" s="2" t="str">
        <x:v>https://www.genaiadoptiontracker.com/</x:v>
      </x:c>
    </x:row>
    <x:row r="604" ht="24" customHeight="1">
      <x:c r="A604" s="2" t="str">
        <x:v>RPS</x:v>
      </x:c>
      <x:c r="B604" s="2" t="str">
        <x:v>Quartiles</x:v>
      </x:c>
      <x:c r="C604" s="2" t="str">
        <x:v>Q3</x:v>
      </x:c>
      <x:c r="D604" s="28" t="n">
        <x:v>45778</x:v>
      </x:c>
      <x:c r="E604" s="2" t="str">
        <x:v>2025Q2</x:v>
      </x:c>
      <x:c r="F604" s="20" t="n">
        <x:v>19777.3</x:v>
      </x:c>
      <x:c r="G604" s="20" t="n">
        <x:f>'Quarterly data'!$E$162</x:f>
        <x:v>19689.3666666667</x:v>
      </x:c>
      <x:c r="H604" s="22" t="n">
        <x:f>100*F604/G604</x:f>
        <x:v>100.4466031580496</x:v>
      </x:c>
      <x:c r="I604" s="24" t="n">
        <x:f>H604/100-1</x:f>
        <x:v>0.004466031580496077</x:v>
      </x:c>
      <x:c r="J604" s="26" t="n">
        <x:v>4</x:v>
      </x:c>
      <x:c r="K604" s="7" t="b">
        <x:v>0</x:v>
      </x:c>
      <x:c r="L604" s="2" t="str">
        <x:v>May 2026</x:v>
      </x:c>
      <x:c r="M604" s="2" t="str">
        <x:v>https://www.genaiadoptiontracker.com/</x:v>
      </x:c>
    </x:row>
    <x:row r="605" ht="24" customHeight="1">
      <x:c r="A605" s="2" t="str">
        <x:v>RPS</x:v>
      </x:c>
      <x:c r="B605" s="2" t="str">
        <x:v>Quartiles</x:v>
      </x:c>
      <x:c r="C605" s="2" t="str">
        <x:v>Q4</x:v>
      </x:c>
      <x:c r="D605" s="28" t="n">
        <x:v>45778</x:v>
      </x:c>
      <x:c r="E605" s="2" t="str">
        <x:v>2025Q2</x:v>
      </x:c>
      <x:c r="F605" s="20" t="n">
        <x:v>29085.6</x:v>
      </x:c>
      <x:c r="G605" s="20" t="n">
        <x:f>'Quarterly data'!$E$163</x:f>
        <x:v>29165.6666666667</x:v>
      </x:c>
      <x:c r="H605" s="22" t="n">
        <x:f>100*F605/G605</x:f>
        <x:v>99.72547630204453</x:v>
      </x:c>
      <x:c r="I605" s="24" t="n">
        <x:f>H605/100-1</x:f>
        <x:v>-0.002745236979554755</x:v>
      </x:c>
      <x:c r="J605" s="26" t="n">
        <x:v>5</x:v>
      </x:c>
      <x:c r="K605" s="7" t="b">
        <x:v>0</x:v>
      </x:c>
      <x:c r="L605" s="2" t="str">
        <x:v>May 2026</x:v>
      </x:c>
      <x:c r="M605" s="2" t="str">
        <x:v>https://www.genaiadoptiontracker.com/</x:v>
      </x:c>
    </x:row>
    <x:row r="606" ht="24" customHeight="1">
      <x:c r="A606" s="2" t="str">
        <x:v>RPS</x:v>
      </x:c>
      <x:c r="B606" s="2" t="str">
        <x:v>Quartiles</x:v>
      </x:c>
      <x:c r="C606" s="2" t="str">
        <x:v>Q1</x:v>
      </x:c>
      <x:c r="D606" s="28" t="n">
        <x:v>45809</x:v>
      </x:c>
      <x:c r="E606" s="2" t="str">
        <x:v>2025Q2</x:v>
      </x:c>
      <x:c r="F606" s="20" t="n">
        <x:v>30050.6</x:v>
      </x:c>
      <x:c r="G606" s="20" t="n">
        <x:f>'Quarterly data'!$E$160</x:f>
        <x:v>29377.5333333333</x:v>
      </x:c>
      <x:c r="H606" s="22" t="n">
        <x:f>100*F606/G606</x:f>
        <x:v>102.29109319366512</x:v>
      </x:c>
      <x:c r="I606" s="24" t="n">
        <x:f>H606/100-1</x:f>
        <x:v>0.02291093193665117</x:v>
      </x:c>
      <x:c r="J606" s="26" t="n">
        <x:v>5</x:v>
      </x:c>
      <x:c r="K606" s="7" t="b">
        <x:v>0</x:v>
      </x:c>
      <x:c r="L606" s="2" t="str">
        <x:v>May 2026</x:v>
      </x:c>
      <x:c r="M606" s="2" t="str">
        <x:v>https://www.genaiadoptiontracker.com/</x:v>
      </x:c>
    </x:row>
    <x:row r="607" ht="24" customHeight="1">
      <x:c r="A607" s="2" t="str">
        <x:v>RPS</x:v>
      </x:c>
      <x:c r="B607" s="2" t="str">
        <x:v>Quartiles</x:v>
      </x:c>
      <x:c r="C607" s="2" t="str">
        <x:v>Q2</x:v>
      </x:c>
      <x:c r="D607" s="28" t="n">
        <x:v>45809</x:v>
      </x:c>
      <x:c r="E607" s="2" t="str">
        <x:v>2025Q2</x:v>
      </x:c>
      <x:c r="F607" s="20" t="n">
        <x:v>55995.4</x:v>
      </x:c>
      <x:c r="G607" s="20" t="n">
        <x:f>'Quarterly data'!$E$161</x:f>
        <x:v>54180.2666666667</x:v>
      </x:c>
      <x:c r="H607" s="22" t="n">
        <x:f>100*F607/G607</x:f>
        <x:v>103.35017423317709</x:v>
      </x:c>
      <x:c r="I607" s="24" t="n">
        <x:f>H607/100-1</x:f>
        <x:v>0.033501742331770945</x:v>
      </x:c>
      <x:c r="J607" s="26" t="n">
        <x:v>4</x:v>
      </x:c>
      <x:c r="K607" s="7" t="b">
        <x:v>0</x:v>
      </x:c>
      <x:c r="L607" s="2" t="str">
        <x:v>May 2026</x:v>
      </x:c>
      <x:c r="M607" s="2" t="str">
        <x:v>https://www.genaiadoptiontracker.com/</x:v>
      </x:c>
    </x:row>
    <x:row r="608" ht="24" customHeight="1">
      <x:c r="A608" s="2" t="str">
        <x:v>RPS</x:v>
      </x:c>
      <x:c r="B608" s="2" t="str">
        <x:v>Quartiles</x:v>
      </x:c>
      <x:c r="C608" s="2" t="str">
        <x:v>Q3</x:v>
      </x:c>
      <x:c r="D608" s="28" t="n">
        <x:v>45809</x:v>
      </x:c>
      <x:c r="E608" s="2" t="str">
        <x:v>2025Q2</x:v>
      </x:c>
      <x:c r="F608" s="20" t="n">
        <x:v>19748.6</x:v>
      </x:c>
      <x:c r="G608" s="20" t="n">
        <x:f>'Quarterly data'!$E$162</x:f>
        <x:v>19689.3666666667</x:v>
      </x:c>
      <x:c r="H608" s="22" t="n">
        <x:f>100*F608/G608</x:f>
        <x:v>100.30083920085441</x:v>
      </x:c>
      <x:c r="I608" s="24" t="n">
        <x:f>H608/100-1</x:f>
        <x:v>0.0030083920085441918</x:v>
      </x:c>
      <x:c r="J608" s="26" t="n">
        <x:v>4</x:v>
      </x:c>
      <x:c r="K608" s="7" t="b">
        <x:v>0</x:v>
      </x:c>
      <x:c r="L608" s="2" t="str">
        <x:v>May 2026</x:v>
      </x:c>
      <x:c r="M608" s="2" t="str">
        <x:v>https://www.genaiadoptiontracker.com/</x:v>
      </x:c>
    </x:row>
    <x:row r="609" ht="24" customHeight="1">
      <x:c r="A609" s="2" t="str">
        <x:v>RPS</x:v>
      </x:c>
      <x:c r="B609" s="2" t="str">
        <x:v>Quartiles</x:v>
      </x:c>
      <x:c r="C609" s="2" t="str">
        <x:v>Q4</x:v>
      </x:c>
      <x:c r="D609" s="28" t="n">
        <x:v>45809</x:v>
      </x:c>
      <x:c r="E609" s="2" t="str">
        <x:v>2025Q2</x:v>
      </x:c>
      <x:c r="F609" s="20" t="n">
        <x:v>29055.4</x:v>
      </x:c>
      <x:c r="G609" s="20" t="n">
        <x:f>'Quarterly data'!$E$163</x:f>
        <x:v>29165.6666666667</x:v>
      </x:c>
      <x:c r="H609" s="22" t="n">
        <x:f>100*F609/G609</x:f>
        <x:v>99.62192989473913</x:v>
      </x:c>
      <x:c r="I609" s="24" t="n">
        <x:f>H609/100-1</x:f>
        <x:v>-0.003780701052608748</x:v>
      </x:c>
      <x:c r="J609" s="26" t="n">
        <x:v>5</x:v>
      </x:c>
      <x:c r="K609" s="7" t="b">
        <x:v>0</x:v>
      </x:c>
      <x:c r="L609" s="2" t="str">
        <x:v>May 2026</x:v>
      </x:c>
      <x:c r="M609" s="2" t="str">
        <x:v>https://www.genaiadoptiontracker.com/</x:v>
      </x:c>
    </x:row>
    <x:row r="610" ht="24" customHeight="1">
      <x:c r="A610" s="2" t="str">
        <x:v>RPS</x:v>
      </x:c>
      <x:c r="B610" s="2" t="str">
        <x:v>Quartiles</x:v>
      </x:c>
      <x:c r="C610" s="2" t="str">
        <x:v>Q1</x:v>
      </x:c>
      <x:c r="D610" s="28" t="n">
        <x:v>45839</x:v>
      </x:c>
      <x:c r="E610" s="2" t="str">
        <x:v>2025Q3</x:v>
      </x:c>
      <x:c r="F610" s="20" t="n">
        <x:v>30066.2</x:v>
      </x:c>
      <x:c r="G610" s="20" t="n">
        <x:f>'Quarterly data'!$E$160</x:f>
        <x:v>29377.5333333333</x:v>
      </x:c>
      <x:c r="H610" s="22" t="n">
        <x:f>100*F610/G610</x:f>
        <x:v>102.34419499708406</x:v>
      </x:c>
      <x:c r="I610" s="24" t="n">
        <x:f>H610/100-1</x:f>
        <x:v>0.023441949970840703</x:v>
      </x:c>
      <x:c r="J610" s="26" t="n">
        <x:v>5</x:v>
      </x:c>
      <x:c r="K610" s="7" t="b">
        <x:v>0</x:v>
      </x:c>
      <x:c r="L610" s="2" t="str">
        <x:v>May 2026</x:v>
      </x:c>
      <x:c r="M610" s="2" t="str">
        <x:v>https://www.genaiadoptiontracker.com/</x:v>
      </x:c>
    </x:row>
    <x:row r="611" ht="24" customHeight="1">
      <x:c r="A611" s="2" t="str">
        <x:v>RPS</x:v>
      </x:c>
      <x:c r="B611" s="2" t="str">
        <x:v>Quartiles</x:v>
      </x:c>
      <x:c r="C611" s="2" t="str">
        <x:v>Q2</x:v>
      </x:c>
      <x:c r="D611" s="28" t="n">
        <x:v>45839</x:v>
      </x:c>
      <x:c r="E611" s="2" t="str">
        <x:v>2025Q3</x:v>
      </x:c>
      <x:c r="F611" s="20" t="n">
        <x:v>56056.2</x:v>
      </x:c>
      <x:c r="G611" s="20" t="n">
        <x:f>'Quarterly data'!$E$161</x:f>
        <x:v>54180.2666666667</x:v>
      </x:c>
      <x:c r="H611" s="22" t="n">
        <x:f>100*F611/G611</x:f>
        <x:v>103.46239221167848</x:v>
      </x:c>
      <x:c r="I611" s="24" t="n">
        <x:f>H611/100-1</x:f>
        <x:v>0.03462392211678478</x:v>
      </x:c>
      <x:c r="J611" s="26" t="n">
        <x:v>4</x:v>
      </x:c>
      <x:c r="K611" s="7" t="b">
        <x:v>0</x:v>
      </x:c>
      <x:c r="L611" s="2" t="str">
        <x:v>May 2026</x:v>
      </x:c>
      <x:c r="M611" s="2" t="str">
        <x:v>https://www.genaiadoptiontracker.com/</x:v>
      </x:c>
    </x:row>
    <x:row r="612" ht="24" customHeight="1">
      <x:c r="A612" s="2" t="str">
        <x:v>RPS</x:v>
      </x:c>
      <x:c r="B612" s="2" t="str">
        <x:v>Quartiles</x:v>
      </x:c>
      <x:c r="C612" s="2" t="str">
        <x:v>Q3</x:v>
      </x:c>
      <x:c r="D612" s="28" t="n">
        <x:v>45839</x:v>
      </x:c>
      <x:c r="E612" s="2" t="str">
        <x:v>2025Q3</x:v>
      </x:c>
      <x:c r="F612" s="20" t="n">
        <x:v>19736</x:v>
      </x:c>
      <x:c r="G612" s="20" t="n">
        <x:f>'Quarterly data'!$E$162</x:f>
        <x:v>19689.3666666667</x:v>
      </x:c>
      <x:c r="H612" s="22" t="n">
        <x:f>100*F612/G612</x:f>
        <x:v>100.23684526842729</x:v>
      </x:c>
      <x:c r="I612" s="24" t="n">
        <x:f>H612/100-1</x:f>
        <x:v>0.0023684526842728815</x:v>
      </x:c>
      <x:c r="J612" s="26" t="n">
        <x:v>4</x:v>
      </x:c>
      <x:c r="K612" s="7" t="b">
        <x:v>0</x:v>
      </x:c>
      <x:c r="L612" s="2" t="str">
        <x:v>May 2026</x:v>
      </x:c>
      <x:c r="M612" s="2" t="str">
        <x:v>https://www.genaiadoptiontracker.com/</x:v>
      </x:c>
    </x:row>
    <x:row r="613" ht="24" customHeight="1">
      <x:c r="A613" s="2" t="str">
        <x:v>RPS</x:v>
      </x:c>
      <x:c r="B613" s="2" t="str">
        <x:v>Quartiles</x:v>
      </x:c>
      <x:c r="C613" s="2" t="str">
        <x:v>Q4</x:v>
      </x:c>
      <x:c r="D613" s="28" t="n">
        <x:v>45839</x:v>
      </x:c>
      <x:c r="E613" s="2" t="str">
        <x:v>2025Q3</x:v>
      </x:c>
      <x:c r="F613" s="20" t="n">
        <x:v>29057.5</x:v>
      </x:c>
      <x:c r="G613" s="20" t="n">
        <x:f>'Quarterly data'!$E$163</x:f>
        <x:v>29165.6666666667</x:v>
      </x:c>
      <x:c r="H613" s="22" t="n">
        <x:f>100*F613/G613</x:f>
        <x:v>99.62913014160473</x:v>
      </x:c>
      <x:c r="I613" s="24" t="n">
        <x:f>H613/100-1</x:f>
        <x:v>-0.0037086985839526188</x:v>
      </x:c>
      <x:c r="J613" s="26" t="n">
        <x:v>5</x:v>
      </x:c>
      <x:c r="K613" s="7" t="b">
        <x:v>0</x:v>
      </x:c>
      <x:c r="L613" s="2" t="str">
        <x:v>May 2026</x:v>
      </x:c>
      <x:c r="M613" s="2" t="str">
        <x:v>https://www.genaiadoptiontracker.com/</x:v>
      </x:c>
    </x:row>
    <x:row r="614" ht="24" customHeight="1">
      <x:c r="A614" s="2" t="str">
        <x:v>RPS</x:v>
      </x:c>
      <x:c r="B614" s="2" t="str">
        <x:v>Quartiles</x:v>
      </x:c>
      <x:c r="C614" s="2" t="str">
        <x:v>Q1</x:v>
      </x:c>
      <x:c r="D614" s="28" t="n">
        <x:v>45870</x:v>
      </x:c>
      <x:c r="E614" s="2" t="str">
        <x:v>2025Q3</x:v>
      </x:c>
      <x:c r="F614" s="20" t="n">
        <x:v>30103.1</x:v>
      </x:c>
      <x:c r="G614" s="20" t="n">
        <x:f>'Quarterly data'!$E$160</x:f>
        <x:v>29377.5333333333</x:v>
      </x:c>
      <x:c r="H614" s="22" t="n">
        <x:f>100*F614/G614</x:f>
        <x:v>102.4698011859404</x:v>
      </x:c>
      <x:c r="I614" s="24" t="n">
        <x:f>H614/100-1</x:f>
        <x:v>0.024698011859404012</x:v>
      </x:c>
      <x:c r="J614" s="26" t="n">
        <x:v>5</x:v>
      </x:c>
      <x:c r="K614" s="7" t="b">
        <x:v>0</x:v>
      </x:c>
      <x:c r="L614" s="2" t="str">
        <x:v>May 2026</x:v>
      </x:c>
      <x:c r="M614" s="2" t="str">
        <x:v>https://www.genaiadoptiontracker.com/</x:v>
      </x:c>
    </x:row>
    <x:row r="615" ht="24" customHeight="1">
      <x:c r="A615" s="2" t="str">
        <x:v>RPS</x:v>
      </x:c>
      <x:c r="B615" s="2" t="str">
        <x:v>Quartiles</x:v>
      </x:c>
      <x:c r="C615" s="2" t="str">
        <x:v>Q2</x:v>
      </x:c>
      <x:c r="D615" s="28" t="n">
        <x:v>45870</x:v>
      </x:c>
      <x:c r="E615" s="2" t="str">
        <x:v>2025Q3</x:v>
      </x:c>
      <x:c r="F615" s="20" t="n">
        <x:v>56045.5</x:v>
      </x:c>
      <x:c r="G615" s="20" t="n">
        <x:f>'Quarterly data'!$E$161</x:f>
        <x:v>54180.2666666667</x:v>
      </x:c>
      <x:c r="H615" s="22" t="n">
        <x:f>100*F615/G615</x:f>
        <x:v>103.44264332401458</x:v>
      </x:c>
      <x:c r="I615" s="24" t="n">
        <x:f>H615/100-1</x:f>
        <x:v>0.034426433240145826</x:v>
      </x:c>
      <x:c r="J615" s="26" t="n">
        <x:v>4</x:v>
      </x:c>
      <x:c r="K615" s="7" t="b">
        <x:v>0</x:v>
      </x:c>
      <x:c r="L615" s="2" t="str">
        <x:v>May 2026</x:v>
      </x:c>
      <x:c r="M615" s="2" t="str">
        <x:v>https://www.genaiadoptiontracker.com/</x:v>
      </x:c>
    </x:row>
    <x:row r="616" ht="24" customHeight="1">
      <x:c r="A616" s="2" t="str">
        <x:v>RPS</x:v>
      </x:c>
      <x:c r="B616" s="2" t="str">
        <x:v>Quartiles</x:v>
      </x:c>
      <x:c r="C616" s="2" t="str">
        <x:v>Q3</x:v>
      </x:c>
      <x:c r="D616" s="28" t="n">
        <x:v>45870</x:v>
      </x:c>
      <x:c r="E616" s="2" t="str">
        <x:v>2025Q3</x:v>
      </x:c>
      <x:c r="F616" s="20" t="n">
        <x:v>19720.1</x:v>
      </x:c>
      <x:c r="G616" s="20" t="n">
        <x:f>'Quarterly data'!$E$162</x:f>
        <x:v>19689.3666666667</x:v>
      </x:c>
      <x:c r="H616" s="22" t="n">
        <x:f>100*F616/G616</x:f>
        <x:v>100.15609102036444</x:v>
      </x:c>
      <x:c r="I616" s="24" t="n">
        <x:f>H616/100-1</x:f>
        <x:v>0.001560910203644461</x:v>
      </x:c>
      <x:c r="J616" s="26" t="n">
        <x:v>4</x:v>
      </x:c>
      <x:c r="K616" s="7" t="b">
        <x:v>0</x:v>
      </x:c>
      <x:c r="L616" s="2" t="str">
        <x:v>May 2026</x:v>
      </x:c>
      <x:c r="M616" s="2" t="str">
        <x:v>https://www.genaiadoptiontracker.com/</x:v>
      </x:c>
    </x:row>
    <x:row r="617" ht="24" customHeight="1">
      <x:c r="A617" s="2" t="str">
        <x:v>RPS</x:v>
      </x:c>
      <x:c r="B617" s="2" t="str">
        <x:v>Quartiles</x:v>
      </x:c>
      <x:c r="C617" s="2" t="str">
        <x:v>Q4</x:v>
      </x:c>
      <x:c r="D617" s="28" t="n">
        <x:v>45870</x:v>
      </x:c>
      <x:c r="E617" s="2" t="str">
        <x:v>2025Q3</x:v>
      </x:c>
      <x:c r="F617" s="20" t="n">
        <x:v>29027.9</x:v>
      </x:c>
      <x:c r="G617" s="20" t="n">
        <x:f>'Quarterly data'!$E$163</x:f>
        <x:v>29165.6666666667</x:v>
      </x:c>
      <x:c r="H617" s="22" t="n">
        <x:f>100*F617/G617</x:f>
        <x:v>99.52764094768952</x:v>
      </x:c>
      <x:c r="I617" s="24" t="n">
        <x:f>H617/100-1</x:f>
        <x:v>-0.0047235905231047814</x:v>
      </x:c>
      <x:c r="J617" s="26" t="n">
        <x:v>5</x:v>
      </x:c>
      <x:c r="K617" s="7" t="b">
        <x:v>0</x:v>
      </x:c>
      <x:c r="L617" s="2" t="str">
        <x:v>May 2026</x:v>
      </x:c>
      <x:c r="M617" s="2" t="str">
        <x:v>https://www.genaiadoptiontracker.com/</x:v>
      </x:c>
    </x:row>
    <x:row r="618" ht="24" customHeight="1">
      <x:c r="A618" s="2" t="str">
        <x:v>RPS</x:v>
      </x:c>
      <x:c r="B618" s="2" t="str">
        <x:v>Quartiles</x:v>
      </x:c>
      <x:c r="C618" s="2" t="str">
        <x:v>Q1</x:v>
      </x:c>
      <x:c r="D618" s="28" t="n">
        <x:v>45901</x:v>
      </x:c>
      <x:c r="E618" s="2" t="str">
        <x:v>2025Q3</x:v>
      </x:c>
      <x:c r="F618" s="20" t="n">
        <x:v>30096.6</x:v>
      </x:c>
      <x:c r="G618" s="20" t="n">
        <x:f>'Quarterly data'!$E$160</x:f>
        <x:v>29377.5333333333</x:v>
      </x:c>
      <x:c r="H618" s="22" t="n">
        <x:f>100*F618/G618</x:f>
        <x:v>102.44767543451583</x:v>
      </x:c>
      <x:c r="I618" s="24" t="n">
        <x:f>H618/100-1</x:f>
        <x:v>0.02447675434515828</x:v>
      </x:c>
      <x:c r="J618" s="26" t="n">
        <x:v>5</x:v>
      </x:c>
      <x:c r="K618" s="7" t="b">
        <x:v>0</x:v>
      </x:c>
      <x:c r="L618" s="2" t="str">
        <x:v>May 2026</x:v>
      </x:c>
      <x:c r="M618" s="2" t="str">
        <x:v>https://www.genaiadoptiontracker.com/</x:v>
      </x:c>
    </x:row>
    <x:row r="619" ht="24" customHeight="1">
      <x:c r="A619" s="2" t="str">
        <x:v>RPS</x:v>
      </x:c>
      <x:c r="B619" s="2" t="str">
        <x:v>Quartiles</x:v>
      </x:c>
      <x:c r="C619" s="2" t="str">
        <x:v>Q2</x:v>
      </x:c>
      <x:c r="D619" s="28" t="n">
        <x:v>45901</x:v>
      </x:c>
      <x:c r="E619" s="2" t="str">
        <x:v>2025Q3</x:v>
      </x:c>
      <x:c r="F619" s="20" t="n">
        <x:v>56116.7</x:v>
      </x:c>
      <x:c r="G619" s="20" t="n">
        <x:f>'Quarterly data'!$E$161</x:f>
        <x:v>54180.2666666667</x:v>
      </x:c>
      <x:c r="H619" s="22" t="n">
        <x:f>100*F619/G619</x:f>
        <x:v>103.57405648304912</x:v>
      </x:c>
      <x:c r="I619" s="24" t="n">
        <x:f>H619/100-1</x:f>
        <x:v>0.03574056483049115</x:v>
      </x:c>
      <x:c r="J619" s="26" t="n">
        <x:v>4</x:v>
      </x:c>
      <x:c r="K619" s="7" t="b">
        <x:v>0</x:v>
      </x:c>
      <x:c r="L619" s="2" t="str">
        <x:v>May 2026</x:v>
      </x:c>
      <x:c r="M619" s="2" t="str">
        <x:v>https://www.genaiadoptiontracker.com/</x:v>
      </x:c>
    </x:row>
    <x:row r="620" ht="24" customHeight="1">
      <x:c r="A620" s="2" t="str">
        <x:v>RPS</x:v>
      </x:c>
      <x:c r="B620" s="2" t="str">
        <x:v>Quartiles</x:v>
      </x:c>
      <x:c r="C620" s="2" t="str">
        <x:v>Q3</x:v>
      </x:c>
      <x:c r="D620" s="28" t="n">
        <x:v>45901</x:v>
      </x:c>
      <x:c r="E620" s="2" t="str">
        <x:v>2025Q3</x:v>
      </x:c>
      <x:c r="F620" s="20" t="n">
        <x:v>19715</x:v>
      </x:c>
      <x:c r="G620" s="20" t="n">
        <x:f>'Quarterly data'!$E$162</x:f>
        <x:v>19689.3666666667</x:v>
      </x:c>
      <x:c r="H620" s="22" t="n">
        <x:f>100*F620/G620</x:f>
        <x:v>100.13018871438204</x:v>
      </x:c>
      <x:c r="I620" s="24" t="n">
        <x:f>H620/100-1</x:f>
        <x:v>0.0013018871438204016</x:v>
      </x:c>
      <x:c r="J620" s="26" t="n">
        <x:v>4</x:v>
      </x:c>
      <x:c r="K620" s="7" t="b">
        <x:v>0</x:v>
      </x:c>
      <x:c r="L620" s="2" t="str">
        <x:v>May 2026</x:v>
      </x:c>
      <x:c r="M620" s="2" t="str">
        <x:v>https://www.genaiadoptiontracker.com/</x:v>
      </x:c>
    </x:row>
    <x:row r="621" ht="24" customHeight="1">
      <x:c r="A621" s="2" t="str">
        <x:v>RPS</x:v>
      </x:c>
      <x:c r="B621" s="2" t="str">
        <x:v>Quartiles</x:v>
      </x:c>
      <x:c r="C621" s="2" t="str">
        <x:v>Q4</x:v>
      </x:c>
      <x:c r="D621" s="28" t="n">
        <x:v>45901</x:v>
      </x:c>
      <x:c r="E621" s="2" t="str">
        <x:v>2025Q3</x:v>
      </x:c>
      <x:c r="F621" s="20" t="n">
        <x:v>29037.1</x:v>
      </x:c>
      <x:c r="G621" s="20" t="n">
        <x:f>'Quarterly data'!$E$163</x:f>
        <x:v>29165.6666666667</x:v>
      </x:c>
      <x:c r="H621" s="22" t="n">
        <x:f>100*F621/G621</x:f>
        <x:v>99.55918488633884</x:v>
      </x:c>
      <x:c r="I621" s="24" t="n">
        <x:f>H621/100-1</x:f>
        <x:v>-0.004408151136611638</x:v>
      </x:c>
      <x:c r="J621" s="26" t="n">
        <x:v>5</x:v>
      </x:c>
      <x:c r="K621" s="7" t="b">
        <x:v>0</x:v>
      </x:c>
      <x:c r="L621" s="2" t="str">
        <x:v>May 2026</x:v>
      </x:c>
      <x:c r="M621" s="2" t="str">
        <x:v>https://www.genaiadoptiontracker.com/</x:v>
      </x:c>
    </x:row>
    <x:row r="622" ht="24" customHeight="1">
      <x:c r="A622" s="2" t="str">
        <x:v>RPS</x:v>
      </x:c>
      <x:c r="B622" s="2" t="str">
        <x:v>Quartiles</x:v>
      </x:c>
      <x:c r="C622" s="2" t="str">
        <x:v>Q1</x:v>
      </x:c>
      <x:c r="D622" s="28" t="n">
        <x:v>45931</x:v>
      </x:c>
      <x:c r="E622" s="2" t="str">
        <x:v>2025Q4</x:v>
      </x:c>
      <x:c r="F622" s="20" t="n">
        <x:v>30133.7</x:v>
      </x:c>
      <x:c r="G622" s="20" t="n">
        <x:f>'Quarterly data'!$E$160</x:f>
        <x:v>29377.5333333333</x:v>
      </x:c>
      <x:c r="H622" s="22" t="n">
        <x:f>100*F622/G622</x:f>
        <x:v>102.5739624157237</x:v>
      </x:c>
      <x:c r="I622" s="24" t="n">
        <x:f>H622/100-1</x:f>
        <x:v>0.025739624157236962</x:v>
      </x:c>
      <x:c r="J622" s="26" t="n">
        <x:v>5</x:v>
      </x:c>
      <x:c r="K622" s="7" t="b">
        <x:v>0</x:v>
      </x:c>
      <x:c r="L622" s="2" t="str">
        <x:v>May 2026</x:v>
      </x:c>
      <x:c r="M622" s="2" t="str">
        <x:v>https://www.genaiadoptiontracker.com/</x:v>
      </x:c>
    </x:row>
    <x:row r="623" ht="24" customHeight="1">
      <x:c r="A623" s="2" t="str">
        <x:v>RPS</x:v>
      </x:c>
      <x:c r="B623" s="2" t="str">
        <x:v>Quartiles</x:v>
      </x:c>
      <x:c r="C623" s="2" t="str">
        <x:v>Q2</x:v>
      </x:c>
      <x:c r="D623" s="28" t="n">
        <x:v>45931</x:v>
      </x:c>
      <x:c r="E623" s="2" t="str">
        <x:v>2025Q4</x:v>
      </x:c>
      <x:c r="F623" s="20" t="n">
        <x:v>56122.7</x:v>
      </x:c>
      <x:c r="G623" s="20" t="n">
        <x:f>'Quarterly data'!$E$161</x:f>
        <x:v>54180.2666666667</x:v>
      </x:c>
      <x:c r="H623" s="22" t="n">
        <x:f>100*F623/G623</x:f>
        <x:v>103.58513062566439</x:v>
      </x:c>
      <x:c r="I623" s="24" t="n">
        <x:f>H623/100-1</x:f>
        <x:v>0.0358513062566439</x:v>
      </x:c>
      <x:c r="J623" s="26" t="n">
        <x:v>4</x:v>
      </x:c>
      <x:c r="K623" s="7" t="b">
        <x:v>0</x:v>
      </x:c>
      <x:c r="L623" s="2" t="str">
        <x:v>May 2026</x:v>
      </x:c>
      <x:c r="M623" s="2" t="str">
        <x:v>https://www.genaiadoptiontracker.com/</x:v>
      </x:c>
    </x:row>
    <x:row r="624" ht="24" customHeight="1">
      <x:c r="A624" s="2" t="str">
        <x:v>RPS</x:v>
      </x:c>
      <x:c r="B624" s="2" t="str">
        <x:v>Quartiles</x:v>
      </x:c>
      <x:c r="C624" s="2" t="str">
        <x:v>Q3</x:v>
      </x:c>
      <x:c r="D624" s="28" t="n">
        <x:v>45931</x:v>
      </x:c>
      <x:c r="E624" s="2" t="str">
        <x:v>2025Q4</x:v>
      </x:c>
      <x:c r="F624" s="20" t="n">
        <x:v>19697.9</x:v>
      </x:c>
      <x:c r="G624" s="20" t="n">
        <x:f>'Quarterly data'!$E$162</x:f>
        <x:v>19689.3666666667</x:v>
      </x:c>
      <x:c r="H624" s="22" t="n">
        <x:f>100*F624/G624</x:f>
        <x:v>100.04333980608806</x:v>
      </x:c>
      <x:c r="I624" s="24" t="n">
        <x:f>H624/100-1</x:f>
        <x:v>0.0004333980608806076</x:v>
      </x:c>
      <x:c r="J624" s="26" t="n">
        <x:v>4</x:v>
      </x:c>
      <x:c r="K624" s="7" t="b">
        <x:v>0</x:v>
      </x:c>
      <x:c r="L624" s="2" t="str">
        <x:v>May 2026</x:v>
      </x:c>
      <x:c r="M624" s="2" t="str">
        <x:v>https://www.genaiadoptiontracker.com/</x:v>
      </x:c>
    </x:row>
    <x:row r="625" ht="24" customHeight="1">
      <x:c r="A625" s="2" t="str">
        <x:v>RPS</x:v>
      </x:c>
      <x:c r="B625" s="2" t="str">
        <x:v>Quartiles</x:v>
      </x:c>
      <x:c r="C625" s="2" t="str">
        <x:v>Q4</x:v>
      </x:c>
      <x:c r="D625" s="28" t="n">
        <x:v>45931</x:v>
      </x:c>
      <x:c r="E625" s="2" t="str">
        <x:v>2025Q4</x:v>
      </x:c>
      <x:c r="F625" s="20" t="n">
        <x:v>29024.7</x:v>
      </x:c>
      <x:c r="G625" s="20" t="n">
        <x:f>'Quarterly data'!$E$163</x:f>
        <x:v>29165.6666666667</x:v>
      </x:c>
      <x:c r="H625" s="22" t="n">
        <x:f>100*F625/G625</x:f>
        <x:v>99.51666914294192</x:v>
      </x:c>
      <x:c r="I625" s="24" t="n">
        <x:f>H625/100-1</x:f>
        <x:v>-0.00483330857058073</x:v>
      </x:c>
      <x:c r="J625" s="26" t="n">
        <x:v>5</x:v>
      </x:c>
      <x:c r="K625" s="7" t="b">
        <x:v>0</x:v>
      </x:c>
      <x:c r="L625" s="2" t="str">
        <x:v>May 2026</x:v>
      </x:c>
      <x:c r="M625" s="2" t="str">
        <x:v>https://www.genaiadoptiontracker.com/</x:v>
      </x:c>
    </x:row>
    <x:row r="626" ht="24" customHeight="1">
      <x:c r="A626" s="2" t="str">
        <x:v>RPS</x:v>
      </x:c>
      <x:c r="B626" s="2" t="str">
        <x:v>Quartiles</x:v>
      </x:c>
      <x:c r="C626" s="2" t="str">
        <x:v>Q1</x:v>
      </x:c>
      <x:c r="D626" s="28" t="n">
        <x:v>45962</x:v>
      </x:c>
      <x:c r="E626" s="2" t="str">
        <x:v>2025Q4</x:v>
      </x:c>
      <x:c r="F626" s="20" t="n">
        <x:v>30078.2</x:v>
      </x:c>
      <x:c r="G626" s="20" t="n">
        <x:f>'Quarterly data'!$E$160</x:f>
        <x:v>29377.5333333333</x:v>
      </x:c>
      <x:c r="H626" s="22" t="n">
        <x:f>100*F626/G626</x:f>
        <x:v>102.38504253817554</x:v>
      </x:c>
      <x:c r="I626" s="24" t="n">
        <x:f>H626/100-1</x:f>
        <x:v>0.023850425381755302</x:v>
      </x:c>
      <x:c r="J626" s="26" t="n">
        <x:v>5</x:v>
      </x:c>
      <x:c r="K626" s="7" t="b">
        <x:v>0</x:v>
      </x:c>
      <x:c r="L626" s="2" t="str">
        <x:v>May 2026</x:v>
      </x:c>
      <x:c r="M626" s="2" t="str">
        <x:v>https://www.genaiadoptiontracker.com/</x:v>
      </x:c>
    </x:row>
    <x:row r="627" ht="24" customHeight="1">
      <x:c r="A627" s="2" t="str">
        <x:v>RPS</x:v>
      </x:c>
      <x:c r="B627" s="2" t="str">
        <x:v>Quartiles</x:v>
      </x:c>
      <x:c r="C627" s="2" t="str">
        <x:v>Q2</x:v>
      </x:c>
      <x:c r="D627" s="28" t="n">
        <x:v>45962</x:v>
      </x:c>
      <x:c r="E627" s="2" t="str">
        <x:v>2025Q4</x:v>
      </x:c>
      <x:c r="F627" s="20" t="n">
        <x:v>56235.7</x:v>
      </x:c>
      <x:c r="G627" s="20" t="n">
        <x:f>'Quarterly data'!$E$161</x:f>
        <x:v>54180.2666666667</x:v>
      </x:c>
      <x:c r="H627" s="22" t="n">
        <x:f>100*F627/G627</x:f>
        <x:v>103.79369364491863</x:v>
      </x:c>
      <x:c r="I627" s="24" t="n">
        <x:f>H627/100-1</x:f>
        <x:v>0.03793693644918639</x:v>
      </x:c>
      <x:c r="J627" s="26" t="n">
        <x:v>4</x:v>
      </x:c>
      <x:c r="K627" s="7" t="b">
        <x:v>0</x:v>
      </x:c>
      <x:c r="L627" s="2" t="str">
        <x:v>May 2026</x:v>
      </x:c>
      <x:c r="M627" s="2" t="str">
        <x:v>https://www.genaiadoptiontracker.com/</x:v>
      </x:c>
    </x:row>
    <x:row r="628" ht="24" customHeight="1">
      <x:c r="A628" s="2" t="str">
        <x:v>RPS</x:v>
      </x:c>
      <x:c r="B628" s="2" t="str">
        <x:v>Quartiles</x:v>
      </x:c>
      <x:c r="C628" s="2" t="str">
        <x:v>Q3</x:v>
      </x:c>
      <x:c r="D628" s="28" t="n">
        <x:v>45962</x:v>
      </x:c>
      <x:c r="E628" s="2" t="str">
        <x:v>2025Q4</x:v>
      </x:c>
      <x:c r="F628" s="20" t="n">
        <x:v>19690.1</x:v>
      </x:c>
      <x:c r="G628" s="20" t="n">
        <x:f>'Quarterly data'!$E$162</x:f>
        <x:v>19689.3666666667</x:v>
      </x:c>
      <x:c r="H628" s="22" t="n">
        <x:f>100*F628/G628</x:f>
        <x:v>100.00372451458551</x:v>
      </x:c>
      <x:c r="I628" s="24" t="n">
        <x:f>H628/100-1</x:f>
        <x:v>0.00003724514585523586</x:v>
      </x:c>
      <x:c r="J628" s="26" t="n">
        <x:v>4</x:v>
      </x:c>
      <x:c r="K628" s="7" t="b">
        <x:v>0</x:v>
      </x:c>
      <x:c r="L628" s="2" t="str">
        <x:v>May 2026</x:v>
      </x:c>
      <x:c r="M628" s="2" t="str">
        <x:v>https://www.genaiadoptiontracker.com/</x:v>
      </x:c>
    </x:row>
    <x:row r="629" ht="24" customHeight="1">
      <x:c r="A629" s="2" t="str">
        <x:v>RPS</x:v>
      </x:c>
      <x:c r="B629" s="2" t="str">
        <x:v>Quartiles</x:v>
      </x:c>
      <x:c r="C629" s="2" t="str">
        <x:v>Q4</x:v>
      </x:c>
      <x:c r="D629" s="28" t="n">
        <x:v>45962</x:v>
      </x:c>
      <x:c r="E629" s="2" t="str">
        <x:v>2025Q4</x:v>
      </x:c>
      <x:c r="F629" s="20" t="n">
        <x:v>29048.7</x:v>
      </x:c>
      <x:c r="G629" s="20" t="n">
        <x:f>'Quarterly data'!$E$163</x:f>
        <x:v>29165.6666666667</x:v>
      </x:c>
      <x:c r="H629" s="22" t="n">
        <x:f>100*F629/G629</x:f>
        <x:v>99.59895767854886</x:v>
      </x:c>
      <x:c r="I629" s="24" t="n">
        <x:f>H629/100-1</x:f>
        <x:v>-0.004010423214511394</x:v>
      </x:c>
      <x:c r="J629" s="26" t="n">
        <x:v>5</x:v>
      </x:c>
      <x:c r="K629" s="7" t="b">
        <x:v>0</x:v>
      </x:c>
      <x:c r="L629" s="2" t="str">
        <x:v>May 2026</x:v>
      </x:c>
      <x:c r="M629" s="2" t="str">
        <x:v>https://www.genaiadoptiontracker.com/</x:v>
      </x:c>
    </x:row>
    <x:row r="630" ht="24" customHeight="1">
      <x:c r="A630" s="2" t="str">
        <x:v>RPS</x:v>
      </x:c>
      <x:c r="B630" s="2" t="str">
        <x:v>Quartiles</x:v>
      </x:c>
      <x:c r="C630" s="2" t="str">
        <x:v>Q1</x:v>
      </x:c>
      <x:c r="D630" s="28" t="n">
        <x:v>45992</x:v>
      </x:c>
      <x:c r="E630" s="2" t="str">
        <x:v>2025Q4</x:v>
      </x:c>
      <x:c r="F630" s="20" t="n">
        <x:v>30106</x:v>
      </x:c>
      <x:c r="G630" s="20" t="n">
        <x:f>'Quarterly data'!$E$160</x:f>
        <x:v>29377.5333333333</x:v>
      </x:c>
      <x:c r="H630" s="22" t="n">
        <x:f>100*F630/G630</x:f>
        <x:v>102.4796726750375</x:v>
      </x:c>
      <x:c r="I630" s="24" t="n">
        <x:f>H630/100-1</x:f>
        <x:v>0.02479672675037503</x:v>
      </x:c>
      <x:c r="J630" s="26" t="n">
        <x:v>5</x:v>
      </x:c>
      <x:c r="K630" s="7" t="b">
        <x:v>0</x:v>
      </x:c>
      <x:c r="L630" s="2" t="str">
        <x:v>May 2026</x:v>
      </x:c>
      <x:c r="M630" s="2" t="str">
        <x:v>https://www.genaiadoptiontracker.com/</x:v>
      </x:c>
    </x:row>
    <x:row r="631" ht="24" customHeight="1">
      <x:c r="A631" s="2" t="str">
        <x:v>RPS</x:v>
      </x:c>
      <x:c r="B631" s="2" t="str">
        <x:v>Quartiles</x:v>
      </x:c>
      <x:c r="C631" s="2" t="str">
        <x:v>Q2</x:v>
      </x:c>
      <x:c r="D631" s="28" t="n">
        <x:v>45992</x:v>
      </x:c>
      <x:c r="E631" s="2" t="str">
        <x:v>2025Q4</x:v>
      </x:c>
      <x:c r="F631" s="20" t="n">
        <x:v>56238</x:v>
      </x:c>
      <x:c r="G631" s="20" t="n">
        <x:f>'Quarterly data'!$E$161</x:f>
        <x:v>54180.2666666667</x:v>
      </x:c>
      <x:c r="H631" s="22" t="n">
        <x:f>100*F631/G631</x:f>
        <x:v>103.79793873292115</x:v>
      </x:c>
      <x:c r="I631" s="24" t="n">
        <x:f>H631/100-1</x:f>
        <x:v>0.03797938732921158</x:v>
      </x:c>
      <x:c r="J631" s="26" t="n">
        <x:v>4</x:v>
      </x:c>
      <x:c r="K631" s="7" t="b">
        <x:v>0</x:v>
      </x:c>
      <x:c r="L631" s="2" t="str">
        <x:v>May 2026</x:v>
      </x:c>
      <x:c r="M631" s="2" t="str">
        <x:v>https://www.genaiadoptiontracker.com/</x:v>
      </x:c>
    </x:row>
    <x:row r="632" ht="24" customHeight="1">
      <x:c r="A632" s="2" t="str">
        <x:v>RPS</x:v>
      </x:c>
      <x:c r="B632" s="2" t="str">
        <x:v>Quartiles</x:v>
      </x:c>
      <x:c r="C632" s="2" t="str">
        <x:v>Q3</x:v>
      </x:c>
      <x:c r="D632" s="28" t="n">
        <x:v>45992</x:v>
      </x:c>
      <x:c r="E632" s="2" t="str">
        <x:v>2025Q4</x:v>
      </x:c>
      <x:c r="F632" s="20" t="n">
        <x:v>19675.5</x:v>
      </x:c>
      <x:c r="G632" s="20" t="n">
        <x:f>'Quarterly data'!$E$162</x:f>
        <x:v>19689.3666666667</x:v>
      </x:c>
      <x:c r="H632" s="22" t="n">
        <x:f>100*F632/G632</x:f>
        <x:v>99.92957281510645</x:v>
      </x:c>
      <x:c r="I632" s="24" t="n">
        <x:f>H632/100-1</x:f>
        <x:v>-0.0007042718489355115</x:v>
      </x:c>
      <x:c r="J632" s="26" t="n">
        <x:v>4</x:v>
      </x:c>
      <x:c r="K632" s="7" t="b">
        <x:v>0</x:v>
      </x:c>
      <x:c r="L632" s="2" t="str">
        <x:v>May 2026</x:v>
      </x:c>
      <x:c r="M632" s="2" t="str">
        <x:v>https://www.genaiadoptiontracker.com/</x:v>
      </x:c>
    </x:row>
    <x:row r="633" ht="24" customHeight="1">
      <x:c r="A633" s="2" t="str">
        <x:v>RPS</x:v>
      </x:c>
      <x:c r="B633" s="2" t="str">
        <x:v>Quartiles</x:v>
      </x:c>
      <x:c r="C633" s="2" t="str">
        <x:v>Q4</x:v>
      </x:c>
      <x:c r="D633" s="28" t="n">
        <x:v>45992</x:v>
      </x:c>
      <x:c r="E633" s="2" t="str">
        <x:v>2025Q4</x:v>
      </x:c>
      <x:c r="F633" s="20" t="n">
        <x:v>29025.3</x:v>
      </x:c>
      <x:c r="G633" s="20" t="n">
        <x:f>'Quarterly data'!$E$163</x:f>
        <x:v>29165.6666666667</x:v>
      </x:c>
      <x:c r="H633" s="22" t="n">
        <x:f>100*F633/G633</x:f>
        <x:v>99.5187263563321</x:v>
      </x:c>
      <x:c r="I633" s="24" t="n">
        <x:f>H633/100-1</x:f>
        <x:v>-0.00481273643667901</x:v>
      </x:c>
      <x:c r="J633" s="26" t="n">
        <x:v>5</x:v>
      </x:c>
      <x:c r="K633" s="7" t="b">
        <x:v>0</x:v>
      </x:c>
      <x:c r="L633" s="2" t="str">
        <x:v>May 2026</x:v>
      </x:c>
      <x:c r="M633" s="2" t="str">
        <x:v>https://www.genaiadoptiontracker.com/</x:v>
      </x:c>
    </x:row>
    <x:row r="634" ht="24" customHeight="1">
      <x:c r="A634" s="2" t="str">
        <x:v>RPS</x:v>
      </x:c>
      <x:c r="B634" s="2" t="str">
        <x:v>Quartiles</x:v>
      </x:c>
      <x:c r="C634" s="2" t="str">
        <x:v>Q1</x:v>
      </x:c>
      <x:c r="D634" s="28" t="n">
        <x:v>46023</x:v>
      </x:c>
      <x:c r="E634" s="2" t="str">
        <x:v>2026Q1</x:v>
      </x:c>
      <x:c r="F634" s="20" t="n">
        <x:v>30134.5</x:v>
      </x:c>
      <x:c r="G634" s="20" t="n">
        <x:f>'Quarterly data'!$E$160</x:f>
        <x:v>29377.5333333333</x:v>
      </x:c>
      <x:c r="H634" s="22" t="n">
        <x:f>100*F634/G634</x:f>
        <x:v>102.5766855851298</x:v>
      </x:c>
      <x:c r="I634" s="24" t="n">
        <x:f>H634/100-1</x:f>
        <x:v>0.02576685585129801</x:v>
      </x:c>
      <x:c r="J634" s="26" t="n">
        <x:v>5</x:v>
      </x:c>
      <x:c r="K634" s="7" t="b">
        <x:v>0</x:v>
      </x:c>
      <x:c r="L634" s="2" t="str">
        <x:v>May 2026</x:v>
      </x:c>
      <x:c r="M634" s="2" t="str">
        <x:v>https://www.genaiadoptiontracker.com/</x:v>
      </x:c>
    </x:row>
    <x:row r="635" ht="24" customHeight="1">
      <x:c r="A635" s="2" t="str">
        <x:v>RPS</x:v>
      </x:c>
      <x:c r="B635" s="2" t="str">
        <x:v>Quartiles</x:v>
      </x:c>
      <x:c r="C635" s="2" t="str">
        <x:v>Q2</x:v>
      </x:c>
      <x:c r="D635" s="28" t="n">
        <x:v>46023</x:v>
      </x:c>
      <x:c r="E635" s="2" t="str">
        <x:v>2026Q1</x:v>
      </x:c>
      <x:c r="F635" s="20" t="n">
        <x:v>56435.8</x:v>
      </x:c>
      <x:c r="G635" s="20" t="n">
        <x:f>'Quarterly data'!$E$161</x:f>
        <x:v>54180.2666666667</x:v>
      </x:c>
      <x:c r="H635" s="22" t="n">
        <x:f>100*F635/G635</x:f>
        <x:v>104.16301630113787</x:v>
      </x:c>
      <x:c r="I635" s="24" t="n">
        <x:f>H635/100-1</x:f>
        <x:v>0.041630163011378674</x:v>
      </x:c>
      <x:c r="J635" s="26" t="n">
        <x:v>4</x:v>
      </x:c>
      <x:c r="K635" s="7" t="b">
        <x:v>0</x:v>
      </x:c>
      <x:c r="L635" s="2" t="str">
        <x:v>May 2026</x:v>
      </x:c>
      <x:c r="M635" s="2" t="str">
        <x:v>https://www.genaiadoptiontracker.com/</x:v>
      </x:c>
    </x:row>
    <x:row r="636" ht="24" customHeight="1">
      <x:c r="A636" s="2" t="str">
        <x:v>RPS</x:v>
      </x:c>
      <x:c r="B636" s="2" t="str">
        <x:v>Quartiles</x:v>
      </x:c>
      <x:c r="C636" s="2" t="str">
        <x:v>Q3</x:v>
      </x:c>
      <x:c r="D636" s="28" t="n">
        <x:v>46023</x:v>
      </x:c>
      <x:c r="E636" s="2" t="str">
        <x:v>2026Q1</x:v>
      </x:c>
      <x:c r="F636" s="20" t="n">
        <x:v>19675.5</x:v>
      </x:c>
      <x:c r="G636" s="20" t="n">
        <x:f>'Quarterly data'!$E$162</x:f>
        <x:v>19689.3666666667</x:v>
      </x:c>
      <x:c r="H636" s="22" t="n">
        <x:f>100*F636/G636</x:f>
        <x:v>99.92957281510645</x:v>
      </x:c>
      <x:c r="I636" s="24" t="n">
        <x:f>H636/100-1</x:f>
        <x:v>-0.0007042718489355115</x:v>
      </x:c>
      <x:c r="J636" s="26" t="n">
        <x:v>4</x:v>
      </x:c>
      <x:c r="K636" s="7" t="b">
        <x:v>0</x:v>
      </x:c>
      <x:c r="L636" s="2" t="str">
        <x:v>May 2026</x:v>
      </x:c>
      <x:c r="M636" s="2" t="str">
        <x:v>https://www.genaiadoptiontracker.com/</x:v>
      </x:c>
    </x:row>
    <x:row r="637" ht="24" customHeight="1">
      <x:c r="A637" s="2" t="str">
        <x:v>RPS</x:v>
      </x:c>
      <x:c r="B637" s="2" t="str">
        <x:v>Quartiles</x:v>
      </x:c>
      <x:c r="C637" s="2" t="str">
        <x:v>Q4</x:v>
      </x:c>
      <x:c r="D637" s="28" t="n">
        <x:v>46023</x:v>
      </x:c>
      <x:c r="E637" s="2" t="str">
        <x:v>2026Q1</x:v>
      </x:c>
      <x:c r="F637" s="20" t="n">
        <x:v>28980</x:v>
      </x:c>
      <x:c r="G637" s="20" t="n">
        <x:f>'Quarterly data'!$E$163</x:f>
        <x:v>29165.6666666667</x:v>
      </x:c>
      <x:c r="H637" s="22" t="n">
        <x:f>100*F637/G637</x:f>
        <x:v>99.36340674537401</x:v>
      </x:c>
      <x:c r="I637" s="24" t="n">
        <x:f>H637/100-1</x:f>
        <x:v>-0.006365932546259945</x:v>
      </x:c>
      <x:c r="J637" s="26" t="n">
        <x:v>5</x:v>
      </x:c>
      <x:c r="K637" s="7" t="b">
        <x:v>0</x:v>
      </x:c>
      <x:c r="L637" s="2" t="str">
        <x:v>May 2026</x:v>
      </x:c>
      <x:c r="M637" s="2" t="str">
        <x:v>https://www.genaiadoptiontracker.com/</x:v>
      </x:c>
    </x:row>
    <x:row r="638" ht="24" customHeight="1">
      <x:c r="A638" s="2" t="str">
        <x:v>RPS</x:v>
      </x:c>
      <x:c r="B638" s="2" t="str">
        <x:v>Quartiles</x:v>
      </x:c>
      <x:c r="C638" s="2" t="str">
        <x:v>Q1</x:v>
      </x:c>
      <x:c r="D638" s="28" t="n">
        <x:v>46054</x:v>
      </x:c>
      <x:c r="E638" s="2" t="str">
        <x:v>2026Q1</x:v>
      </x:c>
      <x:c r="F638" s="20" t="n">
        <x:v>30064.6</x:v>
      </x:c>
      <x:c r="G638" s="20" t="n">
        <x:f>'Quarterly data'!$E$160</x:f>
        <x:v>29377.5333333333</x:v>
      </x:c>
      <x:c r="H638" s="22" t="n">
        <x:f>100*F638/G638</x:f>
        <x:v>102.33874865827185</x:v>
      </x:c>
      <x:c r="I638" s="24" t="n">
        <x:f>H638/100-1</x:f>
        <x:v>0.02338748658271861</x:v>
      </x:c>
      <x:c r="J638" s="26" t="n">
        <x:v>5</x:v>
      </x:c>
      <x:c r="K638" s="7" t="b">
        <x:v>0</x:v>
      </x:c>
      <x:c r="L638" s="2" t="str">
        <x:v>May 2026</x:v>
      </x:c>
      <x:c r="M638" s="2" t="str">
        <x:v>https://www.genaiadoptiontracker.com/</x:v>
      </x:c>
    </x:row>
    <x:row r="639" ht="24" customHeight="1">
      <x:c r="A639" s="2" t="str">
        <x:v>RPS</x:v>
      </x:c>
      <x:c r="B639" s="2" t="str">
        <x:v>Quartiles</x:v>
      </x:c>
      <x:c r="C639" s="2" t="str">
        <x:v>Q2</x:v>
      </x:c>
      <x:c r="D639" s="28" t="n">
        <x:v>46054</x:v>
      </x:c>
      <x:c r="E639" s="2" t="str">
        <x:v>2026Q1</x:v>
      </x:c>
      <x:c r="F639" s="20" t="n">
        <x:v>56370</x:v>
      </x:c>
      <x:c r="G639" s="20" t="n">
        <x:f>'Quarterly data'!$E$161</x:f>
        <x:v>54180.2666666667</x:v>
      </x:c>
      <x:c r="H639" s="22" t="n">
        <x:f>100*F639/G639</x:f>
        <x:v>104.04156987045708</x:v>
      </x:c>
      <x:c r="I639" s="24" t="n">
        <x:f>H639/100-1</x:f>
        <x:v>0.040415698704570735</x:v>
      </x:c>
      <x:c r="J639" s="26" t="n">
        <x:v>4</x:v>
      </x:c>
      <x:c r="K639" s="7" t="b">
        <x:v>0</x:v>
      </x:c>
      <x:c r="L639" s="2" t="str">
        <x:v>May 2026</x:v>
      </x:c>
      <x:c r="M639" s="2" t="str">
        <x:v>https://www.genaiadoptiontracker.com/</x:v>
      </x:c>
    </x:row>
    <x:row r="640" ht="24" customHeight="1">
      <x:c r="A640" s="2" t="str">
        <x:v>RPS</x:v>
      </x:c>
      <x:c r="B640" s="2" t="str">
        <x:v>Quartiles</x:v>
      </x:c>
      <x:c r="C640" s="2" t="str">
        <x:v>Q3</x:v>
      </x:c>
      <x:c r="D640" s="28" t="n">
        <x:v>46054</x:v>
      </x:c>
      <x:c r="E640" s="2" t="str">
        <x:v>2026Q1</x:v>
      </x:c>
      <x:c r="F640" s="20" t="n">
        <x:v>19663.5</x:v>
      </x:c>
      <x:c r="G640" s="20" t="n">
        <x:f>'Quarterly data'!$E$162</x:f>
        <x:v>19689.3666666667</x:v>
      </x:c>
      <x:c r="H640" s="22" t="n">
        <x:f>100*F640/G640</x:f>
        <x:v>99.86862621279488</x:v>
      </x:c>
      <x:c r="I640" s="24" t="n">
        <x:f>H640/100-1</x:f>
        <x:v>-0.001313737872051246</x:v>
      </x:c>
      <x:c r="J640" s="26" t="n">
        <x:v>4</x:v>
      </x:c>
      <x:c r="K640" s="7" t="b">
        <x:v>0</x:v>
      </x:c>
      <x:c r="L640" s="2" t="str">
        <x:v>May 2026</x:v>
      </x:c>
      <x:c r="M640" s="2" t="str">
        <x:v>https://www.genaiadoptiontracker.com/</x:v>
      </x:c>
    </x:row>
    <x:row r="641" ht="24" customHeight="1">
      <x:c r="A641" s="2" t="str">
        <x:v>RPS</x:v>
      </x:c>
      <x:c r="B641" s="2" t="str">
        <x:v>Quartiles</x:v>
      </x:c>
      <x:c r="C641" s="2" t="str">
        <x:v>Q4</x:v>
      </x:c>
      <x:c r="D641" s="28" t="n">
        <x:v>46054</x:v>
      </x:c>
      <x:c r="E641" s="2" t="str">
        <x:v>2026Q1</x:v>
      </x:c>
      <x:c r="F641" s="20" t="n">
        <x:v>28980.7</x:v>
      </x:c>
      <x:c r="G641" s="20" t="n">
        <x:f>'Quarterly data'!$E$163</x:f>
        <x:v>29165.6666666667</x:v>
      </x:c>
      <x:c r="H641" s="22" t="n">
        <x:f>100*F641/G641</x:f>
        <x:v>99.36580682766255</x:v>
      </x:c>
      <x:c r="I641" s="24" t="n">
        <x:f>H641/100-1</x:f>
        <x:v>-0.006341931723374494</x:v>
      </x:c>
      <x:c r="J641" s="26" t="n">
        <x:v>5</x:v>
      </x:c>
      <x:c r="K641" s="7" t="b">
        <x:v>0</x:v>
      </x:c>
      <x:c r="L641" s="2" t="str">
        <x:v>May 2026</x:v>
      </x:c>
      <x:c r="M641" s="2" t="str">
        <x:v>https://www.genaiadoptiontracker.com/</x:v>
      </x:c>
    </x:row>
    <x:row r="642" ht="24" customHeight="1">
      <x:c r="A642" s="2" t="str">
        <x:v>RPS</x:v>
      </x:c>
      <x:c r="B642" s="2" t="str">
        <x:v>Quartiles</x:v>
      </x:c>
      <x:c r="C642" s="2" t="str">
        <x:v>Q1</x:v>
      </x:c>
      <x:c r="D642" s="28" t="n">
        <x:v>46082</x:v>
      </x:c>
      <x:c r="E642" s="2" t="str">
        <x:v>2026Q1</x:v>
      </x:c>
      <x:c r="F642" s="20" t="n">
        <x:v>30120.7</x:v>
      </x:c>
      <x:c r="G642" s="20" t="n">
        <x:f>'Quarterly data'!$E$160</x:f>
        <x:v>29377.5333333333</x:v>
      </x:c>
      <x:c r="H642" s="22" t="n">
        <x:f>100*F642/G642</x:f>
        <x:v>102.52971091287458</x:v>
      </x:c>
      <x:c r="I642" s="24" t="n">
        <x:f>H642/100-1</x:f>
        <x:v>0.02529710912874572</x:v>
      </x:c>
      <x:c r="J642" s="26" t="n">
        <x:v>5</x:v>
      </x:c>
      <x:c r="K642" s="7" t="b">
        <x:v>0</x:v>
      </x:c>
      <x:c r="L642" s="2" t="str">
        <x:v>May 2026</x:v>
      </x:c>
      <x:c r="M642" s="2" t="str">
        <x:v>https://www.genaiadoptiontracker.com/</x:v>
      </x:c>
    </x:row>
    <x:row r="643" ht="24" customHeight="1">
      <x:c r="A643" s="2" t="str">
        <x:v>RPS</x:v>
      </x:c>
      <x:c r="B643" s="2" t="str">
        <x:v>Quartiles</x:v>
      </x:c>
      <x:c r="C643" s="2" t="str">
        <x:v>Q2</x:v>
      </x:c>
      <x:c r="D643" s="28" t="n">
        <x:v>46082</x:v>
      </x:c>
      <x:c r="E643" s="2" t="str">
        <x:v>2026Q1</x:v>
      </x:c>
      <x:c r="F643" s="20" t="n">
        <x:v>56531.8</x:v>
      </x:c>
      <x:c r="G643" s="20" t="n">
        <x:f>'Quarterly data'!$E$161</x:f>
        <x:v>54180.2666666667</x:v>
      </x:c>
      <x:c r="H643" s="22" t="n">
        <x:f>100*F643/G643</x:f>
        <x:v>104.34020258298217</x:v>
      </x:c>
      <x:c r="I643" s="24" t="n">
        <x:f>H643/100-1</x:f>
        <x:v>0.04340202582982178</x:v>
      </x:c>
      <x:c r="J643" s="26" t="n">
        <x:v>4</x:v>
      </x:c>
      <x:c r="K643" s="7" t="b">
        <x:v>0</x:v>
      </x:c>
      <x:c r="L643" s="2" t="str">
        <x:v>May 2026</x:v>
      </x:c>
      <x:c r="M643" s="2" t="str">
        <x:v>https://www.genaiadoptiontracker.com/</x:v>
      </x:c>
    </x:row>
    <x:row r="644" ht="24" customHeight="1">
      <x:c r="A644" s="2" t="str">
        <x:v>RPS</x:v>
      </x:c>
      <x:c r="B644" s="2" t="str">
        <x:v>Quartiles</x:v>
      </x:c>
      <x:c r="C644" s="2" t="str">
        <x:v>Q3</x:v>
      </x:c>
      <x:c r="D644" s="28" t="n">
        <x:v>46082</x:v>
      </x:c>
      <x:c r="E644" s="2" t="str">
        <x:v>2026Q1</x:v>
      </x:c>
      <x:c r="F644" s="20" t="n">
        <x:v>19683.1</x:v>
      </x:c>
      <x:c r="G644" s="20" t="n">
        <x:f>'Quarterly data'!$E$162</x:f>
        <x:v>19689.3666666667</x:v>
      </x:c>
      <x:c r="H644" s="22" t="n">
        <x:f>100*F644/G644</x:f>
        <x:v>99.96817232990377</x:v>
      </x:c>
      <x:c r="I644" s="24" t="n">
        <x:f>H644/100-1</x:f>
        <x:v>-0.00031827670096229443</x:v>
      </x:c>
      <x:c r="J644" s="26" t="n">
        <x:v>4</x:v>
      </x:c>
      <x:c r="K644" s="7" t="b">
        <x:v>0</x:v>
      </x:c>
      <x:c r="L644" s="2" t="str">
        <x:v>May 2026</x:v>
      </x:c>
      <x:c r="M644" s="2" t="str">
        <x:v>https://www.genaiadoptiontracker.com/</x:v>
      </x:c>
    </x:row>
    <x:row r="645" ht="24" customHeight="1">
      <x:c r="A645" s="2" t="str">
        <x:v>RPS</x:v>
      </x:c>
      <x:c r="B645" s="2" t="str">
        <x:v>Quartiles</x:v>
      </x:c>
      <x:c r="C645" s="2" t="str">
        <x:v>Q4</x:v>
      </x:c>
      <x:c r="D645" s="28" t="n">
        <x:v>46082</x:v>
      </x:c>
      <x:c r="E645" s="2" t="str">
        <x:v>2026Q1</x:v>
      </x:c>
      <x:c r="F645" s="20" t="n">
        <x:v>28944.1</x:v>
      </x:c>
      <x:c r="G645" s="20" t="n">
        <x:f>'Quarterly data'!$E$163</x:f>
        <x:v>29165.6666666667</x:v>
      </x:c>
      <x:c r="H645" s="22" t="n">
        <x:f>100*F645/G645</x:f>
        <x:v>99.24031681086197</x:v>
      </x:c>
      <x:c r="I645" s="24" t="n">
        <x:f>H645/100-1</x:f>
        <x:v>-0.0075968318913802735</x:v>
      </x:c>
      <x:c r="J645" s="26" t="n">
        <x:v>5</x:v>
      </x:c>
      <x:c r="K645" s="7" t="b">
        <x:v>0</x:v>
      </x:c>
      <x:c r="L645" s="2" t="str">
        <x:v>May 2026</x:v>
      </x:c>
      <x:c r="M645" s="2" t="str">
        <x:v>https://www.genaiadoptiontracker.com/</x:v>
      </x:c>
    </x:row>
    <x:row r="646" ht="24" customHeight="1">
      <x:c r="A646" s="2" t="str">
        <x:v>RPS</x:v>
      </x:c>
      <x:c r="B646" s="2" t="str">
        <x:v>Quartiles</x:v>
      </x:c>
      <x:c r="C646" s="2" t="str">
        <x:v>Q1</x:v>
      </x:c>
      <x:c r="D646" s="28" t="n">
        <x:v>46113</x:v>
      </x:c>
      <x:c r="E646" s="2" t="str">
        <x:v>2026Q2</x:v>
      </x:c>
      <x:c r="F646" s="20" t="n">
        <x:v>30166.5</x:v>
      </x:c>
      <x:c r="G646" s="20" t="n">
        <x:f>'Quarterly data'!$E$160</x:f>
        <x:v>29377.5333333333</x:v>
      </x:c>
      <x:c r="H646" s="22" t="n">
        <x:f>100*F646/G646</x:f>
        <x:v>102.68561236137377</x:v>
      </x:c>
      <x:c r="I646" s="24" t="n">
        <x:f>H646/100-1</x:f>
        <x:v>0.02685612361373768</x:v>
      </x:c>
      <x:c r="J646" s="26" t="n">
        <x:v>5</x:v>
      </x:c>
      <x:c r="K646" s="7" t="b">
        <x:v>0</x:v>
      </x:c>
      <x:c r="L646" s="2" t="str">
        <x:v>May 2026</x:v>
      </x:c>
      <x:c r="M646" s="2" t="str">
        <x:v>https://www.genaiadoptiontracker.com/</x:v>
      </x:c>
    </x:row>
    <x:row r="647" ht="24" customHeight="1">
      <x:c r="A647" s="2" t="str">
        <x:v>RPS</x:v>
      </x:c>
      <x:c r="B647" s="2" t="str">
        <x:v>Quartiles</x:v>
      </x:c>
      <x:c r="C647" s="2" t="str">
        <x:v>Q2</x:v>
      </x:c>
      <x:c r="D647" s="28" t="n">
        <x:v>46113</x:v>
      </x:c>
      <x:c r="E647" s="2" t="str">
        <x:v>2026Q2</x:v>
      </x:c>
      <x:c r="F647" s="20" t="n">
        <x:v>56624.3</x:v>
      </x:c>
      <x:c r="G647" s="20" t="n">
        <x:f>'Quarterly data'!$E$161</x:f>
        <x:v>54180.2666666667</x:v>
      </x:c>
      <x:c r="H647" s="22" t="n">
        <x:f>100*F647/G647</x:f>
        <x:v>104.51092894830091</x:v>
      </x:c>
      <x:c r="I647" s="24" t="n">
        <x:f>H647/100-1</x:f>
        <x:v>0.045109289483009185</x:v>
      </x:c>
      <x:c r="J647" s="26" t="n">
        <x:v>4</x:v>
      </x:c>
      <x:c r="K647" s="7" t="b">
        <x:v>0</x:v>
      </x:c>
      <x:c r="L647" s="2" t="str">
        <x:v>May 2026</x:v>
      </x:c>
      <x:c r="M647" s="2" t="str">
        <x:v>https://www.genaiadoptiontracker.com/</x:v>
      </x:c>
    </x:row>
    <x:row r="648" ht="24" customHeight="1">
      <x:c r="A648" s="2" t="str">
        <x:v>RPS</x:v>
      </x:c>
      <x:c r="B648" s="2" t="str">
        <x:v>Quartiles</x:v>
      </x:c>
      <x:c r="C648" s="2" t="str">
        <x:v>Q3</x:v>
      </x:c>
      <x:c r="D648" s="28" t="n">
        <x:v>46113</x:v>
      </x:c>
      <x:c r="E648" s="2" t="str">
        <x:v>2026Q2</x:v>
      </x:c>
      <x:c r="F648" s="20" t="n">
        <x:v>19690</x:v>
      </x:c>
      <x:c r="G648" s="20" t="n">
        <x:f>'Quarterly data'!$E$162</x:f>
        <x:v>19689.3666666667</x:v>
      </x:c>
      <x:c r="H648" s="22" t="n">
        <x:f>100*F648/G648</x:f>
        <x:v>100.00321662623294</x:v>
      </x:c>
      <x:c r="I648" s="24" t="n">
        <x:f>H648/100-1</x:f>
        <x:v>0.0000321662623294916</x:v>
      </x:c>
      <x:c r="J648" s="26" t="n">
        <x:v>4</x:v>
      </x:c>
      <x:c r="K648" s="7" t="b">
        <x:v>0</x:v>
      </x:c>
      <x:c r="L648" s="2" t="str">
        <x:v>May 2026</x:v>
      </x:c>
      <x:c r="M648" s="2" t="str">
        <x:v>https://www.genaiadoptiontracker.com/</x:v>
      </x:c>
    </x:row>
    <x:row r="649" ht="24" customHeight="1">
      <x:c r="A649" s="2" t="str">
        <x:v>RPS</x:v>
      </x:c>
      <x:c r="B649" s="2" t="str">
        <x:v>Quartiles</x:v>
      </x:c>
      <x:c r="C649" s="2" t="str">
        <x:v>Q4</x:v>
      </x:c>
      <x:c r="D649" s="28" t="n">
        <x:v>46113</x:v>
      </x:c>
      <x:c r="E649" s="2" t="str">
        <x:v>2026Q2</x:v>
      </x:c>
      <x:c r="F649" s="20" t="n">
        <x:v>28946</x:v>
      </x:c>
      <x:c r="G649" s="20" t="n">
        <x:f>'Quarterly data'!$E$163</x:f>
        <x:v>29165.6666666667</x:v>
      </x:c>
      <x:c r="H649" s="22" t="n">
        <x:f>100*F649/G649</x:f>
        <x:v>99.24683131993085</x:v>
      </x:c>
      <x:c r="I649" s="24" t="n">
        <x:f>H649/100-1</x:f>
        <x:v>-0.007531686800691495</x:v>
      </x:c>
      <x:c r="J649" s="26" t="n">
        <x:v>5</x:v>
      </x:c>
      <x:c r="K649" s="7" t="b">
        <x:v>0</x:v>
      </x:c>
      <x:c r="L649" s="2" t="str">
        <x:v>May 2026</x:v>
      </x:c>
      <x:c r="M649" s="2" t="str">
        <x:v>https://www.genaiadoptiontracker.com/</x:v>
      </x:c>
    </x:row>
    <x:row r="650" ht="24" customHeight="1">
      <x:c r="A650" s="2" t="str">
        <x:v>RPS</x:v>
      </x:c>
      <x:c r="B650" s="2" t="str">
        <x:v>Quartiles</x:v>
      </x:c>
      <x:c r="C650" s="2" t="str">
        <x:v>Q1</x:v>
      </x:c>
      <x:c r="D650" s="28" t="n">
        <x:v>46143</x:v>
      </x:c>
      <x:c r="E650" s="2" t="str">
        <x:v>2026Q2</x:v>
      </x:c>
      <x:c r="F650" s="20" t="n">
        <x:v>30214.9</x:v>
      </x:c>
      <x:c r="G650" s="20" t="n">
        <x:f>'Quarterly data'!$E$160</x:f>
        <x:v>29377.5333333333</x:v>
      </x:c>
      <x:c r="H650" s="22" t="n">
        <x:f>100*F650/G650</x:f>
        <x:v>102.8503641104428</x:v>
      </x:c>
      <x:c r="I650" s="24" t="n">
        <x:f>H650/100-1</x:f>
        <x:v>0.028503641104427935</x:v>
      </x:c>
      <x:c r="J650" s="26" t="n">
        <x:v>5</x:v>
      </x:c>
      <x:c r="K650" s="7" t="b">
        <x:v>0</x:v>
      </x:c>
      <x:c r="L650" s="2" t="str">
        <x:v>May 2026</x:v>
      </x:c>
      <x:c r="M650" s="2" t="str">
        <x:v>https://www.genaiadoptiontracker.com/</x:v>
      </x:c>
    </x:row>
    <x:row r="651" ht="24" customHeight="1">
      <x:c r="A651" s="2" t="str">
        <x:v>RPS</x:v>
      </x:c>
      <x:c r="B651" s="2" t="str">
        <x:v>Quartiles</x:v>
      </x:c>
      <x:c r="C651" s="2" t="str">
        <x:v>Q2</x:v>
      </x:c>
      <x:c r="D651" s="28" t="n">
        <x:v>46143</x:v>
      </x:c>
      <x:c r="E651" s="2" t="str">
        <x:v>2026Q2</x:v>
      </x:c>
      <x:c r="F651" s="20" t="n">
        <x:v>56661.6</x:v>
      </x:c>
      <x:c r="G651" s="20" t="n">
        <x:f>'Quarterly data'!$E$161</x:f>
        <x:v>54180.2666666667</x:v>
      </x:c>
      <x:c r="H651" s="22" t="n">
        <x:f>100*F651/G651</x:f>
        <x:v>104.57977320155918</x:v>
      </x:c>
      <x:c r="I651" s="24" t="n">
        <x:f>H651/100-1</x:f>
        <x:v>0.045797732015591786</x:v>
      </x:c>
      <x:c r="J651" s="26" t="n">
        <x:v>4</x:v>
      </x:c>
      <x:c r="K651" s="7" t="b">
        <x:v>0</x:v>
      </x:c>
      <x:c r="L651" s="2" t="str">
        <x:v>May 2026</x:v>
      </x:c>
      <x:c r="M651" s="2" t="str">
        <x:v>https://www.genaiadoptiontracker.com/</x:v>
      </x:c>
    </x:row>
    <x:row r="652" ht="24" customHeight="1">
      <x:c r="A652" s="2" t="str">
        <x:v>RPS</x:v>
      </x:c>
      <x:c r="B652" s="2" t="str">
        <x:v>Quartiles</x:v>
      </x:c>
      <x:c r="C652" s="2" t="str">
        <x:v>Q3</x:v>
      </x:c>
      <x:c r="D652" s="28" t="n">
        <x:v>46143</x:v>
      </x:c>
      <x:c r="E652" s="2" t="str">
        <x:v>2026Q2</x:v>
      </x:c>
      <x:c r="F652" s="20" t="n">
        <x:v>19675.7</x:v>
      </x:c>
      <x:c r="G652" s="20" t="n">
        <x:f>'Quarterly data'!$E$162</x:f>
        <x:v>19689.3666666667</x:v>
      </x:c>
      <x:c r="H652" s="22" t="n">
        <x:f>100*F652/G652</x:f>
        <x:v>99.93058859181164</x:v>
      </x:c>
      <x:c r="I652" s="24" t="n">
        <x:f>H652/100-1</x:f>
        <x:v>-0.0006941140818835789</x:v>
      </x:c>
      <x:c r="J652" s="26" t="n">
        <x:v>4</x:v>
      </x:c>
      <x:c r="K652" s="7" t="b">
        <x:v>0</x:v>
      </x:c>
      <x:c r="L652" s="2" t="str">
        <x:v>May 2026</x:v>
      </x:c>
      <x:c r="M652" s="2" t="str">
        <x:v>https://www.genaiadoptiontracker.com/</x:v>
      </x:c>
    </x:row>
    <x:row r="653" ht="24" customHeight="1">
      <x:c r="A653" s="2" t="str">
        <x:v>RPS</x:v>
      </x:c>
      <x:c r="B653" s="2" t="str">
        <x:v>Quartiles</x:v>
      </x:c>
      <x:c r="C653" s="2" t="str">
        <x:v>Q4</x:v>
      </x:c>
      <x:c r="D653" s="28" t="n">
        <x:v>46143</x:v>
      </x:c>
      <x:c r="E653" s="2" t="str">
        <x:v>2026Q2</x:v>
      </x:c>
      <x:c r="F653" s="20" t="n">
        <x:v>28936.3</x:v>
      </x:c>
      <x:c r="G653" s="20" t="n">
        <x:f>'Quarterly data'!$E$163</x:f>
        <x:v>29165.6666666667</x:v>
      </x:c>
      <x:c r="H653" s="22" t="n">
        <x:f>100*F653/G653</x:f>
        <x:v>99.21357303678971</x:v>
      </x:c>
      <x:c r="I653" s="24" t="n">
        <x:f>H653/100-1</x:f>
        <x:v>-0.00786426963210285</x:v>
      </x:c>
      <x:c r="J653" s="26" t="n">
        <x:v>5</x:v>
      </x:c>
      <x:c r="K653" s="7" t="b">
        <x:v>0</x:v>
      </x:c>
      <x:c r="L653" s="2" t="str">
        <x:v>May 2026</x:v>
      </x:c>
      <x:c r="M653" s="2" t="str">
        <x:v>https://www.genaiadoptiontracker.com/</x:v>
      </x:c>
    </x:row>
    <x:row r="654" ht="24" customHeight="1">
      <x:c r="A654" s="2" t="str">
        <x:v>RPS</x:v>
      </x:c>
      <x:c r="B654" s="2" t="str">
        <x:v>Quartiles</x:v>
      </x:c>
      <x:c r="C654" s="2" t="str">
        <x:v>Q1</x:v>
      </x:c>
      <x:c r="D654" s="28" t="n">
        <x:v>46174</x:v>
      </x:c>
      <x:c r="E654" s="2" t="str">
        <x:v>2026Q2</x:v>
      </x:c>
      <x:c r="F654" s="20" t="n">
        <x:v>30141.8</x:v>
      </x:c>
      <x:c r="G654" s="20" t="n">
        <x:f>'Quarterly data'!$E$160</x:f>
        <x:v>29377.5333333333</x:v>
      </x:c>
      <x:c r="H654" s="22" t="n">
        <x:f>100*F654/G654</x:f>
        <x:v>102.60153450596046</x:v>
      </x:c>
      <x:c r="I654" s="24" t="n">
        <x:f>H654/100-1</x:f>
        <x:v>0.026015345059604567</x:v>
      </x:c>
      <x:c r="J654" s="26" t="n">
        <x:v>5</x:v>
      </x:c>
      <x:c r="K654" s="7" t="b">
        <x:v>0</x:v>
      </x:c>
      <x:c r="L654" s="2" t="str">
        <x:v>May 2026</x:v>
      </x:c>
      <x:c r="M654" s="2" t="str">
        <x:v>https://www.genaiadoptiontracker.com/</x:v>
      </x:c>
    </x:row>
    <x:row r="655" ht="24" customHeight="1">
      <x:c r="A655" s="2" t="str">
        <x:v>RPS</x:v>
      </x:c>
      <x:c r="B655" s="2" t="str">
        <x:v>Quartiles</x:v>
      </x:c>
      <x:c r="C655" s="2" t="str">
        <x:v>Q2</x:v>
      </x:c>
      <x:c r="D655" s="28" t="n">
        <x:v>46174</x:v>
      </x:c>
      <x:c r="E655" s="2" t="str">
        <x:v>2026Q2</x:v>
      </x:c>
      <x:c r="F655" s="20" t="n">
        <x:v>56731.3</x:v>
      </x:c>
      <x:c r="G655" s="20" t="n">
        <x:f>'Quarterly data'!$E$161</x:f>
        <x:v>54180.2666666667</x:v>
      </x:c>
      <x:c r="H655" s="22" t="n">
        <x:f>100*F655/G655</x:f>
        <x:v>104.70841782493989</x:v>
      </x:c>
      <x:c r="I655" s="24" t="n">
        <x:f>H655/100-1</x:f>
        <x:v>0.04708417824939892</x:v>
      </x:c>
      <x:c r="J655" s="26" t="n">
        <x:v>4</x:v>
      </x:c>
      <x:c r="K655" s="7" t="b">
        <x:v>0</x:v>
      </x:c>
      <x:c r="L655" s="2" t="str">
        <x:v>May 2026</x:v>
      </x:c>
      <x:c r="M655" s="2" t="str">
        <x:v>https://www.genaiadoptiontracker.com/</x:v>
      </x:c>
    </x:row>
    <x:row r="656" ht="24" customHeight="1">
      <x:c r="A656" s="2" t="str">
        <x:v>RPS</x:v>
      </x:c>
      <x:c r="B656" s="2" t="str">
        <x:v>Quartiles</x:v>
      </x:c>
      <x:c r="C656" s="2" t="str">
        <x:v>Q3</x:v>
      </x:c>
      <x:c r="D656" s="28" t="n">
        <x:v>46174</x:v>
      </x:c>
      <x:c r="E656" s="2" t="str">
        <x:v>2026Q2</x:v>
      </x:c>
      <x:c r="F656" s="20" t="n">
        <x:v>19698.5</x:v>
      </x:c>
      <x:c r="G656" s="20" t="n">
        <x:f>'Quarterly data'!$E$162</x:f>
        <x:v>19689.3666666667</x:v>
      </x:c>
      <x:c r="H656" s="22" t="n">
        <x:f>100*F656/G656</x:f>
        <x:v>100.04638713620363</x:v>
      </x:c>
      <x:c r="I656" s="24" t="n">
        <x:f>H656/100-1</x:f>
        <x:v>0.00046387136203640544</x:v>
      </x:c>
      <x:c r="J656" s="26" t="n">
        <x:v>4</x:v>
      </x:c>
      <x:c r="K656" s="7" t="b">
        <x:v>0</x:v>
      </x:c>
      <x:c r="L656" s="2" t="str">
        <x:v>May 2026</x:v>
      </x:c>
      <x:c r="M656" s="2" t="str">
        <x:v>https://www.genaiadoptiontracker.com/</x:v>
      </x:c>
    </x:row>
    <x:row r="657" ht="24" customHeight="1">
      <x:c r="A657" s="2" t="str">
        <x:v>RPS</x:v>
      </x:c>
      <x:c r="B657" s="2" t="str">
        <x:v>Quartiles</x:v>
      </x:c>
      <x:c r="C657" s="2" t="str">
        <x:v>Q4</x:v>
      </x:c>
      <x:c r="D657" s="28" t="n">
        <x:v>46174</x:v>
      </x:c>
      <x:c r="E657" s="2" t="str">
        <x:v>2026Q2</x:v>
      </x:c>
      <x:c r="F657" s="20" t="n">
        <x:v>28943.9</x:v>
      </x:c>
      <x:c r="G657" s="20" t="n">
        <x:f>'Quarterly data'!$E$163</x:f>
        <x:v>29165.6666666667</x:v>
      </x:c>
      <x:c r="H657" s="22" t="n">
        <x:f>100*F657/G657</x:f>
        <x:v>99.23963107306524</x:v>
      </x:c>
      <x:c r="I657" s="24" t="n">
        <x:f>H657/100-1</x:f>
        <x:v>-0.007603689269347624</x:v>
      </x:c>
      <x:c r="J657" s="26" t="n">
        <x:v>5</x:v>
      </x:c>
      <x:c r="K657" s="7" t="b">
        <x:v>0</x:v>
      </x:c>
      <x:c r="L657" s="2" t="str">
        <x:v>May 2026</x:v>
      </x:c>
      <x:c r="M657" s="2" t="str">
        <x:v>https://www.genaiadoptiontracker.com/</x:v>
      </x:c>
    </x:row>
    <x:row r="658" ht="24" customHeight="1">
      <x:c r="A658" s="2" t="str">
        <x:v>RPS</x:v>
      </x:c>
      <x:c r="B658" s="2" t="str">
        <x:v>Quartiles</x:v>
      </x:c>
      <x:c r="C658" s="2" t="str">
        <x:v>Q1</x:v>
      </x:c>
      <x:c r="D658" s="28" t="n">
        <x:v>46204</x:v>
      </x:c>
      <x:c r="E658" s="2" t="str">
        <x:v>2026Q3</x:v>
      </x:c>
      <x:c r="F658" s="20" t="n">
        <x:v>30139.5</x:v>
      </x:c>
      <x:c r="G658" s="20" t="n">
        <x:f>'Quarterly data'!$E$160</x:f>
        <x:v>29377.5333333333</x:v>
      </x:c>
      <x:c r="H658" s="22" t="n">
        <x:f>100*F658/G658</x:f>
        <x:v>102.59370539391792</x:v>
      </x:c>
      <x:c r="I658" s="24" t="n">
        <x:f>H658/100-1</x:f>
        <x:v>0.025937053939179222</x:v>
      </x:c>
      <x:c r="J658" s="26" t="n">
        <x:v>5</x:v>
      </x:c>
      <x:c r="K658" s="7" t="b">
        <x:v>1</x:v>
      </x:c>
      <x:c r="L658" s="2" t="str">
        <x:v>May 2026</x:v>
      </x:c>
      <x:c r="M658" s="2" t="str">
        <x:v>https://www.genaiadoptiontracker.com/</x:v>
      </x:c>
    </x:row>
    <x:row r="659" ht="24" customHeight="1">
      <x:c r="A659" s="2" t="str">
        <x:v>RPS</x:v>
      </x:c>
      <x:c r="B659" s="2" t="str">
        <x:v>Quartiles</x:v>
      </x:c>
      <x:c r="C659" s="2" t="str">
        <x:v>Q2</x:v>
      </x:c>
      <x:c r="D659" s="28" t="n">
        <x:v>46204</x:v>
      </x:c>
      <x:c r="E659" s="2" t="str">
        <x:v>2026Q3</x:v>
      </x:c>
      <x:c r="F659" s="20" t="n">
        <x:v>56782.4</x:v>
      </x:c>
      <x:c r="G659" s="20" t="n">
        <x:f>'Quarterly data'!$E$161</x:f>
        <x:v>54180.2666666667</x:v>
      </x:c>
      <x:c r="H659" s="22" t="n">
        <x:f>100*F659/G659</x:f>
        <x:v>104.80273260621327</x:v>
      </x:c>
      <x:c r="I659" s="24" t="n">
        <x:f>H659/100-1</x:f>
        <x:v>0.04802732606213267</x:v>
      </x:c>
      <x:c r="J659" s="26" t="n">
        <x:v>4</x:v>
      </x:c>
      <x:c r="K659" s="7" t="b">
        <x:v>1</x:v>
      </x:c>
      <x:c r="L659" s="2" t="str">
        <x:v>May 2026</x:v>
      </x:c>
      <x:c r="M659" s="2" t="str">
        <x:v>https://www.genaiadoptiontracker.com/</x:v>
      </x:c>
    </x:row>
    <x:row r="660" ht="24" customHeight="1">
      <x:c r="A660" s="2" t="str">
        <x:v>RPS</x:v>
      </x:c>
      <x:c r="B660" s="2" t="str">
        <x:v>Quartiles</x:v>
      </x:c>
      <x:c r="C660" s="2" t="str">
        <x:v>Q3</x:v>
      </x:c>
      <x:c r="D660" s="28" t="n">
        <x:v>46204</x:v>
      </x:c>
      <x:c r="E660" s="2" t="str">
        <x:v>2026Q3</x:v>
      </x:c>
      <x:c r="F660" s="20" t="n">
        <x:v>19714.1</x:v>
      </x:c>
      <x:c r="G660" s="20" t="n">
        <x:f>'Quarterly data'!$E$162</x:f>
        <x:v>19689.3666666667</x:v>
      </x:c>
      <x:c r="H660" s="22" t="n">
        <x:f>100*F660/G660</x:f>
        <x:v>100.12561771920866</x:v>
      </x:c>
      <x:c r="I660" s="24" t="n">
        <x:f>H660/100-1</x:f>
        <x:v>0.0012561771920867049</x:v>
      </x:c>
      <x:c r="J660" s="26" t="n">
        <x:v>4</x:v>
      </x:c>
      <x:c r="K660" s="7" t="b">
        <x:v>1</x:v>
      </x:c>
      <x:c r="L660" s="2" t="str">
        <x:v>May 2026</x:v>
      </x:c>
      <x:c r="M660" s="2" t="str">
        <x:v>https://www.genaiadoptiontracker.com/</x:v>
      </x:c>
    </x:row>
    <x:row r="661" ht="24" customHeight="1">
      <x:c r="A661" s="2" t="str">
        <x:v>RPS</x:v>
      </x:c>
      <x:c r="B661" s="2" t="str">
        <x:v>Quartiles</x:v>
      </x:c>
      <x:c r="C661" s="2" t="str">
        <x:v>Q4</x:v>
      </x:c>
      <x:c r="D661" s="28" t="n">
        <x:v>46204</x:v>
      </x:c>
      <x:c r="E661" s="2" t="str">
        <x:v>2026Q3</x:v>
      </x:c>
      <x:c r="F661" s="20" t="n">
        <x:v>28949.4</x:v>
      </x:c>
      <x:c r="G661" s="20" t="n">
        <x:f>'Quarterly data'!$E$163</x:f>
        <x:v>29165.6666666667</x:v>
      </x:c>
      <x:c r="H661" s="22" t="n">
        <x:f>100*F661/G661</x:f>
        <x:v>99.25848886247518</x:v>
      </x:c>
      <x:c r="I661" s="24" t="n">
        <x:f>H661/100-1</x:f>
        <x:v>-0.007415111375248196</x:v>
      </x:c>
      <x:c r="J661" s="26" t="n">
        <x:v>5</x:v>
      </x:c>
      <x:c r="K661" s="7" t="b">
        <x:v>1</x:v>
      </x:c>
      <x:c r="L661" s="2" t="str">
        <x:v>May 2026</x:v>
      </x:c>
      <x:c r="M661" s="2" t="str">
        <x:v>https://www.genaiadoptiontracker.com/</x:v>
      </x:c>
    </x:row>
    <x:row r="662" ht="24" customHeight="1">
      <x:c r="A662" s="2" t="str">
        <x:v>RPS</x:v>
      </x:c>
      <x:c r="B662" s="2" t="str">
        <x:v>Quartiles</x:v>
      </x:c>
      <x:c r="C662" s="2" t="str">
        <x:v>Q1</x:v>
      </x:c>
      <x:c r="D662" s="28" t="n">
        <x:v>46235</x:v>
      </x:c>
      <x:c r="E662" s="2" t="str">
        <x:v>2026Q3</x:v>
      </x:c>
      <x:c r="F662" s="20" t="n">
        <x:v>30212</x:v>
      </x:c>
      <x:c r="G662" s="20" t="n">
        <x:f>'Quarterly data'!$E$160</x:f>
        <x:v>29377.5333333333</x:v>
      </x:c>
      <x:c r="H662" s="22" t="n">
        <x:f>100*F662/G662</x:f>
        <x:v>102.84049262134567</x:v>
      </x:c>
      <x:c r="I662" s="24" t="n">
        <x:f>H662/100-1</x:f>
        <x:v>0.028404926213456694</x:v>
      </x:c>
      <x:c r="J662" s="26" t="n">
        <x:v>5</x:v>
      </x:c>
      <x:c r="K662" s="7" t="b">
        <x:v>1</x:v>
      </x:c>
      <x:c r="L662" s="2" t="str">
        <x:v>May 2026</x:v>
      </x:c>
      <x:c r="M662" s="2" t="str">
        <x:v>https://www.genaiadoptiontracker.com/</x:v>
      </x:c>
    </x:row>
    <x:row r="663" ht="24" customHeight="1">
      <x:c r="A663" s="2" t="str">
        <x:v>RPS</x:v>
      </x:c>
      <x:c r="B663" s="2" t="str">
        <x:v>Quartiles</x:v>
      </x:c>
      <x:c r="C663" s="2" t="str">
        <x:v>Q2</x:v>
      </x:c>
      <x:c r="D663" s="28" t="n">
        <x:v>46235</x:v>
      </x:c>
      <x:c r="E663" s="2" t="str">
        <x:v>2026Q3</x:v>
      </x:c>
      <x:c r="F663" s="20" t="n">
        <x:v>56838.6</x:v>
      </x:c>
      <x:c r="G663" s="20" t="n">
        <x:f>'Quarterly data'!$E$161</x:f>
        <x:v>54180.2666666667</x:v>
      </x:c>
      <x:c r="H663" s="22" t="n">
        <x:f>100*F663/G663</x:f>
        <x:v>104.90646040870963</x:v>
      </x:c>
      <x:c r="I663" s="24" t="n">
        <x:f>H663/100-1</x:f>
        <x:v>0.04906460408709634</x:v>
      </x:c>
      <x:c r="J663" s="26" t="n">
        <x:v>4</x:v>
      </x:c>
      <x:c r="K663" s="7" t="b">
        <x:v>1</x:v>
      </x:c>
      <x:c r="L663" s="2" t="str">
        <x:v>May 2026</x:v>
      </x:c>
      <x:c r="M663" s="2" t="str">
        <x:v>https://www.genaiadoptiontracker.com/</x:v>
      </x:c>
    </x:row>
    <x:row r="664" ht="24" customHeight="1">
      <x:c r="A664" s="2" t="str">
        <x:v>RPS</x:v>
      </x:c>
      <x:c r="B664" s="2" t="str">
        <x:v>Quartiles</x:v>
      </x:c>
      <x:c r="C664" s="2" t="str">
        <x:v>Q3</x:v>
      </x:c>
      <x:c r="D664" s="28" t="n">
        <x:v>46235</x:v>
      </x:c>
      <x:c r="E664" s="2" t="str">
        <x:v>2026Q3</x:v>
      </x:c>
      <x:c r="F664" s="20" t="n">
        <x:v>19730.2</x:v>
      </x:c>
      <x:c r="G664" s="20" t="n">
        <x:f>'Quarterly data'!$E$162</x:f>
        <x:v>19689.3666666667</x:v>
      </x:c>
      <x:c r="H664" s="22" t="n">
        <x:f>100*F664/G664</x:f>
        <x:v>100.2073877439767</x:v>
      </x:c>
      <x:c r="I664" s="24" t="n">
        <x:f>H664/100-1</x:f>
        <x:v>0.002073877439767058</x:v>
      </x:c>
      <x:c r="J664" s="26" t="n">
        <x:v>4</x:v>
      </x:c>
      <x:c r="K664" s="7" t="b">
        <x:v>1</x:v>
      </x:c>
      <x:c r="L664" s="2" t="str">
        <x:v>May 2026</x:v>
      </x:c>
      <x:c r="M664" s="2" t="str">
        <x:v>https://www.genaiadoptiontracker.com/</x:v>
      </x:c>
    </x:row>
    <x:row r="665" ht="24" customHeight="1">
      <x:c r="A665" s="2" t="str">
        <x:v>RPS</x:v>
      </x:c>
      <x:c r="B665" s="2" t="str">
        <x:v>Quartiles</x:v>
      </x:c>
      <x:c r="C665" s="2" t="str">
        <x:v>Q4</x:v>
      </x:c>
      <x:c r="D665" s="28" t="n">
        <x:v>46235</x:v>
      </x:c>
      <x:c r="E665" s="2" t="str">
        <x:v>2026Q3</x:v>
      </x:c>
      <x:c r="F665" s="20" t="n">
        <x:v>28932.4</x:v>
      </x:c>
      <x:c r="G665" s="20" t="n">
        <x:f>'Quarterly data'!$E$163</x:f>
        <x:v>29165.6666666667</x:v>
      </x:c>
      <x:c r="H665" s="22" t="n">
        <x:f>100*F665/G665</x:f>
        <x:v>99.2002011497536</x:v>
      </x:c>
      <x:c r="I665" s="24" t="n">
        <x:f>H665/100-1</x:f>
        <x:v>-0.007997988502464026</x:v>
      </x:c>
      <x:c r="J665" s="26" t="n">
        <x:v>5</x:v>
      </x:c>
      <x:c r="K665" s="7" t="b">
        <x:v>1</x:v>
      </x:c>
      <x:c r="L665" s="2" t="str">
        <x:v>May 2026</x:v>
      </x:c>
      <x:c r="M665" s="2" t="str">
        <x:v>https://www.genaiadoptiontracker.com/</x:v>
      </x:c>
    </x:row>
    <x:row r="666" ht="24" customHeight="1">
      <x:c r="A666" s="2" t="str">
        <x:v>RPS</x:v>
      </x:c>
      <x:c r="B666" s="2" t="str">
        <x:v>Quintiles</x:v>
      </x:c>
      <x:c r="C666" s="2" t="str">
        <x:v>Q1</x:v>
      </x:c>
      <x:c r="D666" s="28" t="n">
        <x:v>44927</x:v>
      </x:c>
      <x:c r="E666" s="2" t="str">
        <x:v>2023Q1</x:v>
      </x:c>
      <x:c r="F666" s="20" t="n">
        <x:v>26917.2</x:v>
      </x:c>
      <x:c r="G666" s="20" t="n">
        <x:f>'Quarterly data'!$E$216</x:f>
        <x:v>26934</x:v>
      </x:c>
      <x:c r="H666" s="22" t="n">
        <x:f>100*F666/G666</x:f>
        <x:v>99.9376253063043</x:v>
      </x:c>
      <x:c r="I666" s="24" t="n">
        <x:f>H666/100-1</x:f>
        <x:v>-0.0006237469369569926</x:v>
      </x:c>
      <x:c r="J666" s="26" t="n">
        <x:v>4</x:v>
      </x:c>
      <x:c r="K666" s="7" t="b">
        <x:v>0</x:v>
      </x:c>
      <x:c r="L666" s="2" t="str">
        <x:v>May 2026</x:v>
      </x:c>
      <x:c r="M666" s="2" t="str">
        <x:v>https://www.genaiadoptiontracker.com/</x:v>
      </x:c>
    </x:row>
    <x:row r="667" ht="24" customHeight="1">
      <x:c r="A667" s="2" t="str">
        <x:v>RPS</x:v>
      </x:c>
      <x:c r="B667" s="2" t="str">
        <x:v>Quintiles</x:v>
      </x:c>
      <x:c r="C667" s="2" t="str">
        <x:v>Q2</x:v>
      </x:c>
      <x:c r="D667" s="28" t="n">
        <x:v>44927</x:v>
      </x:c>
      <x:c r="E667" s="2" t="str">
        <x:v>2023Q1</x:v>
      </x:c>
      <x:c r="F667" s="20" t="n">
        <x:v>39077.7</x:v>
      </x:c>
      <x:c r="G667" s="20" t="n">
        <x:f>'Quarterly data'!$E$217</x:f>
        <x:v>39187.3</x:v>
      </x:c>
      <x:c r="H667" s="22" t="n">
        <x:f>100*F667/G667</x:f>
        <x:v>99.72031755185989</x:v>
      </x:c>
      <x:c r="I667" s="24" t="n">
        <x:f>H667/100-1</x:f>
        <x:v>-0.002796824481401061</x:v>
      </x:c>
      <x:c r="J667" s="26" t="n">
        <x:v>3</x:v>
      </x:c>
      <x:c r="K667" s="7" t="b">
        <x:v>0</x:v>
      </x:c>
      <x:c r="L667" s="2" t="str">
        <x:v>May 2026</x:v>
      </x:c>
      <x:c r="M667" s="2" t="str">
        <x:v>https://www.genaiadoptiontracker.com/</x:v>
      </x:c>
    </x:row>
    <x:row r="668" ht="24" customHeight="1">
      <x:c r="A668" s="2" t="str">
        <x:v>RPS</x:v>
      </x:c>
      <x:c r="B668" s="2" t="str">
        <x:v>Quintiles</x:v>
      </x:c>
      <x:c r="C668" s="2" t="str">
        <x:v>Q3</x:v>
      </x:c>
      <x:c r="D668" s="28" t="n">
        <x:v>44927</x:v>
      </x:c>
      <x:c r="E668" s="2" t="str">
        <x:v>2023Q1</x:v>
      </x:c>
      <x:c r="F668" s="20" t="n">
        <x:v>34116.4</x:v>
      </x:c>
      <x:c r="G668" s="20" t="n">
        <x:f>'Quarterly data'!$E$218</x:f>
        <x:v>34118.5666666667</x:v>
      </x:c>
      <x:c r="H668" s="22" t="n">
        <x:f>100*F668/G668</x:f>
        <x:v>99.99364959645618</x:v>
      </x:c>
      <x:c r="I668" s="24" t="n">
        <x:f>H668/100-1</x:f>
        <x:v>-0.00006350403543819994</x:v>
      </x:c>
      <x:c r="J668" s="26" t="n">
        <x:v>4</x:v>
      </x:c>
      <x:c r="K668" s="7" t="b">
        <x:v>0</x:v>
      </x:c>
      <x:c r="L668" s="2" t="str">
        <x:v>May 2026</x:v>
      </x:c>
      <x:c r="M668" s="2" t="str">
        <x:v>https://www.genaiadoptiontracker.com/</x:v>
      </x:c>
    </x:row>
    <x:row r="669" ht="24" customHeight="1">
      <x:c r="A669" s="2" t="str">
        <x:v>RPS</x:v>
      </x:c>
      <x:c r="B669" s="2" t="str">
        <x:v>Quintiles</x:v>
      </x:c>
      <x:c r="C669" s="2" t="str">
        <x:v>Q4</x:v>
      </x:c>
      <x:c r="D669" s="28" t="n">
        <x:v>44927</x:v>
      </x:c>
      <x:c r="E669" s="2" t="str">
        <x:v>2023Q1</x:v>
      </x:c>
      <x:c r="F669" s="20" t="n">
        <x:v>9069.6</x:v>
      </x:c>
      <x:c r="G669" s="20" t="n">
        <x:f>'Quarterly data'!$E$219</x:f>
        <x:v>9093.1333333333</x:v>
      </x:c>
      <x:c r="H669" s="22" t="n">
        <x:f>100*F669/G669</x:f>
        <x:v>99.74119665388571</x:v>
      </x:c>
      <x:c r="I669" s="24" t="n">
        <x:f>H669/100-1</x:f>
        <x:v>-0.0025880334611428912</x:v>
      </x:c>
      <x:c r="J669" s="26" t="n">
        <x:v>3</x:v>
      </x:c>
      <x:c r="K669" s="7" t="b">
        <x:v>0</x:v>
      </x:c>
      <x:c r="L669" s="2" t="str">
        <x:v>May 2026</x:v>
      </x:c>
      <x:c r="M669" s="2" t="str">
        <x:v>https://www.genaiadoptiontracker.com/</x:v>
      </x:c>
    </x:row>
    <x:row r="670" ht="24" customHeight="1">
      <x:c r="A670" s="2" t="str">
        <x:v>RPS</x:v>
      </x:c>
      <x:c r="B670" s="2" t="str">
        <x:v>Quintiles</x:v>
      </x:c>
      <x:c r="C670" s="2" t="str">
        <x:v>Q5</x:v>
      </x:c>
      <x:c r="D670" s="28" t="n">
        <x:v>44927</x:v>
      </x:c>
      <x:c r="E670" s="2" t="str">
        <x:v>2023Q1</x:v>
      </x:c>
      <x:c r="F670" s="20" t="n">
        <x:v>23064.6</x:v>
      </x:c>
      <x:c r="G670" s="20" t="n">
        <x:f>'Quarterly data'!$E$220</x:f>
        <x:v>23079.8333333333</x:v>
      </x:c>
      <x:c r="H670" s="22" t="n">
        <x:f>100*F670/G670</x:f>
        <x:v>99.9339972125739</x:v>
      </x:c>
      <x:c r="I670" s="24" t="n">
        <x:f>H670/100-1</x:f>
        <x:v>-0.0006600278742610044</x:v>
      </x:c>
      <x:c r="J670" s="26" t="n">
        <x:v>4</x:v>
      </x:c>
      <x:c r="K670" s="7" t="b">
        <x:v>0</x:v>
      </x:c>
      <x:c r="L670" s="2" t="str">
        <x:v>May 2026</x:v>
      </x:c>
      <x:c r="M670" s="2" t="str">
        <x:v>https://www.genaiadoptiontracker.com/</x:v>
      </x:c>
    </x:row>
    <x:row r="671" ht="24" customHeight="1">
      <x:c r="A671" s="2" t="str">
        <x:v>RPS</x:v>
      </x:c>
      <x:c r="B671" s="2" t="str">
        <x:v>Quintiles</x:v>
      </x:c>
      <x:c r="C671" s="2" t="str">
        <x:v>Q1</x:v>
      </x:c>
      <x:c r="D671" s="28" t="n">
        <x:v>44958</x:v>
      </x:c>
      <x:c r="E671" s="2" t="str">
        <x:v>2023Q1</x:v>
      </x:c>
      <x:c r="F671" s="20" t="n">
        <x:v>26940.1</x:v>
      </x:c>
      <x:c r="G671" s="20" t="n">
        <x:f>'Quarterly data'!$E$216</x:f>
        <x:v>26934</x:v>
      </x:c>
      <x:c r="H671" s="22" t="n">
        <x:f>100*F671/G671</x:f>
        <x:v>100.02264795425856</x:v>
      </x:c>
      <x:c r="I671" s="24" t="n">
        <x:f>H671/100-1</x:f>
        <x:v>0.00022647954258570024</x:v>
      </x:c>
      <x:c r="J671" s="26" t="n">
        <x:v>4</x:v>
      </x:c>
      <x:c r="K671" s="7" t="b">
        <x:v>0</x:v>
      </x:c>
      <x:c r="L671" s="2" t="str">
        <x:v>May 2026</x:v>
      </x:c>
      <x:c r="M671" s="2" t="str">
        <x:v>https://www.genaiadoptiontracker.com/</x:v>
      </x:c>
    </x:row>
    <x:row r="672" ht="24" customHeight="1">
      <x:c r="A672" s="2" t="str">
        <x:v>RPS</x:v>
      </x:c>
      <x:c r="B672" s="2" t="str">
        <x:v>Quintiles</x:v>
      </x:c>
      <x:c r="C672" s="2" t="str">
        <x:v>Q2</x:v>
      </x:c>
      <x:c r="D672" s="28" t="n">
        <x:v>44958</x:v>
      </x:c>
      <x:c r="E672" s="2" t="str">
        <x:v>2023Q1</x:v>
      </x:c>
      <x:c r="F672" s="20" t="n">
        <x:v>39222.6</x:v>
      </x:c>
      <x:c r="G672" s="20" t="n">
        <x:f>'Quarterly data'!$E$217</x:f>
        <x:v>39187.3</x:v>
      </x:c>
      <x:c r="H672" s="22" t="n">
        <x:f>100*F672/G672</x:f>
        <x:v>100.09008020455606</x:v>
      </x:c>
      <x:c r="I672" s="24" t="n">
        <x:f>H672/100-1</x:f>
        <x:v>0.0009008020455605337</x:v>
      </x:c>
      <x:c r="J672" s="26" t="n">
        <x:v>3</x:v>
      </x:c>
      <x:c r="K672" s="7" t="b">
        <x:v>0</x:v>
      </x:c>
      <x:c r="L672" s="2" t="str">
        <x:v>May 2026</x:v>
      </x:c>
      <x:c r="M672" s="2" t="str">
        <x:v>https://www.genaiadoptiontracker.com/</x:v>
      </x:c>
    </x:row>
    <x:row r="673" ht="24" customHeight="1">
      <x:c r="A673" s="2" t="str">
        <x:v>RPS</x:v>
      </x:c>
      <x:c r="B673" s="2" t="str">
        <x:v>Quintiles</x:v>
      </x:c>
      <x:c r="C673" s="2" t="str">
        <x:v>Q3</x:v>
      </x:c>
      <x:c r="D673" s="28" t="n">
        <x:v>44958</x:v>
      </x:c>
      <x:c r="E673" s="2" t="str">
        <x:v>2023Q1</x:v>
      </x:c>
      <x:c r="F673" s="20" t="n">
        <x:v>34140.3</x:v>
      </x:c>
      <x:c r="G673" s="20" t="n">
        <x:f>'Quarterly data'!$E$218</x:f>
        <x:v>34118.5666666667</x:v>
      </x:c>
      <x:c r="H673" s="22" t="n">
        <x:f>100*F673/G673</x:f>
        <x:v>100.06369943246924</x:v>
      </x:c>
      <x:c r="I673" s="24" t="n">
        <x:f>H673/100-1</x:f>
        <x:v>0.0006369943246924414</x:v>
      </x:c>
      <x:c r="J673" s="26" t="n">
        <x:v>4</x:v>
      </x:c>
      <x:c r="K673" s="7" t="b">
        <x:v>0</x:v>
      </x:c>
      <x:c r="L673" s="2" t="str">
        <x:v>May 2026</x:v>
      </x:c>
      <x:c r="M673" s="2" t="str">
        <x:v>https://www.genaiadoptiontracker.com/</x:v>
      </x:c>
    </x:row>
    <x:row r="674" ht="24" customHeight="1">
      <x:c r="A674" s="2" t="str">
        <x:v>RPS</x:v>
      </x:c>
      <x:c r="B674" s="2" t="str">
        <x:v>Quintiles</x:v>
      </x:c>
      <x:c r="C674" s="2" t="str">
        <x:v>Q4</x:v>
      </x:c>
      <x:c r="D674" s="28" t="n">
        <x:v>44958</x:v>
      </x:c>
      <x:c r="E674" s="2" t="str">
        <x:v>2023Q1</x:v>
      </x:c>
      <x:c r="F674" s="20" t="n">
        <x:v>9103.5</x:v>
      </x:c>
      <x:c r="G674" s="20" t="n">
        <x:f>'Quarterly data'!$E$219</x:f>
        <x:v>9093.1333333333</x:v>
      </x:c>
      <x:c r="H674" s="22" t="n">
        <x:f>100*F674/G674</x:f>
        <x:v>100.11400544000271</x:v>
      </x:c>
      <x:c r="I674" s="24" t="n">
        <x:f>H674/100-1</x:f>
        <x:v>0.0011400544000270685</x:v>
      </x:c>
      <x:c r="J674" s="26" t="n">
        <x:v>3</x:v>
      </x:c>
      <x:c r="K674" s="7" t="b">
        <x:v>0</x:v>
      </x:c>
      <x:c r="L674" s="2" t="str">
        <x:v>May 2026</x:v>
      </x:c>
      <x:c r="M674" s="2" t="str">
        <x:v>https://www.genaiadoptiontracker.com/</x:v>
      </x:c>
    </x:row>
    <x:row r="675" ht="24" customHeight="1">
      <x:c r="A675" s="2" t="str">
        <x:v>RPS</x:v>
      </x:c>
      <x:c r="B675" s="2" t="str">
        <x:v>Quintiles</x:v>
      </x:c>
      <x:c r="C675" s="2" t="str">
        <x:v>Q5</x:v>
      </x:c>
      <x:c r="D675" s="28" t="n">
        <x:v>44958</x:v>
      </x:c>
      <x:c r="E675" s="2" t="str">
        <x:v>2023Q1</x:v>
      </x:c>
      <x:c r="F675" s="20" t="n">
        <x:v>23077</x:v>
      </x:c>
      <x:c r="G675" s="20" t="n">
        <x:f>'Quarterly data'!$E$220</x:f>
        <x:v>23079.8333333333</x:v>
      </x:c>
      <x:c r="H675" s="22" t="n">
        <x:f>100*F675/G675</x:f>
        <x:v>99.98772377039133</x:v>
      </x:c>
      <x:c r="I675" s="24" t="n">
        <x:f>H675/100-1</x:f>
        <x:v>-0.0001227622960867647</x:v>
      </x:c>
      <x:c r="J675" s="26" t="n">
        <x:v>4</x:v>
      </x:c>
      <x:c r="K675" s="7" t="b">
        <x:v>0</x:v>
      </x:c>
      <x:c r="L675" s="2" t="str">
        <x:v>May 2026</x:v>
      </x:c>
      <x:c r="M675" s="2" t="str">
        <x:v>https://www.genaiadoptiontracker.com/</x:v>
      </x:c>
    </x:row>
    <x:row r="676" ht="24" customHeight="1">
      <x:c r="A676" s="2" t="str">
        <x:v>RPS</x:v>
      </x:c>
      <x:c r="B676" s="2" t="str">
        <x:v>Quintiles</x:v>
      </x:c>
      <x:c r="C676" s="2" t="str">
        <x:v>Q1</x:v>
      </x:c>
      <x:c r="D676" s="28" t="n">
        <x:v>44986</x:v>
      </x:c>
      <x:c r="E676" s="2" t="str">
        <x:v>2023Q1</x:v>
      </x:c>
      <x:c r="F676" s="20" t="n">
        <x:v>26944.7</x:v>
      </x:c>
      <x:c r="G676" s="20" t="n">
        <x:f>'Quarterly data'!$E$216</x:f>
        <x:v>26934</x:v>
      </x:c>
      <x:c r="H676" s="22" t="n">
        <x:f>100*F676/G676</x:f>
        <x:v>100.03972673943714</x:v>
      </x:c>
      <x:c r="I676" s="24" t="n">
        <x:f>H676/100-1</x:f>
        <x:v>0.00039726739437151437</x:v>
      </x:c>
      <x:c r="J676" s="26" t="n">
        <x:v>4</x:v>
      </x:c>
      <x:c r="K676" s="7" t="b">
        <x:v>0</x:v>
      </x:c>
      <x:c r="L676" s="2" t="str">
        <x:v>May 2026</x:v>
      </x:c>
      <x:c r="M676" s="2" t="str">
        <x:v>https://www.genaiadoptiontracker.com/</x:v>
      </x:c>
    </x:row>
    <x:row r="677" ht="24" customHeight="1">
      <x:c r="A677" s="2" t="str">
        <x:v>RPS</x:v>
      </x:c>
      <x:c r="B677" s="2" t="str">
        <x:v>Quintiles</x:v>
      </x:c>
      <x:c r="C677" s="2" t="str">
        <x:v>Q2</x:v>
      </x:c>
      <x:c r="D677" s="28" t="n">
        <x:v>44986</x:v>
      </x:c>
      <x:c r="E677" s="2" t="str">
        <x:v>2023Q1</x:v>
      </x:c>
      <x:c r="F677" s="20" t="n">
        <x:v>39261.6</x:v>
      </x:c>
      <x:c r="G677" s="20" t="n">
        <x:f>'Quarterly data'!$E$217</x:f>
        <x:v>39187.3</x:v>
      </x:c>
      <x:c r="H677" s="22" t="n">
        <x:f>100*F677/G677</x:f>
        <x:v>100.189602243584</x:v>
      </x:c>
      <x:c r="I677" s="24" t="n">
        <x:f>H677/100-1</x:f>
        <x:v>0.0018960224358399724</x:v>
      </x:c>
      <x:c r="J677" s="26" t="n">
        <x:v>3</x:v>
      </x:c>
      <x:c r="K677" s="7" t="b">
        <x:v>0</x:v>
      </x:c>
      <x:c r="L677" s="2" t="str">
        <x:v>May 2026</x:v>
      </x:c>
      <x:c r="M677" s="2" t="str">
        <x:v>https://www.genaiadoptiontracker.com/</x:v>
      </x:c>
    </x:row>
    <x:row r="678" ht="24" customHeight="1">
      <x:c r="A678" s="2" t="str">
        <x:v>RPS</x:v>
      </x:c>
      <x:c r="B678" s="2" t="str">
        <x:v>Quintiles</x:v>
      </x:c>
      <x:c r="C678" s="2" t="str">
        <x:v>Q3</x:v>
      </x:c>
      <x:c r="D678" s="28" t="n">
        <x:v>44986</x:v>
      </x:c>
      <x:c r="E678" s="2" t="str">
        <x:v>2023Q1</x:v>
      </x:c>
      <x:c r="F678" s="20" t="n">
        <x:v>34099</x:v>
      </x:c>
      <x:c r="G678" s="20" t="n">
        <x:f>'Quarterly data'!$E$218</x:f>
        <x:v>34118.5666666667</x:v>
      </x:c>
      <x:c r="H678" s="22" t="n">
        <x:f>100*F678/G678</x:f>
        <x:v>99.9426509710743</x:v>
      </x:c>
      <x:c r="I678" s="24" t="n">
        <x:f>H678/100-1</x:f>
        <x:v>-0.0005734902892570171</x:v>
      </x:c>
      <x:c r="J678" s="26" t="n">
        <x:v>4</x:v>
      </x:c>
      <x:c r="K678" s="7" t="b">
        <x:v>0</x:v>
      </x:c>
      <x:c r="L678" s="2" t="str">
        <x:v>May 2026</x:v>
      </x:c>
      <x:c r="M678" s="2" t="str">
        <x:v>https://www.genaiadoptiontracker.com/</x:v>
      </x:c>
    </x:row>
    <x:row r="679" ht="24" customHeight="1">
      <x:c r="A679" s="2" t="str">
        <x:v>RPS</x:v>
      </x:c>
      <x:c r="B679" s="2" t="str">
        <x:v>Quintiles</x:v>
      </x:c>
      <x:c r="C679" s="2" t="str">
        <x:v>Q4</x:v>
      </x:c>
      <x:c r="D679" s="28" t="n">
        <x:v>44986</x:v>
      </x:c>
      <x:c r="E679" s="2" t="str">
        <x:v>2023Q1</x:v>
      </x:c>
      <x:c r="F679" s="20" t="n">
        <x:v>9106.3</x:v>
      </x:c>
      <x:c r="G679" s="20" t="n">
        <x:f>'Quarterly data'!$E$219</x:f>
        <x:v>9093.1333333333</x:v>
      </x:c>
      <x:c r="H679" s="22" t="n">
        <x:f>100*F679/G679</x:f>
        <x:v>100.14479790611266</x:v>
      </x:c>
      <x:c r="I679" s="24" t="n">
        <x:f>H679/100-1</x:f>
        <x:v>0.001447979061126592</x:v>
      </x:c>
      <x:c r="J679" s="26" t="n">
        <x:v>3</x:v>
      </x:c>
      <x:c r="K679" s="7" t="b">
        <x:v>0</x:v>
      </x:c>
      <x:c r="L679" s="2" t="str">
        <x:v>May 2026</x:v>
      </x:c>
      <x:c r="M679" s="2" t="str">
        <x:v>https://www.genaiadoptiontracker.com/</x:v>
      </x:c>
    </x:row>
    <x:row r="680" ht="24" customHeight="1">
      <x:c r="A680" s="2" t="str">
        <x:v>RPS</x:v>
      </x:c>
      <x:c r="B680" s="2" t="str">
        <x:v>Quintiles</x:v>
      </x:c>
      <x:c r="C680" s="2" t="str">
        <x:v>Q5</x:v>
      </x:c>
      <x:c r="D680" s="28" t="n">
        <x:v>44986</x:v>
      </x:c>
      <x:c r="E680" s="2" t="str">
        <x:v>2023Q1</x:v>
      </x:c>
      <x:c r="F680" s="20" t="n">
        <x:v>23097.9</x:v>
      </x:c>
      <x:c r="G680" s="20" t="n">
        <x:f>'Quarterly data'!$E$220</x:f>
        <x:v>23079.8333333333</x:v>
      </x:c>
      <x:c r="H680" s="22" t="n">
        <x:f>100*F680/G680</x:f>
        <x:v>100.07827901703521</x:v>
      </x:c>
      <x:c r="I680" s="24" t="n">
        <x:f>H680/100-1</x:f>
        <x:v>0.000782790170352099</x:v>
      </x:c>
      <x:c r="J680" s="26" t="n">
        <x:v>4</x:v>
      </x:c>
      <x:c r="K680" s="7" t="b">
        <x:v>0</x:v>
      </x:c>
      <x:c r="L680" s="2" t="str">
        <x:v>May 2026</x:v>
      </x:c>
      <x:c r="M680" s="2" t="str">
        <x:v>https://www.genaiadoptiontracker.com/</x:v>
      </x:c>
    </x:row>
    <x:row r="681" ht="24" customHeight="1">
      <x:c r="A681" s="2" t="str">
        <x:v>RPS</x:v>
      </x:c>
      <x:c r="B681" s="2" t="str">
        <x:v>Quintiles</x:v>
      </x:c>
      <x:c r="C681" s="2" t="str">
        <x:v>Q1</x:v>
      </x:c>
      <x:c r="D681" s="28" t="n">
        <x:v>45017</x:v>
      </x:c>
      <x:c r="E681" s="2" t="str">
        <x:v>2023Q2</x:v>
      </x:c>
      <x:c r="F681" s="20" t="n">
        <x:v>26960.8</x:v>
      </x:c>
      <x:c r="G681" s="20" t="n">
        <x:f>'Quarterly data'!$E$216</x:f>
        <x:v>26934</x:v>
      </x:c>
      <x:c r="H681" s="22" t="n">
        <x:f>100*F681/G681</x:f>
        <x:v>100.09950248756219</x:v>
      </x:c>
      <x:c r="I681" s="24" t="n">
        <x:f>H681/100-1</x:f>
        <x:v>0.0009950248756218638</x:v>
      </x:c>
      <x:c r="J681" s="26" t="n">
        <x:v>4</x:v>
      </x:c>
      <x:c r="K681" s="7" t="b">
        <x:v>0</x:v>
      </x:c>
      <x:c r="L681" s="2" t="str">
        <x:v>May 2026</x:v>
      </x:c>
      <x:c r="M681" s="2" t="str">
        <x:v>https://www.genaiadoptiontracker.com/</x:v>
      </x:c>
    </x:row>
    <x:row r="682" ht="24" customHeight="1">
      <x:c r="A682" s="2" t="str">
        <x:v>RPS</x:v>
      </x:c>
      <x:c r="B682" s="2" t="str">
        <x:v>Quintiles</x:v>
      </x:c>
      <x:c r="C682" s="2" t="str">
        <x:v>Q2</x:v>
      </x:c>
      <x:c r="D682" s="28" t="n">
        <x:v>45017</x:v>
      </x:c>
      <x:c r="E682" s="2" t="str">
        <x:v>2023Q2</x:v>
      </x:c>
      <x:c r="F682" s="20" t="n">
        <x:v>39358.9</x:v>
      </x:c>
      <x:c r="G682" s="20" t="n">
        <x:f>'Quarterly data'!$E$217</x:f>
        <x:v>39187.3</x:v>
      </x:c>
      <x:c r="H682" s="22" t="n">
        <x:f>100*F682/G682</x:f>
        <x:v>100.43789697172298</x:v>
      </x:c>
      <x:c r="I682" s="24" t="n">
        <x:f>H682/100-1</x:f>
        <x:v>0.004378969717229841</x:v>
      </x:c>
      <x:c r="J682" s="26" t="n">
        <x:v>3</x:v>
      </x:c>
      <x:c r="K682" s="7" t="b">
        <x:v>0</x:v>
      </x:c>
      <x:c r="L682" s="2" t="str">
        <x:v>May 2026</x:v>
      </x:c>
      <x:c r="M682" s="2" t="str">
        <x:v>https://www.genaiadoptiontracker.com/</x:v>
      </x:c>
    </x:row>
    <x:row r="683" ht="24" customHeight="1">
      <x:c r="A683" s="2" t="str">
        <x:v>RPS</x:v>
      </x:c>
      <x:c r="B683" s="2" t="str">
        <x:v>Quintiles</x:v>
      </x:c>
      <x:c r="C683" s="2" t="str">
        <x:v>Q3</x:v>
      </x:c>
      <x:c r="D683" s="28" t="n">
        <x:v>45017</x:v>
      </x:c>
      <x:c r="E683" s="2" t="str">
        <x:v>2023Q2</x:v>
      </x:c>
      <x:c r="F683" s="20" t="n">
        <x:v>34117.4</x:v>
      </x:c>
      <x:c r="G683" s="20" t="n">
        <x:f>'Quarterly data'!$E$218</x:f>
        <x:v>34118.5666666667</x:v>
      </x:c>
      <x:c r="H683" s="22" t="n">
        <x:f>100*F683/G683</x:f>
        <x:v>99.9965805519379</x:v>
      </x:c>
      <x:c r="I683" s="24" t="n">
        <x:f>H683/100-1</x:f>
        <x:v>-0.000034194480621030365</x:v>
      </x:c>
      <x:c r="J683" s="26" t="n">
        <x:v>4</x:v>
      </x:c>
      <x:c r="K683" s="7" t="b">
        <x:v>0</x:v>
      </x:c>
      <x:c r="L683" s="2" t="str">
        <x:v>May 2026</x:v>
      </x:c>
      <x:c r="M683" s="2" t="str">
        <x:v>https://www.genaiadoptiontracker.com/</x:v>
      </x:c>
    </x:row>
    <x:row r="684" ht="24" customHeight="1">
      <x:c r="A684" s="2" t="str">
        <x:v>RPS</x:v>
      </x:c>
      <x:c r="B684" s="2" t="str">
        <x:v>Quintiles</x:v>
      </x:c>
      <x:c r="C684" s="2" t="str">
        <x:v>Q4</x:v>
      </x:c>
      <x:c r="D684" s="28" t="n">
        <x:v>45017</x:v>
      </x:c>
      <x:c r="E684" s="2" t="str">
        <x:v>2023Q2</x:v>
      </x:c>
      <x:c r="F684" s="20" t="n">
        <x:v>9123.1</x:v>
      </x:c>
      <x:c r="G684" s="20" t="n">
        <x:f>'Quarterly data'!$E$219</x:f>
        <x:v>9093.1333333333</x:v>
      </x:c>
      <x:c r="H684" s="22" t="n">
        <x:f>100*F684/G684</x:f>
        <x:v>100.32955270277242</x:v>
      </x:c>
      <x:c r="I684" s="24" t="n">
        <x:f>H684/100-1</x:f>
        <x:v>0.0032955270277241766</x:v>
      </x:c>
      <x:c r="J684" s="26" t="n">
        <x:v>3</x:v>
      </x:c>
      <x:c r="K684" s="7" t="b">
        <x:v>0</x:v>
      </x:c>
      <x:c r="L684" s="2" t="str">
        <x:v>May 2026</x:v>
      </x:c>
      <x:c r="M684" s="2" t="str">
        <x:v>https://www.genaiadoptiontracker.com/</x:v>
      </x:c>
    </x:row>
    <x:row r="685" ht="24" customHeight="1">
      <x:c r="A685" s="2" t="str">
        <x:v>RPS</x:v>
      </x:c>
      <x:c r="B685" s="2" t="str">
        <x:v>Quintiles</x:v>
      </x:c>
      <x:c r="C685" s="2" t="str">
        <x:v>Q5</x:v>
      </x:c>
      <x:c r="D685" s="28" t="n">
        <x:v>45017</x:v>
      </x:c>
      <x:c r="E685" s="2" t="str">
        <x:v>2023Q2</x:v>
      </x:c>
      <x:c r="F685" s="20" t="n">
        <x:v>23126.8</x:v>
      </x:c>
      <x:c r="G685" s="20" t="n">
        <x:f>'Quarterly data'!$E$220</x:f>
        <x:v>23079.8333333333</x:v>
      </x:c>
      <x:c r="H685" s="22" t="n">
        <x:f>100*F685/G685</x:f>
        <x:v>100.2034965590452</x:v>
      </x:c>
      <x:c r="I685" s="24" t="n">
        <x:f>H685/100-1</x:f>
        <x:v>0.0020349655904521313</x:v>
      </x:c>
      <x:c r="J685" s="26" t="n">
        <x:v>4</x:v>
      </x:c>
      <x:c r="K685" s="7" t="b">
        <x:v>0</x:v>
      </x:c>
      <x:c r="L685" s="2" t="str">
        <x:v>May 2026</x:v>
      </x:c>
      <x:c r="M685" s="2" t="str">
        <x:v>https://www.genaiadoptiontracker.com/</x:v>
      </x:c>
    </x:row>
    <x:row r="686" ht="24" customHeight="1">
      <x:c r="A686" s="2" t="str">
        <x:v>RPS</x:v>
      </x:c>
      <x:c r="B686" s="2" t="str">
        <x:v>Quintiles</x:v>
      </x:c>
      <x:c r="C686" s="2" t="str">
        <x:v>Q1</x:v>
      </x:c>
      <x:c r="D686" s="28" t="n">
        <x:v>45047</x:v>
      </x:c>
      <x:c r="E686" s="2" t="str">
        <x:v>2023Q2</x:v>
      </x:c>
      <x:c r="F686" s="20" t="n">
        <x:v>27041.7</x:v>
      </x:c>
      <x:c r="G686" s="20" t="n">
        <x:f>'Quarterly data'!$E$216</x:f>
        <x:v>26934</x:v>
      </x:c>
      <x:c r="H686" s="22" t="n">
        <x:f>100*F686/G686</x:f>
        <x:v>100.39986633994208</x:v>
      </x:c>
      <x:c r="I686" s="24" t="n">
        <x:f>H686/100-1</x:f>
        <x:v>0.003998663399420899</x:v>
      </x:c>
      <x:c r="J686" s="26" t="n">
        <x:v>4</x:v>
      </x:c>
      <x:c r="K686" s="7" t="b">
        <x:v>0</x:v>
      </x:c>
      <x:c r="L686" s="2" t="str">
        <x:v>May 2026</x:v>
      </x:c>
      <x:c r="M686" s="2" t="str">
        <x:v>https://www.genaiadoptiontracker.com/</x:v>
      </x:c>
    </x:row>
    <x:row r="687" ht="24" customHeight="1">
      <x:c r="A687" s="2" t="str">
        <x:v>RPS</x:v>
      </x:c>
      <x:c r="B687" s="2" t="str">
        <x:v>Quintiles</x:v>
      </x:c>
      <x:c r="C687" s="2" t="str">
        <x:v>Q2</x:v>
      </x:c>
      <x:c r="D687" s="28" t="n">
        <x:v>45047</x:v>
      </x:c>
      <x:c r="E687" s="2" t="str">
        <x:v>2023Q2</x:v>
      </x:c>
      <x:c r="F687" s="20" t="n">
        <x:v>39441.3</x:v>
      </x:c>
      <x:c r="G687" s="20" t="n">
        <x:f>'Quarterly data'!$E$217</x:f>
        <x:v>39187.3</x:v>
      </x:c>
      <x:c r="H687" s="22" t="n">
        <x:f>100*F687/G687</x:f>
        <x:v>100.64816917725896</x:v>
      </x:c>
      <x:c r="I687" s="24" t="n">
        <x:f>H687/100-1</x:f>
        <x:v>0.006481691772589615</x:v>
      </x:c>
      <x:c r="J687" s="26" t="n">
        <x:v>3</x:v>
      </x:c>
      <x:c r="K687" s="7" t="b">
        <x:v>0</x:v>
      </x:c>
      <x:c r="L687" s="2" t="str">
        <x:v>May 2026</x:v>
      </x:c>
      <x:c r="M687" s="2" t="str">
        <x:v>https://www.genaiadoptiontracker.com/</x:v>
      </x:c>
    </x:row>
    <x:row r="688" ht="24" customHeight="1">
      <x:c r="A688" s="2" t="str">
        <x:v>RPS</x:v>
      </x:c>
      <x:c r="B688" s="2" t="str">
        <x:v>Quintiles</x:v>
      </x:c>
      <x:c r="C688" s="2" t="str">
        <x:v>Q3</x:v>
      </x:c>
      <x:c r="D688" s="28" t="n">
        <x:v>45047</x:v>
      </x:c>
      <x:c r="E688" s="2" t="str">
        <x:v>2023Q2</x:v>
      </x:c>
      <x:c r="F688" s="20" t="n">
        <x:v>34137</x:v>
      </x:c>
      <x:c r="G688" s="20" t="n">
        <x:f>'Quarterly data'!$E$218</x:f>
        <x:v>34118.5666666667</x:v>
      </x:c>
      <x:c r="H688" s="22" t="n">
        <x:f>100*F688/G688</x:f>
        <x:v>100.05402727937955</x:v>
      </x:c>
      <x:c r="I688" s="24" t="n">
        <x:f>H688/100-1</x:f>
        <x:v>0.0005402727937955376</x:v>
      </x:c>
      <x:c r="J688" s="26" t="n">
        <x:v>4</x:v>
      </x:c>
      <x:c r="K688" s="7" t="b">
        <x:v>0</x:v>
      </x:c>
      <x:c r="L688" s="2" t="str">
        <x:v>May 2026</x:v>
      </x:c>
      <x:c r="M688" s="2" t="str">
        <x:v>https://www.genaiadoptiontracker.com/</x:v>
      </x:c>
    </x:row>
    <x:row r="689" ht="24" customHeight="1">
      <x:c r="A689" s="2" t="str">
        <x:v>RPS</x:v>
      </x:c>
      <x:c r="B689" s="2" t="str">
        <x:v>Quintiles</x:v>
      </x:c>
      <x:c r="C689" s="2" t="str">
        <x:v>Q4</x:v>
      </x:c>
      <x:c r="D689" s="28" t="n">
        <x:v>45047</x:v>
      </x:c>
      <x:c r="E689" s="2" t="str">
        <x:v>2023Q2</x:v>
      </x:c>
      <x:c r="F689" s="20" t="n">
        <x:v>9122</x:v>
      </x:c>
      <x:c r="G689" s="20" t="n">
        <x:f>'Quarterly data'!$E$219</x:f>
        <x:v>9093.1333333333</x:v>
      </x:c>
      <x:c r="H689" s="22" t="n">
        <x:f>100*F689/G689</x:f>
        <x:v>100.31745566251493</x:v>
      </x:c>
      <x:c r="I689" s="24" t="n">
        <x:f>H689/100-1</x:f>
        <x:v>0.0031745566251493162</x:v>
      </x:c>
      <x:c r="J689" s="26" t="n">
        <x:v>3</x:v>
      </x:c>
      <x:c r="K689" s="7" t="b">
        <x:v>0</x:v>
      </x:c>
      <x:c r="L689" s="2" t="str">
        <x:v>May 2026</x:v>
      </x:c>
      <x:c r="M689" s="2" t="str">
        <x:v>https://www.genaiadoptiontracker.com/</x:v>
      </x:c>
    </x:row>
    <x:row r="690" ht="24" customHeight="1">
      <x:c r="A690" s="2" t="str">
        <x:v>RPS</x:v>
      </x:c>
      <x:c r="B690" s="2" t="str">
        <x:v>Quintiles</x:v>
      </x:c>
      <x:c r="C690" s="2" t="str">
        <x:v>Q5</x:v>
      </x:c>
      <x:c r="D690" s="28" t="n">
        <x:v>45047</x:v>
      </x:c>
      <x:c r="E690" s="2" t="str">
        <x:v>2023Q2</x:v>
      </x:c>
      <x:c r="F690" s="20" t="n">
        <x:v>23145.1</x:v>
      </x:c>
      <x:c r="G690" s="20" t="n">
        <x:f>'Quarterly data'!$E$220</x:f>
        <x:v>23079.8333333333</x:v>
      </x:c>
      <x:c r="H690" s="22" t="n">
        <x:f>100*F690/G690</x:f>
        <x:v>100.28278655969513</x:v>
      </x:c>
      <x:c r="I690" s="24" t="n">
        <x:f>H690/100-1</x:f>
        <x:v>0.002827865596951362</x:v>
      </x:c>
      <x:c r="J690" s="26" t="n">
        <x:v>4</x:v>
      </x:c>
      <x:c r="K690" s="7" t="b">
        <x:v>0</x:v>
      </x:c>
      <x:c r="L690" s="2" t="str">
        <x:v>May 2026</x:v>
      </x:c>
      <x:c r="M690" s="2" t="str">
        <x:v>https://www.genaiadoptiontracker.com/</x:v>
      </x:c>
    </x:row>
    <x:row r="691" ht="24" customHeight="1">
      <x:c r="A691" s="2" t="str">
        <x:v>RPS</x:v>
      </x:c>
      <x:c r="B691" s="2" t="str">
        <x:v>Quintiles</x:v>
      </x:c>
      <x:c r="C691" s="2" t="str">
        <x:v>Q1</x:v>
      </x:c>
      <x:c r="D691" s="28" t="n">
        <x:v>45078</x:v>
      </x:c>
      <x:c r="E691" s="2" t="str">
        <x:v>2023Q2</x:v>
      </x:c>
      <x:c r="F691" s="20" t="n">
        <x:v>27092.5</x:v>
      </x:c>
      <x:c r="G691" s="20" t="n">
        <x:f>'Quarterly data'!$E$216</x:f>
        <x:v>26934</x:v>
      </x:c>
      <x:c r="H691" s="22" t="n">
        <x:f>100*F691/G691</x:f>
        <x:v>100.58847553278385</x:v>
      </x:c>
      <x:c r="I691" s="24" t="n">
        <x:f>H691/100-1</x:f>
        <x:v>0.005884755327838498</x:v>
      </x:c>
      <x:c r="J691" s="26" t="n">
        <x:v>4</x:v>
      </x:c>
      <x:c r="K691" s="7" t="b">
        <x:v>0</x:v>
      </x:c>
      <x:c r="L691" s="2" t="str">
        <x:v>May 2026</x:v>
      </x:c>
      <x:c r="M691" s="2" t="str">
        <x:v>https://www.genaiadoptiontracker.com/</x:v>
      </x:c>
    </x:row>
    <x:row r="692" ht="24" customHeight="1">
      <x:c r="A692" s="2" t="str">
        <x:v>RPS</x:v>
      </x:c>
      <x:c r="B692" s="2" t="str">
        <x:v>Quintiles</x:v>
      </x:c>
      <x:c r="C692" s="2" t="str">
        <x:v>Q2</x:v>
      </x:c>
      <x:c r="D692" s="28" t="n">
        <x:v>45078</x:v>
      </x:c>
      <x:c r="E692" s="2" t="str">
        <x:v>2023Q2</x:v>
      </x:c>
      <x:c r="F692" s="20" t="n">
        <x:v>39514.8</x:v>
      </x:c>
      <x:c r="G692" s="20" t="n">
        <x:f>'Quarterly data'!$E$217</x:f>
        <x:v>39187.3</x:v>
      </x:c>
      <x:c r="H692" s="22" t="n">
        <x:f>100*F692/G692</x:f>
        <x:v>100.83572994311933</x:v>
      </x:c>
      <x:c r="I692" s="24" t="n">
        <x:f>H692/100-1</x:f>
        <x:v>0.008357299431193344</x:v>
      </x:c>
      <x:c r="J692" s="26" t="n">
        <x:v>3</x:v>
      </x:c>
      <x:c r="K692" s="7" t="b">
        <x:v>0</x:v>
      </x:c>
      <x:c r="L692" s="2" t="str">
        <x:v>May 2026</x:v>
      </x:c>
      <x:c r="M692" s="2" t="str">
        <x:v>https://www.genaiadoptiontracker.com/</x:v>
      </x:c>
    </x:row>
    <x:row r="693" ht="24" customHeight="1">
      <x:c r="A693" s="2" t="str">
        <x:v>RPS</x:v>
      </x:c>
      <x:c r="B693" s="2" t="str">
        <x:v>Quintiles</x:v>
      </x:c>
      <x:c r="C693" s="2" t="str">
        <x:v>Q3</x:v>
      </x:c>
      <x:c r="D693" s="28" t="n">
        <x:v>45078</x:v>
      </x:c>
      <x:c r="E693" s="2" t="str">
        <x:v>2023Q2</x:v>
      </x:c>
      <x:c r="F693" s="20" t="n">
        <x:v>34170.7</x:v>
      </x:c>
      <x:c r="G693" s="20" t="n">
        <x:f>'Quarterly data'!$E$218</x:f>
        <x:v>34118.5666666667</x:v>
      </x:c>
      <x:c r="H693" s="22" t="n">
        <x:f>100*F693/G693</x:f>
        <x:v>100.15280047911341</x:v>
      </x:c>
      <x:c r="I693" s="24" t="n">
        <x:f>H693/100-1</x:f>
        <x:v>0.00152800479113413</x:v>
      </x:c>
      <x:c r="J693" s="26" t="n">
        <x:v>4</x:v>
      </x:c>
      <x:c r="K693" s="7" t="b">
        <x:v>0</x:v>
      </x:c>
      <x:c r="L693" s="2" t="str">
        <x:v>May 2026</x:v>
      </x:c>
      <x:c r="M693" s="2" t="str">
        <x:v>https://www.genaiadoptiontracker.com/</x:v>
      </x:c>
    </x:row>
    <x:row r="694" ht="24" customHeight="1">
      <x:c r="A694" s="2" t="str">
        <x:v>RPS</x:v>
      </x:c>
      <x:c r="B694" s="2" t="str">
        <x:v>Quintiles</x:v>
      </x:c>
      <x:c r="C694" s="2" t="str">
        <x:v>Q4</x:v>
      </x:c>
      <x:c r="D694" s="28" t="n">
        <x:v>45078</x:v>
      </x:c>
      <x:c r="E694" s="2" t="str">
        <x:v>2023Q2</x:v>
      </x:c>
      <x:c r="F694" s="20" t="n">
        <x:v>9130.3</x:v>
      </x:c>
      <x:c r="G694" s="20" t="n">
        <x:f>'Quarterly data'!$E$219</x:f>
        <x:v>9093.1333333333</x:v>
      </x:c>
      <x:c r="H694" s="22" t="n">
        <x:f>100*F694/G694</x:f>
        <x:v>100.4087333299123</x:v>
      </x:c>
      <x:c r="I694" s="24" t="n">
        <x:f>H694/100-1</x:f>
        <x:v>0.004087333299122919</x:v>
      </x:c>
      <x:c r="J694" s="26" t="n">
        <x:v>3</x:v>
      </x:c>
      <x:c r="K694" s="7" t="b">
        <x:v>0</x:v>
      </x:c>
      <x:c r="L694" s="2" t="str">
        <x:v>May 2026</x:v>
      </x:c>
      <x:c r="M694" s="2" t="str">
        <x:v>https://www.genaiadoptiontracker.com/</x:v>
      </x:c>
    </x:row>
    <x:row r="695" ht="24" customHeight="1">
      <x:c r="A695" s="2" t="str">
        <x:v>RPS</x:v>
      </x:c>
      <x:c r="B695" s="2" t="str">
        <x:v>Quintiles</x:v>
      </x:c>
      <x:c r="C695" s="2" t="str">
        <x:v>Q5</x:v>
      </x:c>
      <x:c r="D695" s="28" t="n">
        <x:v>45078</x:v>
      </x:c>
      <x:c r="E695" s="2" t="str">
        <x:v>2023Q2</x:v>
      </x:c>
      <x:c r="F695" s="20" t="n">
        <x:v>23134.8</x:v>
      </x:c>
      <x:c r="G695" s="20" t="n">
        <x:f>'Quarterly data'!$E$220</x:f>
        <x:v>23079.8333333333</x:v>
      </x:c>
      <x:c r="H695" s="22" t="n">
        <x:f>100*F695/G695</x:f>
        <x:v>100.23815885441128</x:v>
      </x:c>
      <x:c r="I695" s="24" t="n">
        <x:f>H695/100-1</x:f>
        <x:v>0.002381588544112745</x:v>
      </x:c>
      <x:c r="J695" s="26" t="n">
        <x:v>4</x:v>
      </x:c>
      <x:c r="K695" s="7" t="b">
        <x:v>0</x:v>
      </x:c>
      <x:c r="L695" s="2" t="str">
        <x:v>May 2026</x:v>
      </x:c>
      <x:c r="M695" s="2" t="str">
        <x:v>https://www.genaiadoptiontracker.com/</x:v>
      </x:c>
    </x:row>
    <x:row r="696" ht="24" customHeight="1">
      <x:c r="A696" s="2" t="str">
        <x:v>RPS</x:v>
      </x:c>
      <x:c r="B696" s="2" t="str">
        <x:v>Quintiles</x:v>
      </x:c>
      <x:c r="C696" s="2" t="str">
        <x:v>Q1</x:v>
      </x:c>
      <x:c r="D696" s="28" t="n">
        <x:v>45108</x:v>
      </x:c>
      <x:c r="E696" s="2" t="str">
        <x:v>2023Q3</x:v>
      </x:c>
      <x:c r="F696" s="20" t="n">
        <x:v>27128.5</x:v>
      </x:c>
      <x:c r="G696" s="20" t="n">
        <x:f>'Quarterly data'!$E$216</x:f>
        <x:v>26934</x:v>
      </x:c>
      <x:c r="H696" s="22" t="n">
        <x:f>100*F696/G696</x:f>
        <x:v>100.7221355907032</x:v>
      </x:c>
      <x:c r="I696" s="24" t="n">
        <x:f>H696/100-1</x:f>
        <x:v>0.00722135590703199</x:v>
      </x:c>
      <x:c r="J696" s="26" t="n">
        <x:v>4</x:v>
      </x:c>
      <x:c r="K696" s="7" t="b">
        <x:v>0</x:v>
      </x:c>
      <x:c r="L696" s="2" t="str">
        <x:v>May 2026</x:v>
      </x:c>
      <x:c r="M696" s="2" t="str">
        <x:v>https://www.genaiadoptiontracker.com/</x:v>
      </x:c>
    </x:row>
    <x:row r="697" ht="24" customHeight="1">
      <x:c r="A697" s="2" t="str">
        <x:v>RPS</x:v>
      </x:c>
      <x:c r="B697" s="2" t="str">
        <x:v>Quintiles</x:v>
      </x:c>
      <x:c r="C697" s="2" t="str">
        <x:v>Q2</x:v>
      </x:c>
      <x:c r="D697" s="28" t="n">
        <x:v>45108</x:v>
      </x:c>
      <x:c r="E697" s="2" t="str">
        <x:v>2023Q3</x:v>
      </x:c>
      <x:c r="F697" s="20" t="n">
        <x:v>39635</x:v>
      </x:c>
      <x:c r="G697" s="20" t="n">
        <x:f>'Quarterly data'!$E$217</x:f>
        <x:v>39187.3</x:v>
      </x:c>
      <x:c r="H697" s="22" t="n">
        <x:f>100*F697/G697</x:f>
        <x:v>101.14246197109777</x:v>
      </x:c>
      <x:c r="I697" s="24" t="n">
        <x:f>H697/100-1</x:f>
        <x:v>0.011424619710977746</x:v>
      </x:c>
      <x:c r="J697" s="26" t="n">
        <x:v>3</x:v>
      </x:c>
      <x:c r="K697" s="7" t="b">
        <x:v>0</x:v>
      </x:c>
      <x:c r="L697" s="2" t="str">
        <x:v>May 2026</x:v>
      </x:c>
      <x:c r="M697" s="2" t="str">
        <x:v>https://www.genaiadoptiontracker.com/</x:v>
      </x:c>
    </x:row>
    <x:row r="698" ht="24" customHeight="1">
      <x:c r="A698" s="2" t="str">
        <x:v>RPS</x:v>
      </x:c>
      <x:c r="B698" s="2" t="str">
        <x:v>Quintiles</x:v>
      </x:c>
      <x:c r="C698" s="2" t="str">
        <x:v>Q3</x:v>
      </x:c>
      <x:c r="D698" s="28" t="n">
        <x:v>45108</x:v>
      </x:c>
      <x:c r="E698" s="2" t="str">
        <x:v>2023Q3</x:v>
      </x:c>
      <x:c r="F698" s="20" t="n">
        <x:v>34126.2</x:v>
      </x:c>
      <x:c r="G698" s="20" t="n">
        <x:f>'Quarterly data'!$E$218</x:f>
        <x:v>34118.5666666667</x:v>
      </x:c>
      <x:c r="H698" s="22" t="n">
        <x:f>100*F698/G698</x:f>
        <x:v>100.022372960177</x:v>
      </x:c>
      <x:c r="I698" s="24" t="n">
        <x:f>H698/100-1</x:f>
        <x:v>0.00022372960176997303</x:v>
      </x:c>
      <x:c r="J698" s="26" t="n">
        <x:v>4</x:v>
      </x:c>
      <x:c r="K698" s="7" t="b">
        <x:v>0</x:v>
      </x:c>
      <x:c r="L698" s="2" t="str">
        <x:v>May 2026</x:v>
      </x:c>
      <x:c r="M698" s="2" t="str">
        <x:v>https://www.genaiadoptiontracker.com/</x:v>
      </x:c>
    </x:row>
    <x:row r="699" ht="24" customHeight="1">
      <x:c r="A699" s="2" t="str">
        <x:v>RPS</x:v>
      </x:c>
      <x:c r="B699" s="2" t="str">
        <x:v>Quintiles</x:v>
      </x:c>
      <x:c r="C699" s="2" t="str">
        <x:v>Q4</x:v>
      </x:c>
      <x:c r="D699" s="28" t="n">
        <x:v>45108</x:v>
      </x:c>
      <x:c r="E699" s="2" t="str">
        <x:v>2023Q3</x:v>
      </x:c>
      <x:c r="F699" s="20" t="n">
        <x:v>9148.5</x:v>
      </x:c>
      <x:c r="G699" s="20" t="n">
        <x:f>'Quarterly data'!$E$219</x:f>
        <x:v>9093.1333333333</x:v>
      </x:c>
      <x:c r="H699" s="22" t="n">
        <x:f>100*F699/G699</x:f>
        <x:v>100.60888435962704</x:v>
      </x:c>
      <x:c r="I699" s="24" t="n">
        <x:f>H699/100-1</x:f>
        <x:v>0.006088843596270488</x:v>
      </x:c>
      <x:c r="J699" s="26" t="n">
        <x:v>3</x:v>
      </x:c>
      <x:c r="K699" s="7" t="b">
        <x:v>0</x:v>
      </x:c>
      <x:c r="L699" s="2" t="str">
        <x:v>May 2026</x:v>
      </x:c>
      <x:c r="M699" s="2" t="str">
        <x:v>https://www.genaiadoptiontracker.com/</x:v>
      </x:c>
    </x:row>
    <x:row r="700" ht="24" customHeight="1">
      <x:c r="A700" s="2" t="str">
        <x:v>RPS</x:v>
      </x:c>
      <x:c r="B700" s="2" t="str">
        <x:v>Quintiles</x:v>
      </x:c>
      <x:c r="C700" s="2" t="str">
        <x:v>Q5</x:v>
      </x:c>
      <x:c r="D700" s="28" t="n">
        <x:v>45108</x:v>
      </x:c>
      <x:c r="E700" s="2" t="str">
        <x:v>2023Q3</x:v>
      </x:c>
      <x:c r="F700" s="20" t="n">
        <x:v>23121</x:v>
      </x:c>
      <x:c r="G700" s="20" t="n">
        <x:f>'Quarterly data'!$E$220</x:f>
        <x:v>23079.8333333333</x:v>
      </x:c>
      <x:c r="H700" s="22" t="n">
        <x:f>100*F700/G700</x:f>
        <x:v>100.17836639490478</x:v>
      </x:c>
      <x:c r="I700" s="24" t="n">
        <x:f>H700/100-1</x:f>
        <x:v>0.0017836639490478312</x:v>
      </x:c>
      <x:c r="J700" s="26" t="n">
        <x:v>4</x:v>
      </x:c>
      <x:c r="K700" s="7" t="b">
        <x:v>0</x:v>
      </x:c>
      <x:c r="L700" s="2" t="str">
        <x:v>May 2026</x:v>
      </x:c>
      <x:c r="M700" s="2" t="str">
        <x:v>https://www.genaiadoptiontracker.com/</x:v>
      </x:c>
    </x:row>
    <x:row r="701" ht="24" customHeight="1">
      <x:c r="A701" s="2" t="str">
        <x:v>RPS</x:v>
      </x:c>
      <x:c r="B701" s="2" t="str">
        <x:v>Quintiles</x:v>
      </x:c>
      <x:c r="C701" s="2" t="str">
        <x:v>Q1</x:v>
      </x:c>
      <x:c r="D701" s="28" t="n">
        <x:v>45139</x:v>
      </x:c>
      <x:c r="E701" s="2" t="str">
        <x:v>2023Q3</x:v>
      </x:c>
      <x:c r="F701" s="20" t="n">
        <x:v>27168.7</x:v>
      </x:c>
      <x:c r="G701" s="20" t="n">
        <x:f>'Quarterly data'!$E$216</x:f>
        <x:v>26934</x:v>
      </x:c>
      <x:c r="H701" s="22" t="n">
        <x:f>100*F701/G701</x:f>
        <x:v>100.87138932204648</x:v>
      </x:c>
      <x:c r="I701" s="24" t="n">
        <x:f>H701/100-1</x:f>
        <x:v>0.008713893220464897</x:v>
      </x:c>
      <x:c r="J701" s="26" t="n">
        <x:v>4</x:v>
      </x:c>
      <x:c r="K701" s="7" t="b">
        <x:v>0</x:v>
      </x:c>
      <x:c r="L701" s="2" t="str">
        <x:v>May 2026</x:v>
      </x:c>
      <x:c r="M701" s="2" t="str">
        <x:v>https://www.genaiadoptiontracker.com/</x:v>
      </x:c>
    </x:row>
    <x:row r="702" ht="24" customHeight="1">
      <x:c r="A702" s="2" t="str">
        <x:v>RPS</x:v>
      </x:c>
      <x:c r="B702" s="2" t="str">
        <x:v>Quintiles</x:v>
      </x:c>
      <x:c r="C702" s="2" t="str">
        <x:v>Q2</x:v>
      </x:c>
      <x:c r="D702" s="28" t="n">
        <x:v>45139</x:v>
      </x:c>
      <x:c r="E702" s="2" t="str">
        <x:v>2023Q3</x:v>
      </x:c>
      <x:c r="F702" s="20" t="n">
        <x:v>39734</x:v>
      </x:c>
      <x:c r="G702" s="20" t="n">
        <x:f>'Quarterly data'!$E$217</x:f>
        <x:v>39187.3</x:v>
      </x:c>
      <x:c r="H702" s="22" t="n">
        <x:f>100*F702/G702</x:f>
        <x:v>101.39509483939949</x:v>
      </x:c>
      <x:c r="I702" s="24" t="n">
        <x:f>H702/100-1</x:f>
        <x:v>0.0139509483939948</x:v>
      </x:c>
      <x:c r="J702" s="26" t="n">
        <x:v>3</x:v>
      </x:c>
      <x:c r="K702" s="7" t="b">
        <x:v>0</x:v>
      </x:c>
      <x:c r="L702" s="2" t="str">
        <x:v>May 2026</x:v>
      </x:c>
      <x:c r="M702" s="2" t="str">
        <x:v>https://www.genaiadoptiontracker.com/</x:v>
      </x:c>
    </x:row>
    <x:row r="703" ht="24" customHeight="1">
      <x:c r="A703" s="2" t="str">
        <x:v>RPS</x:v>
      </x:c>
      <x:c r="B703" s="2" t="str">
        <x:v>Quintiles</x:v>
      </x:c>
      <x:c r="C703" s="2" t="str">
        <x:v>Q3</x:v>
      </x:c>
      <x:c r="D703" s="28" t="n">
        <x:v>45139</x:v>
      </x:c>
      <x:c r="E703" s="2" t="str">
        <x:v>2023Q3</x:v>
      </x:c>
      <x:c r="F703" s="20" t="n">
        <x:v>34134.7</x:v>
      </x:c>
      <x:c r="G703" s="20" t="n">
        <x:f>'Quarterly data'!$E$218</x:f>
        <x:v>34118.5666666667</x:v>
      </x:c>
      <x:c r="H703" s="22" t="n">
        <x:f>100*F703/G703</x:f>
        <x:v>100.04728608177159</x:v>
      </x:c>
      <x:c r="I703" s="24" t="n">
        <x:f>H703/100-1</x:f>
        <x:v>0.00047286081771580335</x:v>
      </x:c>
      <x:c r="J703" s="26" t="n">
        <x:v>4</x:v>
      </x:c>
      <x:c r="K703" s="7" t="b">
        <x:v>0</x:v>
      </x:c>
      <x:c r="L703" s="2" t="str">
        <x:v>May 2026</x:v>
      </x:c>
      <x:c r="M703" s="2" t="str">
        <x:v>https://www.genaiadoptiontracker.com/</x:v>
      </x:c>
    </x:row>
    <x:row r="704" ht="24" customHeight="1">
      <x:c r="A704" s="2" t="str">
        <x:v>RPS</x:v>
      </x:c>
      <x:c r="B704" s="2" t="str">
        <x:v>Quintiles</x:v>
      </x:c>
      <x:c r="C704" s="2" t="str">
        <x:v>Q4</x:v>
      </x:c>
      <x:c r="D704" s="28" t="n">
        <x:v>45139</x:v>
      </x:c>
      <x:c r="E704" s="2" t="str">
        <x:v>2023Q3</x:v>
      </x:c>
      <x:c r="F704" s="20" t="n">
        <x:v>9157.1</x:v>
      </x:c>
      <x:c r="G704" s="20" t="n">
        <x:f>'Quarterly data'!$E$219</x:f>
        <x:v>9093.1333333333</x:v>
      </x:c>
      <x:c r="H704" s="22" t="n">
        <x:f>100*F704/G704</x:f>
        <x:v>100.70346121982192</x:v>
      </x:c>
      <x:c r="I704" s="24" t="n">
        <x:f>H704/100-1</x:f>
        <x:v>0.0070346121982192145</x:v>
      </x:c>
      <x:c r="J704" s="26" t="n">
        <x:v>3</x:v>
      </x:c>
      <x:c r="K704" s="7" t="b">
        <x:v>0</x:v>
      </x:c>
      <x:c r="L704" s="2" t="str">
        <x:v>May 2026</x:v>
      </x:c>
      <x:c r="M704" s="2" t="str">
        <x:v>https://www.genaiadoptiontracker.com/</x:v>
      </x:c>
    </x:row>
    <x:row r="705" ht="24" customHeight="1">
      <x:c r="A705" s="2" t="str">
        <x:v>RPS</x:v>
      </x:c>
      <x:c r="B705" s="2" t="str">
        <x:v>Quintiles</x:v>
      </x:c>
      <x:c r="C705" s="2" t="str">
        <x:v>Q5</x:v>
      </x:c>
      <x:c r="D705" s="28" t="n">
        <x:v>45139</x:v>
      </x:c>
      <x:c r="E705" s="2" t="str">
        <x:v>2023Q3</x:v>
      </x:c>
      <x:c r="F705" s="20" t="n">
        <x:v>23114.3</x:v>
      </x:c>
      <x:c r="G705" s="20" t="n">
        <x:f>'Quarterly data'!$E$220</x:f>
        <x:v>23079.8333333333</x:v>
      </x:c>
      <x:c r="H705" s="22" t="n">
        <x:f>100*F705/G705</x:f>
        <x:v>100.1493367225357</x:v>
      </x:c>
      <x:c r="I705" s="24" t="n">
        <x:f>H705/100-1</x:f>
        <x:v>0.0014933672253569785</x:v>
      </x:c>
      <x:c r="J705" s="26" t="n">
        <x:v>4</x:v>
      </x:c>
      <x:c r="K705" s="7" t="b">
        <x:v>0</x:v>
      </x:c>
      <x:c r="L705" s="2" t="str">
        <x:v>May 2026</x:v>
      </x:c>
      <x:c r="M705" s="2" t="str">
        <x:v>https://www.genaiadoptiontracker.com/</x:v>
      </x:c>
    </x:row>
    <x:row r="706" ht="24" customHeight="1">
      <x:c r="A706" s="2" t="str">
        <x:v>RPS</x:v>
      </x:c>
      <x:c r="B706" s="2" t="str">
        <x:v>Quintiles</x:v>
      </x:c>
      <x:c r="C706" s="2" t="str">
        <x:v>Q1</x:v>
      </x:c>
      <x:c r="D706" s="28" t="n">
        <x:v>45170</x:v>
      </x:c>
      <x:c r="E706" s="2" t="str">
        <x:v>2023Q3</x:v>
      </x:c>
      <x:c r="F706" s="20" t="n">
        <x:v>27206</x:v>
      </x:c>
      <x:c r="G706" s="20" t="n">
        <x:f>'Quarterly data'!$E$216</x:f>
        <x:v>26934</x:v>
      </x:c>
      <x:c r="H706" s="22" t="n">
        <x:f>100*F706/G706</x:f>
        <x:v>101.00987599316849</x:v>
      </x:c>
      <x:c r="I706" s="24" t="n">
        <x:f>H706/100-1</x:f>
        <x:v>0.010098759931684853</x:v>
      </x:c>
      <x:c r="J706" s="26" t="n">
        <x:v>4</x:v>
      </x:c>
      <x:c r="K706" s="7" t="b">
        <x:v>0</x:v>
      </x:c>
      <x:c r="L706" s="2" t="str">
        <x:v>May 2026</x:v>
      </x:c>
      <x:c r="M706" s="2" t="str">
        <x:v>https://www.genaiadoptiontracker.com/</x:v>
      </x:c>
    </x:row>
    <x:row r="707" ht="24" customHeight="1">
      <x:c r="A707" s="2" t="str">
        <x:v>RPS</x:v>
      </x:c>
      <x:c r="B707" s="2" t="str">
        <x:v>Quintiles</x:v>
      </x:c>
      <x:c r="C707" s="2" t="str">
        <x:v>Q2</x:v>
      </x:c>
      <x:c r="D707" s="28" t="n">
        <x:v>45170</x:v>
      </x:c>
      <x:c r="E707" s="2" t="str">
        <x:v>2023Q3</x:v>
      </x:c>
      <x:c r="F707" s="20" t="n">
        <x:v>39803.4</x:v>
      </x:c>
      <x:c r="G707" s="20" t="n">
        <x:f>'Quarterly data'!$E$217</x:f>
        <x:v>39187.3</x:v>
      </x:c>
      <x:c r="H707" s="22" t="n">
        <x:f>100*F707/G707</x:f>
        <x:v>101.57219303192615</x:v>
      </x:c>
      <x:c r="I707" s="24" t="n">
        <x:f>H707/100-1</x:f>
        <x:v>0.0157219303192615</x:v>
      </x:c>
      <x:c r="J707" s="26" t="n">
        <x:v>3</x:v>
      </x:c>
      <x:c r="K707" s="7" t="b">
        <x:v>0</x:v>
      </x:c>
      <x:c r="L707" s="2" t="str">
        <x:v>May 2026</x:v>
      </x:c>
      <x:c r="M707" s="2" t="str">
        <x:v>https://www.genaiadoptiontracker.com/</x:v>
      </x:c>
    </x:row>
    <x:row r="708" ht="24" customHeight="1">
      <x:c r="A708" s="2" t="str">
        <x:v>RPS</x:v>
      </x:c>
      <x:c r="B708" s="2" t="str">
        <x:v>Quintiles</x:v>
      </x:c>
      <x:c r="C708" s="2" t="str">
        <x:v>Q3</x:v>
      </x:c>
      <x:c r="D708" s="28" t="n">
        <x:v>45170</x:v>
      </x:c>
      <x:c r="E708" s="2" t="str">
        <x:v>2023Q3</x:v>
      </x:c>
      <x:c r="F708" s="20" t="n">
        <x:v>34145.7</x:v>
      </x:c>
      <x:c r="G708" s="20" t="n">
        <x:f>'Quarterly data'!$E$218</x:f>
        <x:v>34118.5666666667</x:v>
      </x:c>
      <x:c r="H708" s="22" t="n">
        <x:f>100*F708/G708</x:f>
        <x:v>100.07952659207048</x:v>
      </x:c>
      <x:c r="I708" s="24" t="n">
        <x:f>H708/100-1</x:f>
        <x:v>0.0007952659207048907</x:v>
      </x:c>
      <x:c r="J708" s="26" t="n">
        <x:v>4</x:v>
      </x:c>
      <x:c r="K708" s="7" t="b">
        <x:v>0</x:v>
      </x:c>
      <x:c r="L708" s="2" t="str">
        <x:v>May 2026</x:v>
      </x:c>
      <x:c r="M708" s="2" t="str">
        <x:v>https://www.genaiadoptiontracker.com/</x:v>
      </x:c>
    </x:row>
    <x:row r="709" ht="24" customHeight="1">
      <x:c r="A709" s="2" t="str">
        <x:v>RPS</x:v>
      </x:c>
      <x:c r="B709" s="2" t="str">
        <x:v>Quintiles</x:v>
      </x:c>
      <x:c r="C709" s="2" t="str">
        <x:v>Q4</x:v>
      </x:c>
      <x:c r="D709" s="28" t="n">
        <x:v>45170</x:v>
      </x:c>
      <x:c r="E709" s="2" t="str">
        <x:v>2023Q3</x:v>
      </x:c>
      <x:c r="F709" s="20" t="n">
        <x:v>9171.4</x:v>
      </x:c>
      <x:c r="G709" s="20" t="n">
        <x:f>'Quarterly data'!$E$219</x:f>
        <x:v>9093.1333333333</x:v>
      </x:c>
      <x:c r="H709" s="22" t="n">
        <x:f>100*F709/G709</x:f>
        <x:v>100.8607227431692</x:v>
      </x:c>
      <x:c r="I709" s="24" t="n">
        <x:f>H709/100-1</x:f>
        <x:v>0.008607227431691955</x:v>
      </x:c>
      <x:c r="J709" s="26" t="n">
        <x:v>3</x:v>
      </x:c>
      <x:c r="K709" s="7" t="b">
        <x:v>0</x:v>
      </x:c>
      <x:c r="L709" s="2" t="str">
        <x:v>May 2026</x:v>
      </x:c>
      <x:c r="M709" s="2" t="str">
        <x:v>https://www.genaiadoptiontracker.com/</x:v>
      </x:c>
    </x:row>
    <x:row r="710" ht="24" customHeight="1">
      <x:c r="A710" s="2" t="str">
        <x:v>RPS</x:v>
      </x:c>
      <x:c r="B710" s="2" t="str">
        <x:v>Quintiles</x:v>
      </x:c>
      <x:c r="C710" s="2" t="str">
        <x:v>Q5</x:v>
      </x:c>
      <x:c r="D710" s="28" t="n">
        <x:v>45170</x:v>
      </x:c>
      <x:c r="E710" s="2" t="str">
        <x:v>2023Q3</x:v>
      </x:c>
      <x:c r="F710" s="20" t="n">
        <x:v>23096.2</x:v>
      </x:c>
      <x:c r="G710" s="20" t="n">
        <x:f>'Quarterly data'!$E$220</x:f>
        <x:v>23079.8333333333</x:v>
      </x:c>
      <x:c r="H710" s="22" t="n">
        <x:f>100*F710/G710</x:f>
        <x:v>100.07091327926993</x:v>
      </x:c>
      <x:c r="I710" s="24" t="n">
        <x:f>H710/100-1</x:f>
        <x:v>0.0007091327926993518</x:v>
      </x:c>
      <x:c r="J710" s="26" t="n">
        <x:v>4</x:v>
      </x:c>
      <x:c r="K710" s="7" t="b">
        <x:v>0</x:v>
      </x:c>
      <x:c r="L710" s="2" t="str">
        <x:v>May 2026</x:v>
      </x:c>
      <x:c r="M710" s="2" t="str">
        <x:v>https://www.genaiadoptiontracker.com/</x:v>
      </x:c>
    </x:row>
    <x:row r="711" ht="24" customHeight="1">
      <x:c r="A711" s="2" t="str">
        <x:v>RPS</x:v>
      </x:c>
      <x:c r="B711" s="2" t="str">
        <x:v>Quintiles</x:v>
      </x:c>
      <x:c r="C711" s="2" t="str">
        <x:v>Q1</x:v>
      </x:c>
      <x:c r="D711" s="28" t="n">
        <x:v>45200</x:v>
      </x:c>
      <x:c r="E711" s="2" t="str">
        <x:v>2023Q4</x:v>
      </x:c>
      <x:c r="F711" s="20" t="n">
        <x:v>27231.2</x:v>
      </x:c>
      <x:c r="G711" s="20" t="n">
        <x:f>'Quarterly data'!$E$216</x:f>
        <x:v>26934</x:v>
      </x:c>
      <x:c r="H711" s="22" t="n">
        <x:f>100*F711/G711</x:f>
        <x:v>101.10343803371204</x:v>
      </x:c>
      <x:c r="I711" s="24" t="n">
        <x:f>H711/100-1</x:f>
        <x:v>0.011034380337120453</x:v>
      </x:c>
      <x:c r="J711" s="26" t="n">
        <x:v>4</x:v>
      </x:c>
      <x:c r="K711" s="7" t="b">
        <x:v>0</x:v>
      </x:c>
      <x:c r="L711" s="2" t="str">
        <x:v>May 2026</x:v>
      </x:c>
      <x:c r="M711" s="2" t="str">
        <x:v>https://www.genaiadoptiontracker.com/</x:v>
      </x:c>
    </x:row>
    <x:row r="712" ht="24" customHeight="1">
      <x:c r="A712" s="2" t="str">
        <x:v>RPS</x:v>
      </x:c>
      <x:c r="B712" s="2" t="str">
        <x:v>Quintiles</x:v>
      </x:c>
      <x:c r="C712" s="2" t="str">
        <x:v>Q2</x:v>
      </x:c>
      <x:c r="D712" s="28" t="n">
        <x:v>45200</x:v>
      </x:c>
      <x:c r="E712" s="2" t="str">
        <x:v>2023Q4</x:v>
      </x:c>
      <x:c r="F712" s="20" t="n">
        <x:v>39939.1</x:v>
      </x:c>
      <x:c r="G712" s="20" t="n">
        <x:f>'Quarterly data'!$E$217</x:f>
        <x:v>39187.3</x:v>
      </x:c>
      <x:c r="H712" s="22" t="n">
        <x:f>100*F712/G712</x:f>
        <x:v>101.91847869080033</x:v>
      </x:c>
      <x:c r="I712" s="24" t="n">
        <x:f>H712/100-1</x:f>
        <x:v>0.019184786908003293</x:v>
      </x:c>
      <x:c r="J712" s="26" t="n">
        <x:v>3</x:v>
      </x:c>
      <x:c r="K712" s="7" t="b">
        <x:v>0</x:v>
      </x:c>
      <x:c r="L712" s="2" t="str">
        <x:v>May 2026</x:v>
      </x:c>
      <x:c r="M712" s="2" t="str">
        <x:v>https://www.genaiadoptiontracker.com/</x:v>
      </x:c>
    </x:row>
    <x:row r="713" ht="24" customHeight="1">
      <x:c r="A713" s="2" t="str">
        <x:v>RPS</x:v>
      </x:c>
      <x:c r="B713" s="2" t="str">
        <x:v>Quintiles</x:v>
      </x:c>
      <x:c r="C713" s="2" t="str">
        <x:v>Q3</x:v>
      </x:c>
      <x:c r="D713" s="28" t="n">
        <x:v>45200</x:v>
      </x:c>
      <x:c r="E713" s="2" t="str">
        <x:v>2023Q4</x:v>
      </x:c>
      <x:c r="F713" s="20" t="n">
        <x:v>34130.8</x:v>
      </x:c>
      <x:c r="G713" s="20" t="n">
        <x:f>'Quarterly data'!$E$218</x:f>
        <x:v>34118.5666666667</x:v>
      </x:c>
      <x:c r="H713" s="22" t="n">
        <x:f>100*F713/G713</x:f>
        <x:v>100.03585535539291</x:v>
      </x:c>
      <x:c r="I713" s="24" t="n">
        <x:f>H713/100-1</x:f>
        <x:v>0.0003585535539292195</x:v>
      </x:c>
      <x:c r="J713" s="26" t="n">
        <x:v>4</x:v>
      </x:c>
      <x:c r="K713" s="7" t="b">
        <x:v>0</x:v>
      </x:c>
      <x:c r="L713" s="2" t="str">
        <x:v>May 2026</x:v>
      </x:c>
      <x:c r="M713" s="2" t="str">
        <x:v>https://www.genaiadoptiontracker.com/</x:v>
      </x:c>
    </x:row>
    <x:row r="714" ht="24" customHeight="1">
      <x:c r="A714" s="2" t="str">
        <x:v>RPS</x:v>
      </x:c>
      <x:c r="B714" s="2" t="str">
        <x:v>Quintiles</x:v>
      </x:c>
      <x:c r="C714" s="2" t="str">
        <x:v>Q4</x:v>
      </x:c>
      <x:c r="D714" s="28" t="n">
        <x:v>45200</x:v>
      </x:c>
      <x:c r="E714" s="2" t="str">
        <x:v>2023Q4</x:v>
      </x:c>
      <x:c r="F714" s="20" t="n">
        <x:v>9174</x:v>
      </x:c>
      <x:c r="G714" s="20" t="n">
        <x:f>'Quarterly data'!$E$219</x:f>
        <x:v>9093.1333333333</x:v>
      </x:c>
      <x:c r="H714" s="22" t="n">
        <x:f>100*F714/G714</x:f>
        <x:v>100.88931574741416</x:v>
      </x:c>
      <x:c r="I714" s="24" t="n">
        <x:f>H714/100-1</x:f>
        <x:v>0.008893157474141544</x:v>
      </x:c>
      <x:c r="J714" s="26" t="n">
        <x:v>3</x:v>
      </x:c>
      <x:c r="K714" s="7" t="b">
        <x:v>0</x:v>
      </x:c>
      <x:c r="L714" s="2" t="str">
        <x:v>May 2026</x:v>
      </x:c>
      <x:c r="M714" s="2" t="str">
        <x:v>https://www.genaiadoptiontracker.com/</x:v>
      </x:c>
    </x:row>
    <x:row r="715" ht="24" customHeight="1">
      <x:c r="A715" s="2" t="str">
        <x:v>RPS</x:v>
      </x:c>
      <x:c r="B715" s="2" t="str">
        <x:v>Quintiles</x:v>
      </x:c>
      <x:c r="C715" s="2" t="str">
        <x:v>Q5</x:v>
      </x:c>
      <x:c r="D715" s="28" t="n">
        <x:v>45200</x:v>
      </x:c>
      <x:c r="E715" s="2" t="str">
        <x:v>2023Q4</x:v>
      </x:c>
      <x:c r="F715" s="20" t="n">
        <x:v>23061.2</x:v>
      </x:c>
      <x:c r="G715" s="20" t="n">
        <x:f>'Quarterly data'!$E$220</x:f>
        <x:v>23079.8333333333</x:v>
      </x:c>
      <x:c r="H715" s="22" t="n">
        <x:f>100*F715/G715</x:f>
        <x:v>99.9192657370433</x:v>
      </x:c>
      <x:c r="I715" s="24" t="n">
        <x:f>H715/100-1</x:f>
        <x:v>-0.0008073426295669428</x:v>
      </x:c>
      <x:c r="J715" s="26" t="n">
        <x:v>4</x:v>
      </x:c>
      <x:c r="K715" s="7" t="b">
        <x:v>0</x:v>
      </x:c>
      <x:c r="L715" s="2" t="str">
        <x:v>May 2026</x:v>
      </x:c>
      <x:c r="M715" s="2" t="str">
        <x:v>https://www.genaiadoptiontracker.com/</x:v>
      </x:c>
    </x:row>
    <x:row r="716" ht="24" customHeight="1">
      <x:c r="A716" s="2" t="str">
        <x:v>RPS</x:v>
      </x:c>
      <x:c r="B716" s="2" t="str">
        <x:v>Quintiles</x:v>
      </x:c>
      <x:c r="C716" s="2" t="str">
        <x:v>Q1</x:v>
      </x:c>
      <x:c r="D716" s="28" t="n">
        <x:v>45231</x:v>
      </x:c>
      <x:c r="E716" s="2" t="str">
        <x:v>2023Q4</x:v>
      </x:c>
      <x:c r="F716" s="20" t="n">
        <x:v>27247.8</x:v>
      </x:c>
      <x:c r="G716" s="20" t="n">
        <x:f>'Quarterly data'!$E$216</x:f>
        <x:v>26934</x:v>
      </x:c>
      <x:c r="H716" s="22" t="n">
        <x:f>100*F716/G716</x:f>
        <x:v>101.1650701715304</x:v>
      </x:c>
      <x:c r="I716" s="24" t="n">
        <x:f>H716/100-1</x:f>
        <x:v>0.011650701715304024</x:v>
      </x:c>
      <x:c r="J716" s="26" t="n">
        <x:v>4</x:v>
      </x:c>
      <x:c r="K716" s="7" t="b">
        <x:v>0</x:v>
      </x:c>
      <x:c r="L716" s="2" t="str">
        <x:v>May 2026</x:v>
      </x:c>
      <x:c r="M716" s="2" t="str">
        <x:v>https://www.genaiadoptiontracker.com/</x:v>
      </x:c>
    </x:row>
    <x:row r="717" ht="24" customHeight="1">
      <x:c r="A717" s="2" t="str">
        <x:v>RPS</x:v>
      </x:c>
      <x:c r="B717" s="2" t="str">
        <x:v>Quintiles</x:v>
      </x:c>
      <x:c r="C717" s="2" t="str">
        <x:v>Q2</x:v>
      </x:c>
      <x:c r="D717" s="28" t="n">
        <x:v>45231</x:v>
      </x:c>
      <x:c r="E717" s="2" t="str">
        <x:v>2023Q4</x:v>
      </x:c>
      <x:c r="F717" s="20" t="n">
        <x:v>40011.2</x:v>
      </x:c>
      <x:c r="G717" s="20" t="n">
        <x:f>'Quarterly data'!$E$217</x:f>
        <x:v>39187.3</x:v>
      </x:c>
      <x:c r="H717" s="22" t="n">
        <x:f>100*F717/G717</x:f>
        <x:v>102.10246687064429</x:v>
      </x:c>
      <x:c r="I717" s="24" t="n">
        <x:f>H717/100-1</x:f>
        <x:v>0.021024668706442817</x:v>
      </x:c>
      <x:c r="J717" s="26" t="n">
        <x:v>3</x:v>
      </x:c>
      <x:c r="K717" s="7" t="b">
        <x:v>0</x:v>
      </x:c>
      <x:c r="L717" s="2" t="str">
        <x:v>May 2026</x:v>
      </x:c>
      <x:c r="M717" s="2" t="str">
        <x:v>https://www.genaiadoptiontracker.com/</x:v>
      </x:c>
    </x:row>
    <x:row r="718" ht="24" customHeight="1">
      <x:c r="A718" s="2" t="str">
        <x:v>RPS</x:v>
      </x:c>
      <x:c r="B718" s="2" t="str">
        <x:v>Quintiles</x:v>
      </x:c>
      <x:c r="C718" s="2" t="str">
        <x:v>Q3</x:v>
      </x:c>
      <x:c r="D718" s="28" t="n">
        <x:v>45231</x:v>
      </x:c>
      <x:c r="E718" s="2" t="str">
        <x:v>2023Q4</x:v>
      </x:c>
      <x:c r="F718" s="20" t="n">
        <x:v>34121.6</x:v>
      </x:c>
      <x:c r="G718" s="20" t="n">
        <x:f>'Quarterly data'!$E$218</x:f>
        <x:v>34118.5666666667</x:v>
      </x:c>
      <x:c r="H718" s="22" t="n">
        <x:f>100*F718/G718</x:f>
        <x:v>100.0088905649611</x:v>
      </x:c>
      <x:c r="I718" s="24" t="n">
        <x:f>H718/100-1</x:f>
        <x:v>0.00008890564961117065</x:v>
      </x:c>
      <x:c r="J718" s="26" t="n">
        <x:v>4</x:v>
      </x:c>
      <x:c r="K718" s="7" t="b">
        <x:v>0</x:v>
      </x:c>
      <x:c r="L718" s="2" t="str">
        <x:v>May 2026</x:v>
      </x:c>
      <x:c r="M718" s="2" t="str">
        <x:v>https://www.genaiadoptiontracker.com/</x:v>
      </x:c>
    </x:row>
    <x:row r="719" ht="24" customHeight="1">
      <x:c r="A719" s="2" t="str">
        <x:v>RPS</x:v>
      </x:c>
      <x:c r="B719" s="2" t="str">
        <x:v>Quintiles</x:v>
      </x:c>
      <x:c r="C719" s="2" t="str">
        <x:v>Q4</x:v>
      </x:c>
      <x:c r="D719" s="28" t="n">
        <x:v>45231</x:v>
      </x:c>
      <x:c r="E719" s="2" t="str">
        <x:v>2023Q4</x:v>
      </x:c>
      <x:c r="F719" s="20" t="n">
        <x:v>9183.1</x:v>
      </x:c>
      <x:c r="G719" s="20" t="n">
        <x:f>'Quarterly data'!$E$219</x:f>
        <x:v>9093.1333333333</x:v>
      </x:c>
      <x:c r="H719" s="22" t="n">
        <x:f>100*F719/G719</x:f>
        <x:v>100.98939126227152</x:v>
      </x:c>
      <x:c r="I719" s="24" t="n">
        <x:f>H719/100-1</x:f>
        <x:v>0.009893912622715328</x:v>
      </x:c>
      <x:c r="J719" s="26" t="n">
        <x:v>3</x:v>
      </x:c>
      <x:c r="K719" s="7" t="b">
        <x:v>0</x:v>
      </x:c>
      <x:c r="L719" s="2" t="str">
        <x:v>May 2026</x:v>
      </x:c>
      <x:c r="M719" s="2" t="str">
        <x:v>https://www.genaiadoptiontracker.com/</x:v>
      </x:c>
    </x:row>
    <x:row r="720" ht="24" customHeight="1">
      <x:c r="A720" s="2" t="str">
        <x:v>RPS</x:v>
      </x:c>
      <x:c r="B720" s="2" t="str">
        <x:v>Quintiles</x:v>
      </x:c>
      <x:c r="C720" s="2" t="str">
        <x:v>Q5</x:v>
      </x:c>
      <x:c r="D720" s="28" t="n">
        <x:v>45231</x:v>
      </x:c>
      <x:c r="E720" s="2" t="str">
        <x:v>2023Q4</x:v>
      </x:c>
      <x:c r="F720" s="20" t="n">
        <x:v>23059.6</x:v>
      </x:c>
      <x:c r="G720" s="20" t="n">
        <x:f>'Quarterly data'!$E$220</x:f>
        <x:v>23079.8333333333</x:v>
      </x:c>
      <x:c r="H720" s="22" t="n">
        <x:f>100*F720/G720</x:f>
        <x:v>99.91233327797009</x:v>
      </x:c>
      <x:c r="I720" s="24" t="n">
        <x:f>H720/100-1</x:f>
        <x:v>-0.0008766672202991099</x:v>
      </x:c>
      <x:c r="J720" s="26" t="n">
        <x:v>4</x:v>
      </x:c>
      <x:c r="K720" s="7" t="b">
        <x:v>0</x:v>
      </x:c>
      <x:c r="L720" s="2" t="str">
        <x:v>May 2026</x:v>
      </x:c>
      <x:c r="M720" s="2" t="str">
        <x:v>https://www.genaiadoptiontracker.com/</x:v>
      </x:c>
    </x:row>
    <x:row r="721" ht="24" customHeight="1">
      <x:c r="A721" s="2" t="str">
        <x:v>RPS</x:v>
      </x:c>
      <x:c r="B721" s="2" t="str">
        <x:v>Quintiles</x:v>
      </x:c>
      <x:c r="C721" s="2" t="str">
        <x:v>Q1</x:v>
      </x:c>
      <x:c r="D721" s="28" t="n">
        <x:v>45261</x:v>
      </x:c>
      <x:c r="E721" s="2" t="str">
        <x:v>2023Q4</x:v>
      </x:c>
      <x:c r="F721" s="20" t="n">
        <x:v>27196.2</x:v>
      </x:c>
      <x:c r="G721" s="20" t="n">
        <x:f>'Quarterly data'!$E$216</x:f>
        <x:v>26934</x:v>
      </x:c>
      <x:c r="H721" s="22" t="n">
        <x:f>100*F721/G721</x:f>
        <x:v>100.97349075517933</x:v>
      </x:c>
      <x:c r="I721" s="24" t="n">
        <x:f>H721/100-1</x:f>
        <x:v>0.009734907551793182</x:v>
      </x:c>
      <x:c r="J721" s="26" t="n">
        <x:v>4</x:v>
      </x:c>
      <x:c r="K721" s="7" t="b">
        <x:v>0</x:v>
      </x:c>
      <x:c r="L721" s="2" t="str">
        <x:v>May 2026</x:v>
      </x:c>
      <x:c r="M721" s="2" t="str">
        <x:v>https://www.genaiadoptiontracker.com/</x:v>
      </x:c>
    </x:row>
    <x:row r="722" ht="24" customHeight="1">
      <x:c r="A722" s="2" t="str">
        <x:v>RPS</x:v>
      </x:c>
      <x:c r="B722" s="2" t="str">
        <x:v>Quintiles</x:v>
      </x:c>
      <x:c r="C722" s="2" t="str">
        <x:v>Q2</x:v>
      </x:c>
      <x:c r="D722" s="28" t="n">
        <x:v>45261</x:v>
      </x:c>
      <x:c r="E722" s="2" t="str">
        <x:v>2023Q4</x:v>
      </x:c>
      <x:c r="F722" s="20" t="n">
        <x:v>40138.8</x:v>
      </x:c>
      <x:c r="G722" s="20" t="n">
        <x:f>'Quarterly data'!$E$217</x:f>
        <x:v>39187.3</x:v>
      </x:c>
      <x:c r="H722" s="22" t="n">
        <x:f>100*F722/G722</x:f>
        <x:v>102.42808256756653</x:v>
      </x:c>
      <x:c r="I722" s="24" t="n">
        <x:f>H722/100-1</x:f>
        <x:v>0.024280825675665252</x:v>
      </x:c>
      <x:c r="J722" s="26" t="n">
        <x:v>3</x:v>
      </x:c>
      <x:c r="K722" s="7" t="b">
        <x:v>0</x:v>
      </x:c>
      <x:c r="L722" s="2" t="str">
        <x:v>May 2026</x:v>
      </x:c>
      <x:c r="M722" s="2" t="str">
        <x:v>https://www.genaiadoptiontracker.com/</x:v>
      </x:c>
    </x:row>
    <x:row r="723" ht="24" customHeight="1">
      <x:c r="A723" s="2" t="str">
        <x:v>RPS</x:v>
      </x:c>
      <x:c r="B723" s="2" t="str">
        <x:v>Quintiles</x:v>
      </x:c>
      <x:c r="C723" s="2" t="str">
        <x:v>Q3</x:v>
      </x:c>
      <x:c r="D723" s="28" t="n">
        <x:v>45261</x:v>
      </x:c>
      <x:c r="E723" s="2" t="str">
        <x:v>2023Q4</x:v>
      </x:c>
      <x:c r="F723" s="20" t="n">
        <x:v>34116.5</x:v>
      </x:c>
      <x:c r="G723" s="20" t="n">
        <x:f>'Quarterly data'!$E$218</x:f>
        <x:v>34118.5666666667</x:v>
      </x:c>
      <x:c r="H723" s="22" t="n">
        <x:f>100*F723/G723</x:f>
        <x:v>99.99394269200435</x:v>
      </x:c>
      <x:c r="I723" s="24" t="n">
        <x:f>H723/100-1</x:f>
        <x:v>-0.00006057307995643857</x:v>
      </x:c>
      <x:c r="J723" s="26" t="n">
        <x:v>4</x:v>
      </x:c>
      <x:c r="K723" s="7" t="b">
        <x:v>0</x:v>
      </x:c>
      <x:c r="L723" s="2" t="str">
        <x:v>May 2026</x:v>
      </x:c>
      <x:c r="M723" s="2" t="str">
        <x:v>https://www.genaiadoptiontracker.com/</x:v>
      </x:c>
    </x:row>
    <x:row r="724" ht="24" customHeight="1">
      <x:c r="A724" s="2" t="str">
        <x:v>RPS</x:v>
      </x:c>
      <x:c r="B724" s="2" t="str">
        <x:v>Quintiles</x:v>
      </x:c>
      <x:c r="C724" s="2" t="str">
        <x:v>Q4</x:v>
      </x:c>
      <x:c r="D724" s="28" t="n">
        <x:v>45261</x:v>
      </x:c>
      <x:c r="E724" s="2" t="str">
        <x:v>2023Q4</x:v>
      </x:c>
      <x:c r="F724" s="20" t="n">
        <x:v>9189.4</x:v>
      </x:c>
      <x:c r="G724" s="20" t="n">
        <x:f>'Quarterly data'!$E$219</x:f>
        <x:v>9093.1333333333</x:v>
      </x:c>
      <x:c r="H724" s="22" t="n">
        <x:f>100*F724/G724</x:f>
        <x:v>101.05867431101893</x:v>
      </x:c>
      <x:c r="I724" s="24" t="n">
        <x:f>H724/100-1</x:f>
        <x:v>0.010586743110189367</x:v>
      </x:c>
      <x:c r="J724" s="26" t="n">
        <x:v>3</x:v>
      </x:c>
      <x:c r="K724" s="7" t="b">
        <x:v>0</x:v>
      </x:c>
      <x:c r="L724" s="2" t="str">
        <x:v>May 2026</x:v>
      </x:c>
      <x:c r="M724" s="2" t="str">
        <x:v>https://www.genaiadoptiontracker.com/</x:v>
      </x:c>
    </x:row>
    <x:row r="725" ht="24" customHeight="1">
      <x:c r="A725" s="2" t="str">
        <x:v>RPS</x:v>
      </x:c>
      <x:c r="B725" s="2" t="str">
        <x:v>Quintiles</x:v>
      </x:c>
      <x:c r="C725" s="2" t="str">
        <x:v>Q5</x:v>
      </x:c>
      <x:c r="D725" s="28" t="n">
        <x:v>45261</x:v>
      </x:c>
      <x:c r="E725" s="2" t="str">
        <x:v>2023Q4</x:v>
      </x:c>
      <x:c r="F725" s="20" t="n">
        <x:v>23081.6</x:v>
      </x:c>
      <x:c r="G725" s="20" t="n">
        <x:f>'Quarterly data'!$E$220</x:f>
        <x:v>23079.8333333333</x:v>
      </x:c>
      <x:c r="H725" s="22" t="n">
        <x:f>100*F725/G725</x:f>
        <x:v>100.00765459022682</x:v>
      </x:c>
      <x:c r="I725" s="24" t="n">
        <x:f>H725/100-1</x:f>
        <x:v>0.00007654590226824354</x:v>
      </x:c>
      <x:c r="J725" s="26" t="n">
        <x:v>4</x:v>
      </x:c>
      <x:c r="K725" s="7" t="b">
        <x:v>0</x:v>
      </x:c>
      <x:c r="L725" s="2" t="str">
        <x:v>May 2026</x:v>
      </x:c>
      <x:c r="M725" s="2" t="str">
        <x:v>https://www.genaiadoptiontracker.com/</x:v>
      </x:c>
    </x:row>
    <x:row r="726" ht="24" customHeight="1">
      <x:c r="A726" s="2" t="str">
        <x:v>RPS</x:v>
      </x:c>
      <x:c r="B726" s="2" t="str">
        <x:v>Quintiles</x:v>
      </x:c>
      <x:c r="C726" s="2" t="str">
        <x:v>Q1</x:v>
      </x:c>
      <x:c r="D726" s="28" t="n">
        <x:v>45292</x:v>
      </x:c>
      <x:c r="E726" s="2" t="str">
        <x:v>2024Q1</x:v>
      </x:c>
      <x:c r="F726" s="20" t="n">
        <x:v>27197.1</x:v>
      </x:c>
      <x:c r="G726" s="20" t="n">
        <x:f>'Quarterly data'!$E$216</x:f>
        <x:v>26934</x:v>
      </x:c>
      <x:c r="H726" s="22" t="n">
        <x:f>100*F726/G726</x:f>
        <x:v>100.9768322566273</x:v>
      </x:c>
      <x:c r="I726" s="24" t="n">
        <x:f>H726/100-1</x:f>
        <x:v>0.009768322566273024</x:v>
      </x:c>
      <x:c r="J726" s="26" t="n">
        <x:v>4</x:v>
      </x:c>
      <x:c r="K726" s="7" t="b">
        <x:v>0</x:v>
      </x:c>
      <x:c r="L726" s="2" t="str">
        <x:v>May 2026</x:v>
      </x:c>
      <x:c r="M726" s="2" t="str">
        <x:v>https://www.genaiadoptiontracker.com/</x:v>
      </x:c>
    </x:row>
    <x:row r="727" ht="24" customHeight="1">
      <x:c r="A727" s="2" t="str">
        <x:v>RPS</x:v>
      </x:c>
      <x:c r="B727" s="2" t="str">
        <x:v>Quintiles</x:v>
      </x:c>
      <x:c r="C727" s="2" t="str">
        <x:v>Q2</x:v>
      </x:c>
      <x:c r="D727" s="28" t="n">
        <x:v>45292</x:v>
      </x:c>
      <x:c r="E727" s="2" t="str">
        <x:v>2024Q1</x:v>
      </x:c>
      <x:c r="F727" s="20" t="n">
        <x:v>40208.2</x:v>
      </x:c>
      <x:c r="G727" s="20" t="n">
        <x:f>'Quarterly data'!$E$217</x:f>
        <x:v>39187.3</x:v>
      </x:c>
      <x:c r="H727" s="22" t="n">
        <x:f>100*F727/G727</x:f>
        <x:v>102.60518076009318</x:v>
      </x:c>
      <x:c r="I727" s="24" t="n">
        <x:f>H727/100-1</x:f>
        <x:v>0.02605180760093173</x:v>
      </x:c>
      <x:c r="J727" s="26" t="n">
        <x:v>3</x:v>
      </x:c>
      <x:c r="K727" s="7" t="b">
        <x:v>0</x:v>
      </x:c>
      <x:c r="L727" s="2" t="str">
        <x:v>May 2026</x:v>
      </x:c>
      <x:c r="M727" s="2" t="str">
        <x:v>https://www.genaiadoptiontracker.com/</x:v>
      </x:c>
    </x:row>
    <x:row r="728" ht="24" customHeight="1">
      <x:c r="A728" s="2" t="str">
        <x:v>RPS</x:v>
      </x:c>
      <x:c r="B728" s="2" t="str">
        <x:v>Quintiles</x:v>
      </x:c>
      <x:c r="C728" s="2" t="str">
        <x:v>Q3</x:v>
      </x:c>
      <x:c r="D728" s="28" t="n">
        <x:v>45292</x:v>
      </x:c>
      <x:c r="E728" s="2" t="str">
        <x:v>2024Q1</x:v>
      </x:c>
      <x:c r="F728" s="20" t="n">
        <x:v>34180.5</x:v>
      </x:c>
      <x:c r="G728" s="20" t="n">
        <x:f>'Quarterly data'!$E$218</x:f>
        <x:v>34118.5666666667</x:v>
      </x:c>
      <x:c r="H728" s="22" t="n">
        <x:f>100*F728/G728</x:f>
        <x:v>100.18152384283425</x:v>
      </x:c>
      <x:c r="I728" s="24" t="n">
        <x:f>H728/100-1</x:f>
        <x:v>0.001815238428342525</x:v>
      </x:c>
      <x:c r="J728" s="26" t="n">
        <x:v>4</x:v>
      </x:c>
      <x:c r="K728" s="7" t="b">
        <x:v>0</x:v>
      </x:c>
      <x:c r="L728" s="2" t="str">
        <x:v>May 2026</x:v>
      </x:c>
      <x:c r="M728" s="2" t="str">
        <x:v>https://www.genaiadoptiontracker.com/</x:v>
      </x:c>
    </x:row>
    <x:row r="729" ht="24" customHeight="1">
      <x:c r="A729" s="2" t="str">
        <x:v>RPS</x:v>
      </x:c>
      <x:c r="B729" s="2" t="str">
        <x:v>Quintiles</x:v>
      </x:c>
      <x:c r="C729" s="2" t="str">
        <x:v>Q4</x:v>
      </x:c>
      <x:c r="D729" s="28" t="n">
        <x:v>45292</x:v>
      </x:c>
      <x:c r="E729" s="2" t="str">
        <x:v>2024Q1</x:v>
      </x:c>
      <x:c r="F729" s="20" t="n">
        <x:v>9179.3</x:v>
      </x:c>
      <x:c r="G729" s="20" t="n">
        <x:f>'Quarterly data'!$E$219</x:f>
        <x:v>9093.1333333333</x:v>
      </x:c>
      <x:c r="H729" s="22" t="n">
        <x:f>100*F729/G729</x:f>
        <x:v>100.94760148683658</x:v>
      </x:c>
      <x:c r="I729" s="24" t="n">
        <x:f>H729/100-1</x:f>
        <x:v>0.00947601486836569</x:v>
      </x:c>
      <x:c r="J729" s="26" t="n">
        <x:v>3</x:v>
      </x:c>
      <x:c r="K729" s="7" t="b">
        <x:v>0</x:v>
      </x:c>
      <x:c r="L729" s="2" t="str">
        <x:v>May 2026</x:v>
      </x:c>
      <x:c r="M729" s="2" t="str">
        <x:v>https://www.genaiadoptiontracker.com/</x:v>
      </x:c>
    </x:row>
    <x:row r="730" ht="24" customHeight="1">
      <x:c r="A730" s="2" t="str">
        <x:v>RPS</x:v>
      </x:c>
      <x:c r="B730" s="2" t="str">
        <x:v>Quintiles</x:v>
      </x:c>
      <x:c r="C730" s="2" t="str">
        <x:v>Q5</x:v>
      </x:c>
      <x:c r="D730" s="28" t="n">
        <x:v>45292</x:v>
      </x:c>
      <x:c r="E730" s="2" t="str">
        <x:v>2024Q1</x:v>
      </x:c>
      <x:c r="F730" s="20" t="n">
        <x:v>23083.6</x:v>
      </x:c>
      <x:c r="G730" s="20" t="n">
        <x:f>'Quarterly data'!$E$220</x:f>
        <x:v>23079.8333333333</x:v>
      </x:c>
      <x:c r="H730" s="22" t="n">
        <x:f>100*F730/G730</x:f>
        <x:v>100.01632016406835</x:v>
      </x:c>
      <x:c r="I730" s="24" t="n">
        <x:f>H730/100-1</x:f>
        <x:v>0.00016320164068339693</x:v>
      </x:c>
      <x:c r="J730" s="26" t="n">
        <x:v>4</x:v>
      </x:c>
      <x:c r="K730" s="7" t="b">
        <x:v>0</x:v>
      </x:c>
      <x:c r="L730" s="2" t="str">
        <x:v>May 2026</x:v>
      </x:c>
      <x:c r="M730" s="2" t="str">
        <x:v>https://www.genaiadoptiontracker.com/</x:v>
      </x:c>
    </x:row>
    <x:row r="731" ht="24" customHeight="1">
      <x:c r="A731" s="2" t="str">
        <x:v>RPS</x:v>
      </x:c>
      <x:c r="B731" s="2" t="str">
        <x:v>Quintiles</x:v>
      </x:c>
      <x:c r="C731" s="2" t="str">
        <x:v>Q1</x:v>
      </x:c>
      <x:c r="D731" s="28" t="n">
        <x:v>45323</x:v>
      </x:c>
      <x:c r="E731" s="2" t="str">
        <x:v>2024Q1</x:v>
      </x:c>
      <x:c r="F731" s="20" t="n">
        <x:v>27275.7</x:v>
      </x:c>
      <x:c r="G731" s="20" t="n">
        <x:f>'Quarterly data'!$E$216</x:f>
        <x:v>26934</x:v>
      </x:c>
      <x:c r="H731" s="22" t="n">
        <x:f>100*F731/G731</x:f>
        <x:v>101.26865671641791</x:v>
      </x:c>
      <x:c r="I731" s="24" t="n">
        <x:f>H731/100-1</x:f>
        <x:v>0.012686567164179152</x:v>
      </x:c>
      <x:c r="J731" s="26" t="n">
        <x:v>4</x:v>
      </x:c>
      <x:c r="K731" s="7" t="b">
        <x:v>0</x:v>
      </x:c>
      <x:c r="L731" s="2" t="str">
        <x:v>May 2026</x:v>
      </x:c>
      <x:c r="M731" s="2" t="str">
        <x:v>https://www.genaiadoptiontracker.com/</x:v>
      </x:c>
    </x:row>
    <x:row r="732" ht="24" customHeight="1">
      <x:c r="A732" s="2" t="str">
        <x:v>RPS</x:v>
      </x:c>
      <x:c r="B732" s="2" t="str">
        <x:v>Quintiles</x:v>
      </x:c>
      <x:c r="C732" s="2" t="str">
        <x:v>Q2</x:v>
      </x:c>
      <x:c r="D732" s="28" t="n">
        <x:v>45323</x:v>
      </x:c>
      <x:c r="E732" s="2" t="str">
        <x:v>2024Q1</x:v>
      </x:c>
      <x:c r="F732" s="20" t="n">
        <x:v>40308.3</x:v>
      </x:c>
      <x:c r="G732" s="20" t="n">
        <x:f>'Quarterly data'!$E$217</x:f>
        <x:v>39187.3</x:v>
      </x:c>
      <x:c r="H732" s="22" t="n">
        <x:f>100*F732/G732</x:f>
        <x:v>102.86062066026494</x:v>
      </x:c>
      <x:c r="I732" s="24" t="n">
        <x:f>H732/100-1</x:f>
        <x:v>0.028606206602649342</x:v>
      </x:c>
      <x:c r="J732" s="26" t="n">
        <x:v>3</x:v>
      </x:c>
      <x:c r="K732" s="7" t="b">
        <x:v>0</x:v>
      </x:c>
      <x:c r="L732" s="2" t="str">
        <x:v>May 2026</x:v>
      </x:c>
      <x:c r="M732" s="2" t="str">
        <x:v>https://www.genaiadoptiontracker.com/</x:v>
      </x:c>
    </x:row>
    <x:row r="733" ht="24" customHeight="1">
      <x:c r="A733" s="2" t="str">
        <x:v>RPS</x:v>
      </x:c>
      <x:c r="B733" s="2" t="str">
        <x:v>Quintiles</x:v>
      </x:c>
      <x:c r="C733" s="2" t="str">
        <x:v>Q3</x:v>
      </x:c>
      <x:c r="D733" s="28" t="n">
        <x:v>45323</x:v>
      </x:c>
      <x:c r="E733" s="2" t="str">
        <x:v>2024Q1</x:v>
      </x:c>
      <x:c r="F733" s="20" t="n">
        <x:v>34150.4</x:v>
      </x:c>
      <x:c r="G733" s="20" t="n">
        <x:f>'Quarterly data'!$E$218</x:f>
        <x:v>34118.5666666667</x:v>
      </x:c>
      <x:c r="H733" s="22" t="n">
        <x:f>100*F733/G733</x:f>
        <x:v>100.09330208283455</x:v>
      </x:c>
      <x:c r="I733" s="24" t="n">
        <x:f>H733/100-1</x:f>
        <x:v>0.0009330208283455654</x:v>
      </x:c>
      <x:c r="J733" s="26" t="n">
        <x:v>4</x:v>
      </x:c>
      <x:c r="K733" s="7" t="b">
        <x:v>0</x:v>
      </x:c>
      <x:c r="L733" s="2" t="str">
        <x:v>May 2026</x:v>
      </x:c>
      <x:c r="M733" s="2" t="str">
        <x:v>https://www.genaiadoptiontracker.com/</x:v>
      </x:c>
    </x:row>
    <x:row r="734" ht="24" customHeight="1">
      <x:c r="A734" s="2" t="str">
        <x:v>RPS</x:v>
      </x:c>
      <x:c r="B734" s="2" t="str">
        <x:v>Quintiles</x:v>
      </x:c>
      <x:c r="C734" s="2" t="str">
        <x:v>Q4</x:v>
      </x:c>
      <x:c r="D734" s="28" t="n">
        <x:v>45323</x:v>
      </x:c>
      <x:c r="E734" s="2" t="str">
        <x:v>2024Q1</x:v>
      </x:c>
      <x:c r="F734" s="20" t="n">
        <x:v>9174.2</x:v>
      </x:c>
      <x:c r="G734" s="20" t="n">
        <x:f>'Quarterly data'!$E$219</x:f>
        <x:v>9093.1333333333</x:v>
      </x:c>
      <x:c r="H734" s="22" t="n">
        <x:f>100*F734/G734</x:f>
        <x:v>100.89151520927918</x:v>
      </x:c>
      <x:c r="I734" s="24" t="n">
        <x:f>H734/100-1</x:f>
        <x:v>0.0089151520927917</x:v>
      </x:c>
      <x:c r="J734" s="26" t="n">
        <x:v>3</x:v>
      </x:c>
      <x:c r="K734" s="7" t="b">
        <x:v>0</x:v>
      </x:c>
      <x:c r="L734" s="2" t="str">
        <x:v>May 2026</x:v>
      </x:c>
      <x:c r="M734" s="2" t="str">
        <x:v>https://www.genaiadoptiontracker.com/</x:v>
      </x:c>
    </x:row>
    <x:row r="735" ht="24" customHeight="1">
      <x:c r="A735" s="2" t="str">
        <x:v>RPS</x:v>
      </x:c>
      <x:c r="B735" s="2" t="str">
        <x:v>Quintiles</x:v>
      </x:c>
      <x:c r="C735" s="2" t="str">
        <x:v>Q5</x:v>
      </x:c>
      <x:c r="D735" s="28" t="n">
        <x:v>45323</x:v>
      </x:c>
      <x:c r="E735" s="2" t="str">
        <x:v>2024Q1</x:v>
      </x:c>
      <x:c r="F735" s="20" t="n">
        <x:v>23075.7</x:v>
      </x:c>
      <x:c r="G735" s="20" t="n">
        <x:f>'Quarterly data'!$E$220</x:f>
        <x:v>23079.8333333333</x:v>
      </x:c>
      <x:c r="H735" s="22" t="n">
        <x:f>100*F735/G735</x:f>
        <x:v>99.98209114739434</x:v>
      </x:c>
      <x:c r="I735" s="24" t="n">
        <x:f>H735/100-1</x:f>
        <x:v>-0.0001790885260565256</x:v>
      </x:c>
      <x:c r="J735" s="26" t="n">
        <x:v>4</x:v>
      </x:c>
      <x:c r="K735" s="7" t="b">
        <x:v>0</x:v>
      </x:c>
      <x:c r="L735" s="2" t="str">
        <x:v>May 2026</x:v>
      </x:c>
      <x:c r="M735" s="2" t="str">
        <x:v>https://www.genaiadoptiontracker.com/</x:v>
      </x:c>
    </x:row>
    <x:row r="736" ht="24" customHeight="1">
      <x:c r="A736" s="2" t="str">
        <x:v>RPS</x:v>
      </x:c>
      <x:c r="B736" s="2" t="str">
        <x:v>Quintiles</x:v>
      </x:c>
      <x:c r="C736" s="2" t="str">
        <x:v>Q1</x:v>
      </x:c>
      <x:c r="D736" s="28" t="n">
        <x:v>45352</x:v>
      </x:c>
      <x:c r="E736" s="2" t="str">
        <x:v>2024Q1</x:v>
      </x:c>
      <x:c r="F736" s="20" t="n">
        <x:v>27320.4</x:v>
      </x:c>
      <x:c r="G736" s="20" t="n">
        <x:f>'Quarterly data'!$E$216</x:f>
        <x:v>26934</x:v>
      </x:c>
      <x:c r="H736" s="22" t="n">
        <x:f>100*F736/G736</x:f>
        <x:v>101.43461795500112</x:v>
      </x:c>
      <x:c r="I736" s="24" t="n">
        <x:f>H736/100-1</x:f>
        <x:v>0.014346179550011051</x:v>
      </x:c>
      <x:c r="J736" s="26" t="n">
        <x:v>4</x:v>
      </x:c>
      <x:c r="K736" s="7" t="b">
        <x:v>0</x:v>
      </x:c>
      <x:c r="L736" s="2" t="str">
        <x:v>May 2026</x:v>
      </x:c>
      <x:c r="M736" s="2" t="str">
        <x:v>https://www.genaiadoptiontracker.com/</x:v>
      </x:c>
    </x:row>
    <x:row r="737" ht="24" customHeight="1">
      <x:c r="A737" s="2" t="str">
        <x:v>RPS</x:v>
      </x:c>
      <x:c r="B737" s="2" t="str">
        <x:v>Quintiles</x:v>
      </x:c>
      <x:c r="C737" s="2" t="str">
        <x:v>Q2</x:v>
      </x:c>
      <x:c r="D737" s="28" t="n">
        <x:v>45352</x:v>
      </x:c>
      <x:c r="E737" s="2" t="str">
        <x:v>2024Q1</x:v>
      </x:c>
      <x:c r="F737" s="20" t="n">
        <x:v>40412.1</x:v>
      </x:c>
      <x:c r="G737" s="20" t="n">
        <x:f>'Quarterly data'!$E$217</x:f>
        <x:v>39187.3</x:v>
      </x:c>
      <x:c r="H737" s="22" t="n">
        <x:f>100*F737/G737</x:f>
        <x:v>103.12550239490855</x:v>
      </x:c>
      <x:c r="I737" s="24" t="n">
        <x:f>H737/100-1</x:f>
        <x:v>0.031255023949085414</x:v>
      </x:c>
      <x:c r="J737" s="26" t="n">
        <x:v>3</x:v>
      </x:c>
      <x:c r="K737" s="7" t="b">
        <x:v>0</x:v>
      </x:c>
      <x:c r="L737" s="2" t="str">
        <x:v>May 2026</x:v>
      </x:c>
      <x:c r="M737" s="2" t="str">
        <x:v>https://www.genaiadoptiontracker.com/</x:v>
      </x:c>
    </x:row>
    <x:row r="738" ht="24" customHeight="1">
      <x:c r="A738" s="2" t="str">
        <x:v>RPS</x:v>
      </x:c>
      <x:c r="B738" s="2" t="str">
        <x:v>Quintiles</x:v>
      </x:c>
      <x:c r="C738" s="2" t="str">
        <x:v>Q3</x:v>
      </x:c>
      <x:c r="D738" s="28" t="n">
        <x:v>45352</x:v>
      </x:c>
      <x:c r="E738" s="2" t="str">
        <x:v>2024Q1</x:v>
      </x:c>
      <x:c r="F738" s="20" t="n">
        <x:v>34173.4</x:v>
      </x:c>
      <x:c r="G738" s="20" t="n">
        <x:f>'Quarterly data'!$E$218</x:f>
        <x:v>34118.5666666667</x:v>
      </x:c>
      <x:c r="H738" s="22" t="n">
        <x:f>100*F738/G738</x:f>
        <x:v>100.16071405891405</x:v>
      </x:c>
      <x:c r="I738" s="24" t="n">
        <x:f>H738/100-1</x:f>
        <x:v>0.0016071405891404655</x:v>
      </x:c>
      <x:c r="J738" s="26" t="n">
        <x:v>4</x:v>
      </x:c>
      <x:c r="K738" s="7" t="b">
        <x:v>0</x:v>
      </x:c>
      <x:c r="L738" s="2" t="str">
        <x:v>May 2026</x:v>
      </x:c>
      <x:c r="M738" s="2" t="str">
        <x:v>https://www.genaiadoptiontracker.com/</x:v>
      </x:c>
    </x:row>
    <x:row r="739" ht="24" customHeight="1">
      <x:c r="A739" s="2" t="str">
        <x:v>RPS</x:v>
      </x:c>
      <x:c r="B739" s="2" t="str">
        <x:v>Quintiles</x:v>
      </x:c>
      <x:c r="C739" s="2" t="str">
        <x:v>Q4</x:v>
      </x:c>
      <x:c r="D739" s="28" t="n">
        <x:v>45352</x:v>
      </x:c>
      <x:c r="E739" s="2" t="str">
        <x:v>2024Q1</x:v>
      </x:c>
      <x:c r="F739" s="20" t="n">
        <x:v>9178.7</x:v>
      </x:c>
      <x:c r="G739" s="20" t="n">
        <x:f>'Quarterly data'!$E$219</x:f>
        <x:v>9093.1333333333</x:v>
      </x:c>
      <x:c r="H739" s="22" t="n">
        <x:f>100*F739/G739</x:f>
        <x:v>100.9410031012416</x:v>
      </x:c>
      <x:c r="I739" s="24" t="n">
        <x:f>H739/100-1</x:f>
        <x:v>0.009410031012416109</x:v>
      </x:c>
      <x:c r="J739" s="26" t="n">
        <x:v>3</x:v>
      </x:c>
      <x:c r="K739" s="7" t="b">
        <x:v>0</x:v>
      </x:c>
      <x:c r="L739" s="2" t="str">
        <x:v>May 2026</x:v>
      </x:c>
      <x:c r="M739" s="2" t="str">
        <x:v>https://www.genaiadoptiontracker.com/</x:v>
      </x:c>
    </x:row>
    <x:row r="740" ht="24" customHeight="1">
      <x:c r="A740" s="2" t="str">
        <x:v>RPS</x:v>
      </x:c>
      <x:c r="B740" s="2" t="str">
        <x:v>Quintiles</x:v>
      </x:c>
      <x:c r="C740" s="2" t="str">
        <x:v>Q5</x:v>
      </x:c>
      <x:c r="D740" s="28" t="n">
        <x:v>45352</x:v>
      </x:c>
      <x:c r="E740" s="2" t="str">
        <x:v>2024Q1</x:v>
      </x:c>
      <x:c r="F740" s="20" t="n">
        <x:v>23043.4</x:v>
      </x:c>
      <x:c r="G740" s="20" t="n">
        <x:f>'Quarterly data'!$E$220</x:f>
        <x:v>23079.8333333333</x:v>
      </x:c>
      <x:c r="H740" s="22" t="n">
        <x:f>100*F740/G740</x:f>
        <x:v>99.84214212985377</x:v>
      </x:c>
      <x:c r="I740" s="24" t="n">
        <x:f>H740/100-1</x:f>
        <x:v>-0.0015785787014622743</x:v>
      </x:c>
      <x:c r="J740" s="26" t="n">
        <x:v>4</x:v>
      </x:c>
      <x:c r="K740" s="7" t="b">
        <x:v>0</x:v>
      </x:c>
      <x:c r="L740" s="2" t="str">
        <x:v>May 2026</x:v>
      </x:c>
      <x:c r="M740" s="2" t="str">
        <x:v>https://www.genaiadoptiontracker.com/</x:v>
      </x:c>
    </x:row>
    <x:row r="741" ht="24" customHeight="1">
      <x:c r="A741" s="2" t="str">
        <x:v>RPS</x:v>
      </x:c>
      <x:c r="B741" s="2" t="str">
        <x:v>Quintiles</x:v>
      </x:c>
      <x:c r="C741" s="2" t="str">
        <x:v>Q1</x:v>
      </x:c>
      <x:c r="D741" s="28" t="n">
        <x:v>45383</x:v>
      </x:c>
      <x:c r="E741" s="2" t="str">
        <x:v>2024Q2</x:v>
      </x:c>
      <x:c r="F741" s="20" t="n">
        <x:v>27321</x:v>
      </x:c>
      <x:c r="G741" s="20" t="n">
        <x:f>'Quarterly data'!$E$216</x:f>
        <x:v>26934</x:v>
      </x:c>
      <x:c r="H741" s="22" t="n">
        <x:f>100*F741/G741</x:f>
        <x:v>101.4368456226331</x:v>
      </x:c>
      <x:c r="I741" s="24" t="n">
        <x:f>H741/100-1</x:f>
        <x:v>0.014368456226331094</x:v>
      </x:c>
      <x:c r="J741" s="26" t="n">
        <x:v>4</x:v>
      </x:c>
      <x:c r="K741" s="7" t="b">
        <x:v>0</x:v>
      </x:c>
      <x:c r="L741" s="2" t="str">
        <x:v>May 2026</x:v>
      </x:c>
      <x:c r="M741" s="2" t="str">
        <x:v>https://www.genaiadoptiontracker.com/</x:v>
      </x:c>
    </x:row>
    <x:row r="742" ht="24" customHeight="1">
      <x:c r="A742" s="2" t="str">
        <x:v>RPS</x:v>
      </x:c>
      <x:c r="B742" s="2" t="str">
        <x:v>Quintiles</x:v>
      </x:c>
      <x:c r="C742" s="2" t="str">
        <x:v>Q2</x:v>
      </x:c>
      <x:c r="D742" s="28" t="n">
        <x:v>45383</x:v>
      </x:c>
      <x:c r="E742" s="2" t="str">
        <x:v>2024Q2</x:v>
      </x:c>
      <x:c r="F742" s="20" t="n">
        <x:v>40496.8</x:v>
      </x:c>
      <x:c r="G742" s="20" t="n">
        <x:f>'Quarterly data'!$E$217</x:f>
        <x:v>39187.3</x:v>
      </x:c>
      <x:c r="H742" s="22" t="n">
        <x:f>100*F742/G742</x:f>
        <x:v>103.34164384890003</x:v>
      </x:c>
      <x:c r="I742" s="24" t="n">
        <x:f>H742/100-1</x:f>
        <x:v>0.03341643848900033</x:v>
      </x:c>
      <x:c r="J742" s="26" t="n">
        <x:v>3</x:v>
      </x:c>
      <x:c r="K742" s="7" t="b">
        <x:v>0</x:v>
      </x:c>
      <x:c r="L742" s="2" t="str">
        <x:v>May 2026</x:v>
      </x:c>
      <x:c r="M742" s="2" t="str">
        <x:v>https://www.genaiadoptiontracker.com/</x:v>
      </x:c>
    </x:row>
    <x:row r="743" ht="24" customHeight="1">
      <x:c r="A743" s="2" t="str">
        <x:v>RPS</x:v>
      </x:c>
      <x:c r="B743" s="2" t="str">
        <x:v>Quintiles</x:v>
      </x:c>
      <x:c r="C743" s="2" t="str">
        <x:v>Q3</x:v>
      </x:c>
      <x:c r="D743" s="28" t="n">
        <x:v>45383</x:v>
      </x:c>
      <x:c r="E743" s="2" t="str">
        <x:v>2024Q2</x:v>
      </x:c>
      <x:c r="F743" s="20" t="n">
        <x:v>34166.7</x:v>
      </x:c>
      <x:c r="G743" s="20" t="n">
        <x:f>'Quarterly data'!$E$218</x:f>
        <x:v>34118.5666666667</x:v>
      </x:c>
      <x:c r="H743" s="22" t="n">
        <x:f>100*F743/G743</x:f>
        <x:v>100.14107665718653</x:v>
      </x:c>
      <x:c r="I743" s="24" t="n">
        <x:f>H743/100-1</x:f>
        <x:v>0.0014107665718652296</x:v>
      </x:c>
      <x:c r="J743" s="26" t="n">
        <x:v>4</x:v>
      </x:c>
      <x:c r="K743" s="7" t="b">
        <x:v>0</x:v>
      </x:c>
      <x:c r="L743" s="2" t="str">
        <x:v>May 2026</x:v>
      </x:c>
      <x:c r="M743" s="2" t="str">
        <x:v>https://www.genaiadoptiontracker.com/</x:v>
      </x:c>
    </x:row>
    <x:row r="744" ht="24" customHeight="1">
      <x:c r="A744" s="2" t="str">
        <x:v>RPS</x:v>
      </x:c>
      <x:c r="B744" s="2" t="str">
        <x:v>Quintiles</x:v>
      </x:c>
      <x:c r="C744" s="2" t="str">
        <x:v>Q4</x:v>
      </x:c>
      <x:c r="D744" s="28" t="n">
        <x:v>45383</x:v>
      </x:c>
      <x:c r="E744" s="2" t="str">
        <x:v>2024Q2</x:v>
      </x:c>
      <x:c r="F744" s="20" t="n">
        <x:v>9170.3</x:v>
      </x:c>
      <x:c r="G744" s="20" t="n">
        <x:f>'Quarterly data'!$E$219</x:f>
        <x:v>9093.1333333333</x:v>
      </x:c>
      <x:c r="H744" s="22" t="n">
        <x:f>100*F744/G744</x:f>
        <x:v>100.8486257029117</x:v>
      </x:c>
      <x:c r="I744" s="24" t="n">
        <x:f>H744/100-1</x:f>
        <x:v>0.008486257029117095</x:v>
      </x:c>
      <x:c r="J744" s="26" t="n">
        <x:v>3</x:v>
      </x:c>
      <x:c r="K744" s="7" t="b">
        <x:v>0</x:v>
      </x:c>
      <x:c r="L744" s="2" t="str">
        <x:v>May 2026</x:v>
      </x:c>
      <x:c r="M744" s="2" t="str">
        <x:v>https://www.genaiadoptiontracker.com/</x:v>
      </x:c>
    </x:row>
    <x:row r="745" ht="24" customHeight="1">
      <x:c r="A745" s="2" t="str">
        <x:v>RPS</x:v>
      </x:c>
      <x:c r="B745" s="2" t="str">
        <x:v>Quintiles</x:v>
      </x:c>
      <x:c r="C745" s="2" t="str">
        <x:v>Q5</x:v>
      </x:c>
      <x:c r="D745" s="28" t="n">
        <x:v>45383</x:v>
      </x:c>
      <x:c r="E745" s="2" t="str">
        <x:v>2024Q2</x:v>
      </x:c>
      <x:c r="F745" s="20" t="n">
        <x:v>23037.1</x:v>
      </x:c>
      <x:c r="G745" s="20" t="n">
        <x:f>'Quarterly data'!$E$220</x:f>
        <x:v>23079.8333333333</x:v>
      </x:c>
      <x:c r="H745" s="22" t="n">
        <x:f>100*F745/G745</x:f>
        <x:v>99.81484557225298</x:v>
      </x:c>
      <x:c r="I745" s="24" t="n">
        <x:f>H745/100-1</x:f>
        <x:v>-0.0018515442774702517</x:v>
      </x:c>
      <x:c r="J745" s="26" t="n">
        <x:v>4</x:v>
      </x:c>
      <x:c r="K745" s="7" t="b">
        <x:v>0</x:v>
      </x:c>
      <x:c r="L745" s="2" t="str">
        <x:v>May 2026</x:v>
      </x:c>
      <x:c r="M745" s="2" t="str">
        <x:v>https://www.genaiadoptiontracker.com/</x:v>
      </x:c>
    </x:row>
    <x:row r="746" ht="24" customHeight="1">
      <x:c r="A746" s="2" t="str">
        <x:v>RPS</x:v>
      </x:c>
      <x:c r="B746" s="2" t="str">
        <x:v>Quintiles</x:v>
      </x:c>
      <x:c r="C746" s="2" t="str">
        <x:v>Q1</x:v>
      </x:c>
      <x:c r="D746" s="28" t="n">
        <x:v>45413</x:v>
      </x:c>
      <x:c r="E746" s="2" t="str">
        <x:v>2024Q2</x:v>
      </x:c>
      <x:c r="F746" s="20" t="n">
        <x:v>27297.1</x:v>
      </x:c>
      <x:c r="G746" s="20" t="n">
        <x:f>'Quarterly data'!$E$216</x:f>
        <x:v>26934</x:v>
      </x:c>
      <x:c r="H746" s="22" t="n">
        <x:f>100*F746/G746</x:f>
        <x:v>101.3481101952922</x:v>
      </x:c>
      <x:c r="I746" s="24" t="n">
        <x:f>H746/100-1</x:f>
        <x:v>0.013481101952921959</x:v>
      </x:c>
      <x:c r="J746" s="26" t="n">
        <x:v>4</x:v>
      </x:c>
      <x:c r="K746" s="7" t="b">
        <x:v>0</x:v>
      </x:c>
      <x:c r="L746" s="2" t="str">
        <x:v>May 2026</x:v>
      </x:c>
      <x:c r="M746" s="2" t="str">
        <x:v>https://www.genaiadoptiontracker.com/</x:v>
      </x:c>
    </x:row>
    <x:row r="747" ht="24" customHeight="1">
      <x:c r="A747" s="2" t="str">
        <x:v>RPS</x:v>
      </x:c>
      <x:c r="B747" s="2" t="str">
        <x:v>Quintiles</x:v>
      </x:c>
      <x:c r="C747" s="2" t="str">
        <x:v>Q2</x:v>
      </x:c>
      <x:c r="D747" s="28" t="n">
        <x:v>45413</x:v>
      </x:c>
      <x:c r="E747" s="2" t="str">
        <x:v>2024Q2</x:v>
      </x:c>
      <x:c r="F747" s="20" t="n">
        <x:v>40572.1</x:v>
      </x:c>
      <x:c r="G747" s="20" t="n">
        <x:f>'Quarterly data'!$E$217</x:f>
        <x:v>39187.3</x:v>
      </x:c>
      <x:c r="H747" s="22" t="n">
        <x:f>100*F747/G747</x:f>
        <x:v>103.5337979396386</x:v>
      </x:c>
      <x:c r="I747" s="24" t="n">
        <x:f>H747/100-1</x:f>
        <x:v>0.03533797939638594</x:v>
      </x:c>
      <x:c r="J747" s="26" t="n">
        <x:v>3</x:v>
      </x:c>
      <x:c r="K747" s="7" t="b">
        <x:v>0</x:v>
      </x:c>
      <x:c r="L747" s="2" t="str">
        <x:v>May 2026</x:v>
      </x:c>
      <x:c r="M747" s="2" t="str">
        <x:v>https://www.genaiadoptiontracker.com/</x:v>
      </x:c>
    </x:row>
    <x:row r="748" ht="24" customHeight="1">
      <x:c r="A748" s="2" t="str">
        <x:v>RPS</x:v>
      </x:c>
      <x:c r="B748" s="2" t="str">
        <x:v>Quintiles</x:v>
      </x:c>
      <x:c r="C748" s="2" t="str">
        <x:v>Q3</x:v>
      </x:c>
      <x:c r="D748" s="28" t="n">
        <x:v>45413</x:v>
      </x:c>
      <x:c r="E748" s="2" t="str">
        <x:v>2024Q2</x:v>
      </x:c>
      <x:c r="F748" s="20" t="n">
        <x:v>34164.9</x:v>
      </x:c>
      <x:c r="G748" s="20" t="n">
        <x:f>'Quarterly data'!$E$218</x:f>
        <x:v>34118.5666666667</x:v>
      </x:c>
      <x:c r="H748" s="22" t="n">
        <x:f>100*F748/G748</x:f>
        <x:v>100.13580093731946</x:v>
      </x:c>
      <x:c r="I748" s="24" t="n">
        <x:f>H748/100-1</x:f>
        <x:v>0.0013580093731946352</x:v>
      </x:c>
      <x:c r="J748" s="26" t="n">
        <x:v>4</x:v>
      </x:c>
      <x:c r="K748" s="7" t="b">
        <x:v>0</x:v>
      </x:c>
      <x:c r="L748" s="2" t="str">
        <x:v>May 2026</x:v>
      </x:c>
      <x:c r="M748" s="2" t="str">
        <x:v>https://www.genaiadoptiontracker.com/</x:v>
      </x:c>
    </x:row>
    <x:row r="749" ht="24" customHeight="1">
      <x:c r="A749" s="2" t="str">
        <x:v>RPS</x:v>
      </x:c>
      <x:c r="B749" s="2" t="str">
        <x:v>Quintiles</x:v>
      </x:c>
      <x:c r="C749" s="2" t="str">
        <x:v>Q4</x:v>
      </x:c>
      <x:c r="D749" s="28" t="n">
        <x:v>45413</x:v>
      </x:c>
      <x:c r="E749" s="2" t="str">
        <x:v>2024Q2</x:v>
      </x:c>
      <x:c r="F749" s="20" t="n">
        <x:v>9150.3</x:v>
      </x:c>
      <x:c r="G749" s="20" t="n">
        <x:f>'Quarterly data'!$E$219</x:f>
        <x:v>9093.1333333333</x:v>
      </x:c>
      <x:c r="H749" s="22" t="n">
        <x:f>100*F749/G749</x:f>
        <x:v>100.628679516412</x:v>
      </x:c>
      <x:c r="I749" s="24" t="n">
        <x:f>H749/100-1</x:f>
        <x:v>0.006286795164120118</x:v>
      </x:c>
      <x:c r="J749" s="26" t="n">
        <x:v>3</x:v>
      </x:c>
      <x:c r="K749" s="7" t="b">
        <x:v>0</x:v>
      </x:c>
      <x:c r="L749" s="2" t="str">
        <x:v>May 2026</x:v>
      </x:c>
      <x:c r="M749" s="2" t="str">
        <x:v>https://www.genaiadoptiontracker.com/</x:v>
      </x:c>
    </x:row>
    <x:row r="750" ht="24" customHeight="1">
      <x:c r="A750" s="2" t="str">
        <x:v>RPS</x:v>
      </x:c>
      <x:c r="B750" s="2" t="str">
        <x:v>Quintiles</x:v>
      </x:c>
      <x:c r="C750" s="2" t="str">
        <x:v>Q5</x:v>
      </x:c>
      <x:c r="D750" s="28" t="n">
        <x:v>45413</x:v>
      </x:c>
      <x:c r="E750" s="2" t="str">
        <x:v>2024Q2</x:v>
      </x:c>
      <x:c r="F750" s="20" t="n">
        <x:v>23054.1</x:v>
      </x:c>
      <x:c r="G750" s="20" t="n">
        <x:f>'Quarterly data'!$E$220</x:f>
        <x:v>23079.8333333333</x:v>
      </x:c>
      <x:c r="H750" s="22" t="n">
        <x:f>100*F750/G750</x:f>
        <x:v>99.88850294990591</x:v>
      </x:c>
      <x:c r="I750" s="24" t="n">
        <x:f>H750/100-1</x:f>
        <x:v>-0.0011149705009408928</x:v>
      </x:c>
      <x:c r="J750" s="26" t="n">
        <x:v>4</x:v>
      </x:c>
      <x:c r="K750" s="7" t="b">
        <x:v>0</x:v>
      </x:c>
      <x:c r="L750" s="2" t="str">
        <x:v>May 2026</x:v>
      </x:c>
      <x:c r="M750" s="2" t="str">
        <x:v>https://www.genaiadoptiontracker.com/</x:v>
      </x:c>
    </x:row>
    <x:row r="751" ht="24" customHeight="1">
      <x:c r="A751" s="2" t="str">
        <x:v>RPS</x:v>
      </x:c>
      <x:c r="B751" s="2" t="str">
        <x:v>Quintiles</x:v>
      </x:c>
      <x:c r="C751" s="2" t="str">
        <x:v>Q1</x:v>
      </x:c>
      <x:c r="D751" s="28" t="n">
        <x:v>45444</x:v>
      </x:c>
      <x:c r="E751" s="2" t="str">
        <x:v>2024Q2</x:v>
      </x:c>
      <x:c r="F751" s="20" t="n">
        <x:v>27316.5</x:v>
      </x:c>
      <x:c r="G751" s="20" t="n">
        <x:f>'Quarterly data'!$E$216</x:f>
        <x:v>26934</x:v>
      </x:c>
      <x:c r="H751" s="22" t="n">
        <x:f>100*F751/G751</x:f>
        <x:v>101.42013811539319</x:v>
      </x:c>
      <x:c r="I751" s="24" t="n">
        <x:f>H751/100-1</x:f>
        <x:v>0.01420138115393188</x:v>
      </x:c>
      <x:c r="J751" s="26" t="n">
        <x:v>4</x:v>
      </x:c>
      <x:c r="K751" s="7" t="b">
        <x:v>0</x:v>
      </x:c>
      <x:c r="L751" s="2" t="str">
        <x:v>May 2026</x:v>
      </x:c>
      <x:c r="M751" s="2" t="str">
        <x:v>https://www.genaiadoptiontracker.com/</x:v>
      </x:c>
    </x:row>
    <x:row r="752" ht="24" customHeight="1">
      <x:c r="A752" s="2" t="str">
        <x:v>RPS</x:v>
      </x:c>
      <x:c r="B752" s="2" t="str">
        <x:v>Quintiles</x:v>
      </x:c>
      <x:c r="C752" s="2" t="str">
        <x:v>Q2</x:v>
      </x:c>
      <x:c r="D752" s="28" t="n">
        <x:v>45444</x:v>
      </x:c>
      <x:c r="E752" s="2" t="str">
        <x:v>2024Q2</x:v>
      </x:c>
      <x:c r="F752" s="20" t="n">
        <x:v>40611</x:v>
      </x:c>
      <x:c r="G752" s="20" t="n">
        <x:f>'Quarterly data'!$E$217</x:f>
        <x:v>39187.3</x:v>
      </x:c>
      <x:c r="H752" s="22" t="n">
        <x:f>100*F752/G752</x:f>
        <x:v>103.63306479395109</x:v>
      </x:c>
      <x:c r="I752" s="24" t="n">
        <x:f>H752/100-1</x:f>
        <x:v>0.03633064793951091</x:v>
      </x:c>
      <x:c r="J752" s="26" t="n">
        <x:v>3</x:v>
      </x:c>
      <x:c r="K752" s="7" t="b">
        <x:v>0</x:v>
      </x:c>
      <x:c r="L752" s="2" t="str">
        <x:v>May 2026</x:v>
      </x:c>
      <x:c r="M752" s="2" t="str">
        <x:v>https://www.genaiadoptiontracker.com/</x:v>
      </x:c>
    </x:row>
    <x:row r="753" ht="24" customHeight="1">
      <x:c r="A753" s="2" t="str">
        <x:v>RPS</x:v>
      </x:c>
      <x:c r="B753" s="2" t="str">
        <x:v>Quintiles</x:v>
      </x:c>
      <x:c r="C753" s="2" t="str">
        <x:v>Q3</x:v>
      </x:c>
      <x:c r="D753" s="28" t="n">
        <x:v>45444</x:v>
      </x:c>
      <x:c r="E753" s="2" t="str">
        <x:v>2024Q2</x:v>
      </x:c>
      <x:c r="F753" s="20" t="n">
        <x:v>34162.5</x:v>
      </x:c>
      <x:c r="G753" s="20" t="n">
        <x:f>'Quarterly data'!$E$218</x:f>
        <x:v>34118.5666666667</x:v>
      </x:c>
      <x:c r="H753" s="22" t="n">
        <x:f>100*F753/G753</x:f>
        <x:v>100.12876664416333</x:v>
      </x:c>
      <x:c r="I753" s="24" t="n">
        <x:f>H753/100-1</x:f>
        <x:v>0.0012876664416332506</x:v>
      </x:c>
      <x:c r="J753" s="26" t="n">
        <x:v>4</x:v>
      </x:c>
      <x:c r="K753" s="7" t="b">
        <x:v>0</x:v>
      </x:c>
      <x:c r="L753" s="2" t="str">
        <x:v>May 2026</x:v>
      </x:c>
      <x:c r="M753" s="2" t="str">
        <x:v>https://www.genaiadoptiontracker.com/</x:v>
      </x:c>
    </x:row>
    <x:row r="754" ht="24" customHeight="1">
      <x:c r="A754" s="2" t="str">
        <x:v>RPS</x:v>
      </x:c>
      <x:c r="B754" s="2" t="str">
        <x:v>Quintiles</x:v>
      </x:c>
      <x:c r="C754" s="2" t="str">
        <x:v>Q4</x:v>
      </x:c>
      <x:c r="D754" s="28" t="n">
        <x:v>45444</x:v>
      </x:c>
      <x:c r="E754" s="2" t="str">
        <x:v>2024Q2</x:v>
      </x:c>
      <x:c r="F754" s="20" t="n">
        <x:v>9153.7</x:v>
      </x:c>
      <x:c r="G754" s="20" t="n">
        <x:f>'Quarterly data'!$E$219</x:f>
        <x:v>9093.1333333333</x:v>
      </x:c>
      <x:c r="H754" s="22" t="n">
        <x:f>100*F754/G754</x:f>
        <x:v>100.66607036811698</x:v>
      </x:c>
      <x:c r="I754" s="24" t="n">
        <x:f>H754/100-1</x:f>
        <x:v>0.006660703681169666</x:v>
      </x:c>
      <x:c r="J754" s="26" t="n">
        <x:v>3</x:v>
      </x:c>
      <x:c r="K754" s="7" t="b">
        <x:v>0</x:v>
      </x:c>
      <x:c r="L754" s="2" t="str">
        <x:v>May 2026</x:v>
      </x:c>
      <x:c r="M754" s="2" t="str">
        <x:v>https://www.genaiadoptiontracker.com/</x:v>
      </x:c>
    </x:row>
    <x:row r="755" ht="24" customHeight="1">
      <x:c r="A755" s="2" t="str">
        <x:v>RPS</x:v>
      </x:c>
      <x:c r="B755" s="2" t="str">
        <x:v>Quintiles</x:v>
      </x:c>
      <x:c r="C755" s="2" t="str">
        <x:v>Q5</x:v>
      </x:c>
      <x:c r="D755" s="28" t="n">
        <x:v>45444</x:v>
      </x:c>
      <x:c r="E755" s="2" t="str">
        <x:v>2024Q2</x:v>
      </x:c>
      <x:c r="F755" s="20" t="n">
        <x:v>23073.5</x:v>
      </x:c>
      <x:c r="G755" s="20" t="n">
        <x:f>'Quarterly data'!$E$220</x:f>
        <x:v>23079.8333333333</x:v>
      </x:c>
      <x:c r="H755" s="22" t="n">
        <x:f>100*F755/G755</x:f>
        <x:v>99.97255901616866</x:v>
      </x:c>
      <x:c r="I755" s="24" t="n">
        <x:f>H755/100-1</x:f>
        <x:v>-0.00027440983831339416</x:v>
      </x:c>
      <x:c r="J755" s="26" t="n">
        <x:v>4</x:v>
      </x:c>
      <x:c r="K755" s="7" t="b">
        <x:v>0</x:v>
      </x:c>
      <x:c r="L755" s="2" t="str">
        <x:v>May 2026</x:v>
      </x:c>
      <x:c r="M755" s="2" t="str">
        <x:v>https://www.genaiadoptiontracker.com/</x:v>
      </x:c>
    </x:row>
    <x:row r="756" ht="24" customHeight="1">
      <x:c r="A756" s="2" t="str">
        <x:v>RPS</x:v>
      </x:c>
      <x:c r="B756" s="2" t="str">
        <x:v>Quintiles</x:v>
      </x:c>
      <x:c r="C756" s="2" t="str">
        <x:v>Q1</x:v>
      </x:c>
      <x:c r="D756" s="28" t="n">
        <x:v>45474</x:v>
      </x:c>
      <x:c r="E756" s="2" t="str">
        <x:v>2024Q3</x:v>
      </x:c>
      <x:c r="F756" s="20" t="n">
        <x:v>27315.8</x:v>
      </x:c>
      <x:c r="G756" s="20" t="n">
        <x:f>'Quarterly data'!$E$216</x:f>
        <x:v>26934</x:v>
      </x:c>
      <x:c r="H756" s="22" t="n">
        <x:f>100*F756/G756</x:f>
        <x:v>101.41753916982253</x:v>
      </x:c>
      <x:c r="I756" s="24" t="n">
        <x:f>H756/100-1</x:f>
        <x:v>0.014175391698225237</x:v>
      </x:c>
      <x:c r="J756" s="26" t="n">
        <x:v>4</x:v>
      </x:c>
      <x:c r="K756" s="7" t="b">
        <x:v>0</x:v>
      </x:c>
      <x:c r="L756" s="2" t="str">
        <x:v>May 2026</x:v>
      </x:c>
      <x:c r="M756" s="2" t="str">
        <x:v>https://www.genaiadoptiontracker.com/</x:v>
      </x:c>
    </x:row>
    <x:row r="757" ht="24" customHeight="1">
      <x:c r="A757" s="2" t="str">
        <x:v>RPS</x:v>
      </x:c>
      <x:c r="B757" s="2" t="str">
        <x:v>Quintiles</x:v>
      </x:c>
      <x:c r="C757" s="2" t="str">
        <x:v>Q2</x:v>
      </x:c>
      <x:c r="D757" s="28" t="n">
        <x:v>45474</x:v>
      </x:c>
      <x:c r="E757" s="2" t="str">
        <x:v>2024Q3</x:v>
      </x:c>
      <x:c r="F757" s="20" t="n">
        <x:v>40646.8</x:v>
      </x:c>
      <x:c r="G757" s="20" t="n">
        <x:f>'Quarterly data'!$E$217</x:f>
        <x:v>39187.3</x:v>
      </x:c>
      <x:c r="H757" s="22" t="n">
        <x:f>100*F757/G757</x:f>
        <x:v>103.72442092208445</x:v>
      </x:c>
      <x:c r="I757" s="24" t="n">
        <x:f>H757/100-1</x:f>
        <x:v>0.03724420922084448</x:v>
      </x:c>
      <x:c r="J757" s="26" t="n">
        <x:v>3</x:v>
      </x:c>
      <x:c r="K757" s="7" t="b">
        <x:v>0</x:v>
      </x:c>
      <x:c r="L757" s="2" t="str">
        <x:v>May 2026</x:v>
      </x:c>
      <x:c r="M757" s="2" t="str">
        <x:v>https://www.genaiadoptiontracker.com/</x:v>
      </x:c>
    </x:row>
    <x:row r="758" ht="24" customHeight="1">
      <x:c r="A758" s="2" t="str">
        <x:v>RPS</x:v>
      </x:c>
      <x:c r="B758" s="2" t="str">
        <x:v>Quintiles</x:v>
      </x:c>
      <x:c r="C758" s="2" t="str">
        <x:v>Q3</x:v>
      </x:c>
      <x:c r="D758" s="28" t="n">
        <x:v>45474</x:v>
      </x:c>
      <x:c r="E758" s="2" t="str">
        <x:v>2024Q3</x:v>
      </x:c>
      <x:c r="F758" s="20" t="n">
        <x:v>34149.4</x:v>
      </x:c>
      <x:c r="G758" s="20" t="n">
        <x:f>'Quarterly data'!$E$218</x:f>
        <x:v>34118.5666666667</x:v>
      </x:c>
      <x:c r="H758" s="22" t="n">
        <x:f>100*F758/G758</x:f>
        <x:v>100.09037112735284</x:v>
      </x:c>
      <x:c r="I758" s="24" t="n">
        <x:f>H758/100-1</x:f>
        <x:v>0.0009037112735283959</x:v>
      </x:c>
      <x:c r="J758" s="26" t="n">
        <x:v>4</x:v>
      </x:c>
      <x:c r="K758" s="7" t="b">
        <x:v>0</x:v>
      </x:c>
      <x:c r="L758" s="2" t="str">
        <x:v>May 2026</x:v>
      </x:c>
      <x:c r="M758" s="2" t="str">
        <x:v>https://www.genaiadoptiontracker.com/</x:v>
      </x:c>
    </x:row>
    <x:row r="759" ht="24" customHeight="1">
      <x:c r="A759" s="2" t="str">
        <x:v>RPS</x:v>
      </x:c>
      <x:c r="B759" s="2" t="str">
        <x:v>Quintiles</x:v>
      </x:c>
      <x:c r="C759" s="2" t="str">
        <x:v>Q4</x:v>
      </x:c>
      <x:c r="D759" s="28" t="n">
        <x:v>45474</x:v>
      </x:c>
      <x:c r="E759" s="2" t="str">
        <x:v>2024Q3</x:v>
      </x:c>
      <x:c r="F759" s="20" t="n">
        <x:v>9151.6</x:v>
      </x:c>
      <x:c r="G759" s="20" t="n">
        <x:f>'Quarterly data'!$E$219</x:f>
        <x:v>9093.1333333333</x:v>
      </x:c>
      <x:c r="H759" s="22" t="n">
        <x:f>100*F759/G759</x:f>
        <x:v>100.6429760185345</x:v>
      </x:c>
      <x:c r="I759" s="24" t="n">
        <x:f>H759/100-1</x:f>
        <x:v>0.006429760185344913</x:v>
      </x:c>
      <x:c r="J759" s="26" t="n">
        <x:v>3</x:v>
      </x:c>
      <x:c r="K759" s="7" t="b">
        <x:v>0</x:v>
      </x:c>
      <x:c r="L759" s="2" t="str">
        <x:v>May 2026</x:v>
      </x:c>
      <x:c r="M759" s="2" t="str">
        <x:v>https://www.genaiadoptiontracker.com/</x:v>
      </x:c>
    </x:row>
    <x:row r="760" ht="24" customHeight="1">
      <x:c r="A760" s="2" t="str">
        <x:v>RPS</x:v>
      </x:c>
      <x:c r="B760" s="2" t="str">
        <x:v>Quintiles</x:v>
      </x:c>
      <x:c r="C760" s="2" t="str">
        <x:v>Q5</x:v>
      </x:c>
      <x:c r="D760" s="28" t="n">
        <x:v>45474</x:v>
      </x:c>
      <x:c r="E760" s="2" t="str">
        <x:v>2024Q3</x:v>
      </x:c>
      <x:c r="F760" s="20" t="n">
        <x:v>23044.4</x:v>
      </x:c>
      <x:c r="G760" s="20" t="n">
        <x:f>'Quarterly data'!$E$220</x:f>
        <x:v>23079.8333333333</x:v>
      </x:c>
      <x:c r="H760" s="22" t="n">
        <x:f>100*F760/G760</x:f>
        <x:v>99.84647491677453</x:v>
      </x:c>
      <x:c r="I760" s="24" t="n">
        <x:f>H760/100-1</x:f>
        <x:v>-0.0015352508322546976</x:v>
      </x:c>
      <x:c r="J760" s="26" t="n">
        <x:v>4</x:v>
      </x:c>
      <x:c r="K760" s="7" t="b">
        <x:v>0</x:v>
      </x:c>
      <x:c r="L760" s="2" t="str">
        <x:v>May 2026</x:v>
      </x:c>
      <x:c r="M760" s="2" t="str">
        <x:v>https://www.genaiadoptiontracker.com/</x:v>
      </x:c>
    </x:row>
    <x:row r="761" ht="24" customHeight="1">
      <x:c r="A761" s="2" t="str">
        <x:v>RPS</x:v>
      </x:c>
      <x:c r="B761" s="2" t="str">
        <x:v>Quintiles</x:v>
      </x:c>
      <x:c r="C761" s="2" t="str">
        <x:v>Q1</x:v>
      </x:c>
      <x:c r="D761" s="28" t="n">
        <x:v>45505</x:v>
      </x:c>
      <x:c r="E761" s="2" t="str">
        <x:v>2024Q3</x:v>
      </x:c>
      <x:c r="F761" s="20" t="n">
        <x:v>27295.3</x:v>
      </x:c>
      <x:c r="G761" s="20" t="n">
        <x:f>'Quarterly data'!$E$216</x:f>
        <x:v>26934</x:v>
      </x:c>
      <x:c r="H761" s="22" t="n">
        <x:f>100*F761/G761</x:f>
        <x:v>101.34142719239622</x:v>
      </x:c>
      <x:c r="I761" s="24" t="n">
        <x:f>H761/100-1</x:f>
        <x:v>0.013414271923962273</x:v>
      </x:c>
      <x:c r="J761" s="26" t="n">
        <x:v>4</x:v>
      </x:c>
      <x:c r="K761" s="7" t="b">
        <x:v>0</x:v>
      </x:c>
      <x:c r="L761" s="2" t="str">
        <x:v>May 2026</x:v>
      </x:c>
      <x:c r="M761" s="2" t="str">
        <x:v>https://www.genaiadoptiontracker.com/</x:v>
      </x:c>
    </x:row>
    <x:row r="762" ht="24" customHeight="1">
      <x:c r="A762" s="2" t="str">
        <x:v>RPS</x:v>
      </x:c>
      <x:c r="B762" s="2" t="str">
        <x:v>Quintiles</x:v>
      </x:c>
      <x:c r="C762" s="2" t="str">
        <x:v>Q2</x:v>
      </x:c>
      <x:c r="D762" s="28" t="n">
        <x:v>45505</x:v>
      </x:c>
      <x:c r="E762" s="2" t="str">
        <x:v>2024Q3</x:v>
      </x:c>
      <x:c r="F762" s="20" t="n">
        <x:v>40676.5</x:v>
      </x:c>
      <x:c r="G762" s="20" t="n">
        <x:f>'Quarterly data'!$E$217</x:f>
        <x:v>39187.3</x:v>
      </x:c>
      <x:c r="H762" s="22" t="n">
        <x:f>100*F762/G762</x:f>
        <x:v>103.80021078257496</x:v>
      </x:c>
      <x:c r="I762" s="24" t="n">
        <x:f>H762/100-1</x:f>
        <x:v>0.038002107825749754</x:v>
      </x:c>
      <x:c r="J762" s="26" t="n">
        <x:v>3</x:v>
      </x:c>
      <x:c r="K762" s="7" t="b">
        <x:v>0</x:v>
      </x:c>
      <x:c r="L762" s="2" t="str">
        <x:v>May 2026</x:v>
      </x:c>
      <x:c r="M762" s="2" t="str">
        <x:v>https://www.genaiadoptiontracker.com/</x:v>
      </x:c>
    </x:row>
    <x:row r="763" ht="24" customHeight="1">
      <x:c r="A763" s="2" t="str">
        <x:v>RPS</x:v>
      </x:c>
      <x:c r="B763" s="2" t="str">
        <x:v>Quintiles</x:v>
      </x:c>
      <x:c r="C763" s="2" t="str">
        <x:v>Q3</x:v>
      </x:c>
      <x:c r="D763" s="28" t="n">
        <x:v>45505</x:v>
      </x:c>
      <x:c r="E763" s="2" t="str">
        <x:v>2024Q3</x:v>
      </x:c>
      <x:c r="F763" s="20" t="n">
        <x:v>34131.3</x:v>
      </x:c>
      <x:c r="G763" s="20" t="n">
        <x:f>'Quarterly data'!$E$218</x:f>
        <x:v>34118.5666666667</x:v>
      </x:c>
      <x:c r="H763" s="22" t="n">
        <x:f>100*F763/G763</x:f>
        <x:v>100.03732083313378</x:v>
      </x:c>
      <x:c r="I763" s="24" t="n">
        <x:f>H763/100-1</x:f>
        <x:v>0.00037320833133769327</x:v>
      </x:c>
      <x:c r="J763" s="26" t="n">
        <x:v>4</x:v>
      </x:c>
      <x:c r="K763" s="7" t="b">
        <x:v>0</x:v>
      </x:c>
      <x:c r="L763" s="2" t="str">
        <x:v>May 2026</x:v>
      </x:c>
      <x:c r="M763" s="2" t="str">
        <x:v>https://www.genaiadoptiontracker.com/</x:v>
      </x:c>
    </x:row>
    <x:row r="764" ht="24" customHeight="1">
      <x:c r="A764" s="2" t="str">
        <x:v>RPS</x:v>
      </x:c>
      <x:c r="B764" s="2" t="str">
        <x:v>Quintiles</x:v>
      </x:c>
      <x:c r="C764" s="2" t="str">
        <x:v>Q4</x:v>
      </x:c>
      <x:c r="D764" s="28" t="n">
        <x:v>45505</x:v>
      </x:c>
      <x:c r="E764" s="2" t="str">
        <x:v>2024Q3</x:v>
      </x:c>
      <x:c r="F764" s="20" t="n">
        <x:v>9152.9</x:v>
      </x:c>
      <x:c r="G764" s="20" t="n">
        <x:f>'Quarterly data'!$E$219</x:f>
        <x:v>9093.1333333333</x:v>
      </x:c>
      <x:c r="H764" s="22" t="n">
        <x:f>100*F764/G764</x:f>
        <x:v>100.65727252065697</x:v>
      </x:c>
      <x:c r="I764" s="24" t="n">
        <x:f>H764/100-1</x:f>
        <x:v>0.006572725206569707</x:v>
      </x:c>
      <x:c r="J764" s="26" t="n">
        <x:v>3</x:v>
      </x:c>
      <x:c r="K764" s="7" t="b">
        <x:v>0</x:v>
      </x:c>
      <x:c r="L764" s="2" t="str">
        <x:v>May 2026</x:v>
      </x:c>
      <x:c r="M764" s="2" t="str">
        <x:v>https://www.genaiadoptiontracker.com/</x:v>
      </x:c>
    </x:row>
    <x:row r="765" ht="24" customHeight="1">
      <x:c r="A765" s="2" t="str">
        <x:v>RPS</x:v>
      </x:c>
      <x:c r="B765" s="2" t="str">
        <x:v>Quintiles</x:v>
      </x:c>
      <x:c r="C765" s="2" t="str">
        <x:v>Q5</x:v>
      </x:c>
      <x:c r="D765" s="28" t="n">
        <x:v>45505</x:v>
      </x:c>
      <x:c r="E765" s="2" t="str">
        <x:v>2024Q3</x:v>
      </x:c>
      <x:c r="F765" s="20" t="n">
        <x:v>23025.5</x:v>
      </x:c>
      <x:c r="G765" s="20" t="n">
        <x:f>'Quarterly data'!$E$220</x:f>
        <x:v>23079.8333333333</x:v>
      </x:c>
      <x:c r="H765" s="22" t="n">
        <x:f>100*F765/G765</x:f>
        <x:v>99.76458524397216</x:v>
      </x:c>
      <x:c r="I765" s="24" t="n">
        <x:f>H765/100-1</x:f>
        <x:v>-0.002354147560278408</x:v>
      </x:c>
      <x:c r="J765" s="26" t="n">
        <x:v>4</x:v>
      </x:c>
      <x:c r="K765" s="7" t="b">
        <x:v>0</x:v>
      </x:c>
      <x:c r="L765" s="2" t="str">
        <x:v>May 2026</x:v>
      </x:c>
      <x:c r="M765" s="2" t="str">
        <x:v>https://www.genaiadoptiontracker.com/</x:v>
      </x:c>
    </x:row>
    <x:row r="766" ht="24" customHeight="1">
      <x:c r="A766" s="2" t="str">
        <x:v>RPS</x:v>
      </x:c>
      <x:c r="B766" s="2" t="str">
        <x:v>Quintiles</x:v>
      </x:c>
      <x:c r="C766" s="2" t="str">
        <x:v>Q1</x:v>
      </x:c>
      <x:c r="D766" s="28" t="n">
        <x:v>45536</x:v>
      </x:c>
      <x:c r="E766" s="2" t="str">
        <x:v>2024Q3</x:v>
      </x:c>
      <x:c r="F766" s="20" t="n">
        <x:v>27356.8</x:v>
      </x:c>
      <x:c r="G766" s="20" t="n">
        <x:f>'Quarterly data'!$E$216</x:f>
        <x:v>26934</x:v>
      </x:c>
      <x:c r="H766" s="22" t="n">
        <x:f>100*F766/G766</x:f>
        <x:v>101.56976312467513</x:v>
      </x:c>
      <x:c r="I766" s="24" t="n">
        <x:f>H766/100-1</x:f>
        <x:v>0.015697631246751387</x:v>
      </x:c>
      <x:c r="J766" s="26" t="n">
        <x:v>4</x:v>
      </x:c>
      <x:c r="K766" s="7" t="b">
        <x:v>0</x:v>
      </x:c>
      <x:c r="L766" s="2" t="str">
        <x:v>May 2026</x:v>
      </x:c>
      <x:c r="M766" s="2" t="str">
        <x:v>https://www.genaiadoptiontracker.com/</x:v>
      </x:c>
    </x:row>
    <x:row r="767" ht="24" customHeight="1">
      <x:c r="A767" s="2" t="str">
        <x:v>RPS</x:v>
      </x:c>
      <x:c r="B767" s="2" t="str">
        <x:v>Quintiles</x:v>
      </x:c>
      <x:c r="C767" s="2" t="str">
        <x:v>Q2</x:v>
      </x:c>
      <x:c r="D767" s="28" t="n">
        <x:v>45536</x:v>
      </x:c>
      <x:c r="E767" s="2" t="str">
        <x:v>2024Q3</x:v>
      </x:c>
      <x:c r="F767" s="20" t="n">
        <x:v>40749.7</x:v>
      </x:c>
      <x:c r="G767" s="20" t="n">
        <x:f>'Quarterly data'!$E$217</x:f>
        <x:v>39187.3</x:v>
      </x:c>
      <x:c r="H767" s="22" t="n">
        <x:f>100*F767/G767</x:f>
        <x:v>103.98700599428895</x:v>
      </x:c>
      <x:c r="I767" s="24" t="n">
        <x:f>H767/100-1</x:f>
        <x:v>0.03987005994288939</x:v>
      </x:c>
      <x:c r="J767" s="26" t="n">
        <x:v>3</x:v>
      </x:c>
      <x:c r="K767" s="7" t="b">
        <x:v>0</x:v>
      </x:c>
      <x:c r="L767" s="2" t="str">
        <x:v>May 2026</x:v>
      </x:c>
      <x:c r="M767" s="2" t="str">
        <x:v>https://www.genaiadoptiontracker.com/</x:v>
      </x:c>
    </x:row>
    <x:row r="768" ht="24" customHeight="1">
      <x:c r="A768" s="2" t="str">
        <x:v>RPS</x:v>
      </x:c>
      <x:c r="B768" s="2" t="str">
        <x:v>Quintiles</x:v>
      </x:c>
      <x:c r="C768" s="2" t="str">
        <x:v>Q3</x:v>
      </x:c>
      <x:c r="D768" s="28" t="n">
        <x:v>45536</x:v>
      </x:c>
      <x:c r="E768" s="2" t="str">
        <x:v>2024Q3</x:v>
      </x:c>
      <x:c r="F768" s="20" t="n">
        <x:v>34145.4</x:v>
      </x:c>
      <x:c r="G768" s="20" t="n">
        <x:f>'Quarterly data'!$E$218</x:f>
        <x:v>34118.5666666667</x:v>
      </x:c>
      <x:c r="H768" s="22" t="n">
        <x:f>100*F768/G768</x:f>
        <x:v>100.07864730542597</x:v>
      </x:c>
      <x:c r="I768" s="24" t="n">
        <x:f>H768/100-1</x:f>
        <x:v>0.0007864730542597176</x:v>
      </x:c>
      <x:c r="J768" s="26" t="n">
        <x:v>4</x:v>
      </x:c>
      <x:c r="K768" s="7" t="b">
        <x:v>0</x:v>
      </x:c>
      <x:c r="L768" s="2" t="str">
        <x:v>May 2026</x:v>
      </x:c>
      <x:c r="M768" s="2" t="str">
        <x:v>https://www.genaiadoptiontracker.com/</x:v>
      </x:c>
    </x:row>
    <x:row r="769" ht="24" customHeight="1">
      <x:c r="A769" s="2" t="str">
        <x:v>RPS</x:v>
      </x:c>
      <x:c r="B769" s="2" t="str">
        <x:v>Quintiles</x:v>
      </x:c>
      <x:c r="C769" s="2" t="str">
        <x:v>Q4</x:v>
      </x:c>
      <x:c r="D769" s="28" t="n">
        <x:v>45536</x:v>
      </x:c>
      <x:c r="E769" s="2" t="str">
        <x:v>2024Q3</x:v>
      </x:c>
      <x:c r="F769" s="20" t="n">
        <x:v>9148.5</x:v>
      </x:c>
      <x:c r="G769" s="20" t="n">
        <x:f>'Quarterly data'!$E$219</x:f>
        <x:v>9093.1333333333</x:v>
      </x:c>
      <x:c r="H769" s="22" t="n">
        <x:f>100*F769/G769</x:f>
        <x:v>100.60888435962704</x:v>
      </x:c>
      <x:c r="I769" s="24" t="n">
        <x:f>H769/100-1</x:f>
        <x:v>0.006088843596270488</x:v>
      </x:c>
      <x:c r="J769" s="26" t="n">
        <x:v>3</x:v>
      </x:c>
      <x:c r="K769" s="7" t="b">
        <x:v>0</x:v>
      </x:c>
      <x:c r="L769" s="2" t="str">
        <x:v>May 2026</x:v>
      </x:c>
      <x:c r="M769" s="2" t="str">
        <x:v>https://www.genaiadoptiontracker.com/</x:v>
      </x:c>
    </x:row>
    <x:row r="770" ht="24" customHeight="1">
      <x:c r="A770" s="2" t="str">
        <x:v>RPS</x:v>
      </x:c>
      <x:c r="B770" s="2" t="str">
        <x:v>Quintiles</x:v>
      </x:c>
      <x:c r="C770" s="2" t="str">
        <x:v>Q5</x:v>
      </x:c>
      <x:c r="D770" s="28" t="n">
        <x:v>45536</x:v>
      </x:c>
      <x:c r="E770" s="2" t="str">
        <x:v>2024Q3</x:v>
      </x:c>
      <x:c r="F770" s="20" t="n">
        <x:v>23021.9</x:v>
      </x:c>
      <x:c r="G770" s="20" t="n">
        <x:f>'Quarterly data'!$E$220</x:f>
        <x:v>23079.8333333333</x:v>
      </x:c>
      <x:c r="H770" s="22" t="n">
        <x:f>100*F770/G770</x:f>
        <x:v>99.74898721105743</x:v>
      </x:c>
      <x:c r="I770" s="24" t="n">
        <x:f>H770/100-1</x:f>
        <x:v>-0.0025101278894257284</x:v>
      </x:c>
      <x:c r="J770" s="26" t="n">
        <x:v>4</x:v>
      </x:c>
      <x:c r="K770" s="7" t="b">
        <x:v>0</x:v>
      </x:c>
      <x:c r="L770" s="2" t="str">
        <x:v>May 2026</x:v>
      </x:c>
      <x:c r="M770" s="2" t="str">
        <x:v>https://www.genaiadoptiontracker.com/</x:v>
      </x:c>
    </x:row>
    <x:row r="771" ht="24" customHeight="1">
      <x:c r="A771" s="2" t="str">
        <x:v>RPS</x:v>
      </x:c>
      <x:c r="B771" s="2" t="str">
        <x:v>Quintiles</x:v>
      </x:c>
      <x:c r="C771" s="2" t="str">
        <x:v>Q1</x:v>
      </x:c>
      <x:c r="D771" s="28" t="n">
        <x:v>45566</x:v>
      </x:c>
      <x:c r="E771" s="2" t="str">
        <x:v>2024Q4</x:v>
      </x:c>
      <x:c r="F771" s="20" t="n">
        <x:v>27360.9</x:v>
      </x:c>
      <x:c r="G771" s="20" t="n">
        <x:f>'Quarterly data'!$E$216</x:f>
        <x:v>26934</x:v>
      </x:c>
      <x:c r="H771" s="22" t="n">
        <x:f>100*F771/G771</x:f>
        <x:v>101.58498552016039</x:v>
      </x:c>
      <x:c r="I771" s="24" t="n">
        <x:f>H771/100-1</x:f>
        <x:v>0.01584985520160398</x:v>
      </x:c>
      <x:c r="J771" s="26" t="n">
        <x:v>4</x:v>
      </x:c>
      <x:c r="K771" s="7" t="b">
        <x:v>0</x:v>
      </x:c>
      <x:c r="L771" s="2" t="str">
        <x:v>May 2026</x:v>
      </x:c>
      <x:c r="M771" s="2" t="str">
        <x:v>https://www.genaiadoptiontracker.com/</x:v>
      </x:c>
    </x:row>
    <x:row r="772" ht="24" customHeight="1">
      <x:c r="A772" s="2" t="str">
        <x:v>RPS</x:v>
      </x:c>
      <x:c r="B772" s="2" t="str">
        <x:v>Quintiles</x:v>
      </x:c>
      <x:c r="C772" s="2" t="str">
        <x:v>Q2</x:v>
      </x:c>
      <x:c r="D772" s="28" t="n">
        <x:v>45566</x:v>
      </x:c>
      <x:c r="E772" s="2" t="str">
        <x:v>2024Q4</x:v>
      </x:c>
      <x:c r="F772" s="20" t="n">
        <x:v>40837.9</x:v>
      </x:c>
      <x:c r="G772" s="20" t="n">
        <x:f>'Quarterly data'!$E$217</x:f>
        <x:v>39187.3</x:v>
      </x:c>
      <x:c r="H772" s="22" t="n">
        <x:f>100*F772/G772</x:f>
        <x:v>104.2120789133214</x:v>
      </x:c>
      <x:c r="I772" s="24" t="n">
        <x:f>H772/100-1</x:f>
        <x:v>0.04212078913321404</x:v>
      </x:c>
      <x:c r="J772" s="26" t="n">
        <x:v>3</x:v>
      </x:c>
      <x:c r="K772" s="7" t="b">
        <x:v>0</x:v>
      </x:c>
      <x:c r="L772" s="2" t="str">
        <x:v>May 2026</x:v>
      </x:c>
      <x:c r="M772" s="2" t="str">
        <x:v>https://www.genaiadoptiontracker.com/</x:v>
      </x:c>
    </x:row>
    <x:row r="773" ht="24" customHeight="1">
      <x:c r="A773" s="2" t="str">
        <x:v>RPS</x:v>
      </x:c>
      <x:c r="B773" s="2" t="str">
        <x:v>Quintiles</x:v>
      </x:c>
      <x:c r="C773" s="2" t="str">
        <x:v>Q3</x:v>
      </x:c>
      <x:c r="D773" s="28" t="n">
        <x:v>45566</x:v>
      </x:c>
      <x:c r="E773" s="2" t="str">
        <x:v>2024Q4</x:v>
      </x:c>
      <x:c r="F773" s="20" t="n">
        <x:v>34078.6</x:v>
      </x:c>
      <x:c r="G773" s="20" t="n">
        <x:f>'Quarterly data'!$E$218</x:f>
        <x:v>34118.5666666667</x:v>
      </x:c>
      <x:c r="H773" s="22" t="n">
        <x:f>100*F773/G773</x:f>
        <x:v>99.88285947924727</x:v>
      </x:c>
      <x:c r="I773" s="24" t="n">
        <x:f>H773/100-1</x:f>
        <x:v>-0.0011714052075272319</x:v>
      </x:c>
      <x:c r="J773" s="26" t="n">
        <x:v>4</x:v>
      </x:c>
      <x:c r="K773" s="7" t="b">
        <x:v>0</x:v>
      </x:c>
      <x:c r="L773" s="2" t="str">
        <x:v>May 2026</x:v>
      </x:c>
      <x:c r="M773" s="2" t="str">
        <x:v>https://www.genaiadoptiontracker.com/</x:v>
      </x:c>
    </x:row>
    <x:row r="774" ht="24" customHeight="1">
      <x:c r="A774" s="2" t="str">
        <x:v>RPS</x:v>
      </x:c>
      <x:c r="B774" s="2" t="str">
        <x:v>Quintiles</x:v>
      </x:c>
      <x:c r="C774" s="2" t="str">
        <x:v>Q4</x:v>
      </x:c>
      <x:c r="D774" s="28" t="n">
        <x:v>45566</x:v>
      </x:c>
      <x:c r="E774" s="2" t="str">
        <x:v>2024Q4</x:v>
      </x:c>
      <x:c r="F774" s="20" t="n">
        <x:v>9147</x:v>
      </x:c>
      <x:c r="G774" s="20" t="n">
        <x:f>'Quarterly data'!$E$219</x:f>
        <x:v>9093.1333333333</x:v>
      </x:c>
      <x:c r="H774" s="22" t="n">
        <x:f>100*F774/G774</x:f>
        <x:v>100.59238839563956</x:v>
      </x:c>
      <x:c r="I774" s="24" t="n">
        <x:f>H774/100-1</x:f>
        <x:v>0.005923883956395537</x:v>
      </x:c>
      <x:c r="J774" s="26" t="n">
        <x:v>3</x:v>
      </x:c>
      <x:c r="K774" s="7" t="b">
        <x:v>0</x:v>
      </x:c>
      <x:c r="L774" s="2" t="str">
        <x:v>May 2026</x:v>
      </x:c>
      <x:c r="M774" s="2" t="str">
        <x:v>https://www.genaiadoptiontracker.com/</x:v>
      </x:c>
    </x:row>
    <x:row r="775" ht="24" customHeight="1">
      <x:c r="A775" s="2" t="str">
        <x:v>RPS</x:v>
      </x:c>
      <x:c r="B775" s="2" t="str">
        <x:v>Quintiles</x:v>
      </x:c>
      <x:c r="C775" s="2" t="str">
        <x:v>Q5</x:v>
      </x:c>
      <x:c r="D775" s="28" t="n">
        <x:v>45566</x:v>
      </x:c>
      <x:c r="E775" s="2" t="str">
        <x:v>2024Q4</x:v>
      </x:c>
      <x:c r="F775" s="20" t="n">
        <x:v>22992.4</x:v>
      </x:c>
      <x:c r="G775" s="20" t="n">
        <x:f>'Quarterly data'!$E$220</x:f>
        <x:v>23079.8333333333</x:v>
      </x:c>
      <x:c r="H775" s="22" t="n">
        <x:f>100*F775/G775</x:f>
        <x:v>99.62116999689498</x:v>
      </x:c>
      <x:c r="I775" s="24" t="n">
        <x:f>H775/100-1</x:f>
        <x:v>-0.00378830003105024</x:v>
      </x:c>
      <x:c r="J775" s="26" t="n">
        <x:v>4</x:v>
      </x:c>
      <x:c r="K775" s="7" t="b">
        <x:v>0</x:v>
      </x:c>
      <x:c r="L775" s="2" t="str">
        <x:v>May 2026</x:v>
      </x:c>
      <x:c r="M775" s="2" t="str">
        <x:v>https://www.genaiadoptiontracker.com/</x:v>
      </x:c>
    </x:row>
    <x:row r="776" ht="24" customHeight="1">
      <x:c r="A776" s="2" t="str">
        <x:v>RPS</x:v>
      </x:c>
      <x:c r="B776" s="2" t="str">
        <x:v>Quintiles</x:v>
      </x:c>
      <x:c r="C776" s="2" t="str">
        <x:v>Q1</x:v>
      </x:c>
      <x:c r="D776" s="28" t="n">
        <x:v>45597</x:v>
      </x:c>
      <x:c r="E776" s="2" t="str">
        <x:v>2024Q4</x:v>
      </x:c>
      <x:c r="F776" s="20" t="n">
        <x:v>27387.3</x:v>
      </x:c>
      <x:c r="G776" s="20" t="n">
        <x:f>'Quarterly data'!$E$216</x:f>
        <x:v>26934</x:v>
      </x:c>
      <x:c r="H776" s="22" t="n">
        <x:f>100*F776/G776</x:f>
        <x:v>101.68300289596792</x:v>
      </x:c>
      <x:c r="I776" s="24" t="n">
        <x:f>H776/100-1</x:f>
        <x:v>0.016830028959679222</x:v>
      </x:c>
      <x:c r="J776" s="26" t="n">
        <x:v>4</x:v>
      </x:c>
      <x:c r="K776" s="7" t="b">
        <x:v>0</x:v>
      </x:c>
      <x:c r="L776" s="2" t="str">
        <x:v>May 2026</x:v>
      </x:c>
      <x:c r="M776" s="2" t="str">
        <x:v>https://www.genaiadoptiontracker.com/</x:v>
      </x:c>
    </x:row>
    <x:row r="777" ht="24" customHeight="1">
      <x:c r="A777" s="2" t="str">
        <x:v>RPS</x:v>
      </x:c>
      <x:c r="B777" s="2" t="str">
        <x:v>Quintiles</x:v>
      </x:c>
      <x:c r="C777" s="2" t="str">
        <x:v>Q2</x:v>
      </x:c>
      <x:c r="D777" s="28" t="n">
        <x:v>45597</x:v>
      </x:c>
      <x:c r="E777" s="2" t="str">
        <x:v>2024Q4</x:v>
      </x:c>
      <x:c r="F777" s="20" t="n">
        <x:v>40888.4</x:v>
      </x:c>
      <x:c r="G777" s="20" t="n">
        <x:f>'Quarterly data'!$E$217</x:f>
        <x:v>39187.3</x:v>
      </x:c>
      <x:c r="H777" s="22" t="n">
        <x:f>100*F777/G777</x:f>
        <x:v>104.34094719462682</x:v>
      </x:c>
      <x:c r="I777" s="24" t="n">
        <x:f>H777/100-1</x:f>
        <x:v>0.04340947194626832</x:v>
      </x:c>
      <x:c r="J777" s="26" t="n">
        <x:v>3</x:v>
      </x:c>
      <x:c r="K777" s="7" t="b">
        <x:v>0</x:v>
      </x:c>
      <x:c r="L777" s="2" t="str">
        <x:v>May 2026</x:v>
      </x:c>
      <x:c r="M777" s="2" t="str">
        <x:v>https://www.genaiadoptiontracker.com/</x:v>
      </x:c>
    </x:row>
    <x:row r="778" ht="24" customHeight="1">
      <x:c r="A778" s="2" t="str">
        <x:v>RPS</x:v>
      </x:c>
      <x:c r="B778" s="2" t="str">
        <x:v>Quintiles</x:v>
      </x:c>
      <x:c r="C778" s="2" t="str">
        <x:v>Q3</x:v>
      </x:c>
      <x:c r="D778" s="28" t="n">
        <x:v>45597</x:v>
      </x:c>
      <x:c r="E778" s="2" t="str">
        <x:v>2024Q4</x:v>
      </x:c>
      <x:c r="F778" s="20" t="n">
        <x:v>34112.8</x:v>
      </x:c>
      <x:c r="G778" s="20" t="n">
        <x:f>'Quarterly data'!$E$218</x:f>
        <x:v>34118.5666666667</x:v>
      </x:c>
      <x:c r="H778" s="22" t="n">
        <x:f>100*F778/G778</x:f>
        <x:v>99.98309815672201</x:v>
      </x:c>
      <x:c r="I778" s="24" t="n">
        <x:f>H778/100-1</x:f>
        <x:v>-0.00016901843277994377</x:v>
      </x:c>
      <x:c r="J778" s="26" t="n">
        <x:v>4</x:v>
      </x:c>
      <x:c r="K778" s="7" t="b">
        <x:v>0</x:v>
      </x:c>
      <x:c r="L778" s="2" t="str">
        <x:v>May 2026</x:v>
      </x:c>
      <x:c r="M778" s="2" t="str">
        <x:v>https://www.genaiadoptiontracker.com/</x:v>
      </x:c>
    </x:row>
    <x:row r="779" ht="24" customHeight="1">
      <x:c r="A779" s="2" t="str">
        <x:v>RPS</x:v>
      </x:c>
      <x:c r="B779" s="2" t="str">
        <x:v>Quintiles</x:v>
      </x:c>
      <x:c r="C779" s="2" t="str">
        <x:v>Q4</x:v>
      </x:c>
      <x:c r="D779" s="28" t="n">
        <x:v>45597</x:v>
      </x:c>
      <x:c r="E779" s="2" t="str">
        <x:v>2024Q4</x:v>
      </x:c>
      <x:c r="F779" s="20" t="n">
        <x:v>9140.5</x:v>
      </x:c>
      <x:c r="G779" s="20" t="n">
        <x:f>'Quarterly data'!$E$219</x:f>
        <x:v>9093.1333333333</x:v>
      </x:c>
      <x:c r="H779" s="22" t="n">
        <x:f>100*F779/G779</x:f>
        <x:v>100.52090588502716</x:v>
      </x:c>
      <x:c r="I779" s="24" t="n">
        <x:f>H779/100-1</x:f>
        <x:v>0.005209058850271564</x:v>
      </x:c>
      <x:c r="J779" s="26" t="n">
        <x:v>3</x:v>
      </x:c>
      <x:c r="K779" s="7" t="b">
        <x:v>0</x:v>
      </x:c>
      <x:c r="L779" s="2" t="str">
        <x:v>May 2026</x:v>
      </x:c>
      <x:c r="M779" s="2" t="str">
        <x:v>https://www.genaiadoptiontracker.com/</x:v>
      </x:c>
    </x:row>
    <x:row r="780" ht="24" customHeight="1">
      <x:c r="A780" s="2" t="str">
        <x:v>RPS</x:v>
      </x:c>
      <x:c r="B780" s="2" t="str">
        <x:v>Quintiles</x:v>
      </x:c>
      <x:c r="C780" s="2" t="str">
        <x:v>Q5</x:v>
      </x:c>
      <x:c r="D780" s="28" t="n">
        <x:v>45597</x:v>
      </x:c>
      <x:c r="E780" s="2" t="str">
        <x:v>2024Q4</x:v>
      </x:c>
      <x:c r="F780" s="20" t="n">
        <x:v>23005.7</x:v>
      </x:c>
      <x:c r="G780" s="20" t="n">
        <x:f>'Quarterly data'!$E$220</x:f>
        <x:v>23079.8333333333</x:v>
      </x:c>
      <x:c r="H780" s="22" t="n">
        <x:f>100*F780/G780</x:f>
        <x:v>99.6787960629411</x:v>
      </x:c>
      <x:c r="I780" s="24" t="n">
        <x:f>H780/100-1</x:f>
        <x:v>-0.003212039370589004</x:v>
      </x:c>
      <x:c r="J780" s="26" t="n">
        <x:v>4</x:v>
      </x:c>
      <x:c r="K780" s="7" t="b">
        <x:v>0</x:v>
      </x:c>
      <x:c r="L780" s="2" t="str">
        <x:v>May 2026</x:v>
      </x:c>
      <x:c r="M780" s="2" t="str">
        <x:v>https://www.genaiadoptiontracker.com/</x:v>
      </x:c>
    </x:row>
    <x:row r="781" ht="24" customHeight="1">
      <x:c r="A781" s="2" t="str">
        <x:v>RPS</x:v>
      </x:c>
      <x:c r="B781" s="2" t="str">
        <x:v>Quintiles</x:v>
      </x:c>
      <x:c r="C781" s="2" t="str">
        <x:v>Q1</x:v>
      </x:c>
      <x:c r="D781" s="28" t="n">
        <x:v>45627</x:v>
      </x:c>
      <x:c r="E781" s="2" t="str">
        <x:v>2024Q4</x:v>
      </x:c>
      <x:c r="F781" s="20" t="n">
        <x:v>27426.2</x:v>
      </x:c>
      <x:c r="G781" s="20" t="n">
        <x:f>'Quarterly data'!$E$216</x:f>
        <x:v>26934</x:v>
      </x:c>
      <x:c r="H781" s="22" t="n">
        <x:f>100*F781/G781</x:f>
        <x:v>101.82743001410856</x:v>
      </x:c>
      <x:c r="I781" s="24" t="n">
        <x:f>H781/100-1</x:f>
        <x:v>0.018274300141085664</x:v>
      </x:c>
      <x:c r="J781" s="26" t="n">
        <x:v>4</x:v>
      </x:c>
      <x:c r="K781" s="7" t="b">
        <x:v>0</x:v>
      </x:c>
      <x:c r="L781" s="2" t="str">
        <x:v>May 2026</x:v>
      </x:c>
      <x:c r="M781" s="2" t="str">
        <x:v>https://www.genaiadoptiontracker.com/</x:v>
      </x:c>
    </x:row>
    <x:row r="782" ht="24" customHeight="1">
      <x:c r="A782" s="2" t="str">
        <x:v>RPS</x:v>
      </x:c>
      <x:c r="B782" s="2" t="str">
        <x:v>Quintiles</x:v>
      </x:c>
      <x:c r="C782" s="2" t="str">
        <x:v>Q2</x:v>
      </x:c>
      <x:c r="D782" s="28" t="n">
        <x:v>45627</x:v>
      </x:c>
      <x:c r="E782" s="2" t="str">
        <x:v>2024Q4</x:v>
      </x:c>
      <x:c r="F782" s="20" t="n">
        <x:v>41013.6</x:v>
      </x:c>
      <x:c r="G782" s="20" t="n">
        <x:f>'Quarterly data'!$E$217</x:f>
        <x:v>39187.3</x:v>
      </x:c>
      <x:c r="H782" s="22" t="n">
        <x:f>100*F782/G782</x:f>
        <x:v>104.6604384583781</x:v>
      </x:c>
      <x:c r="I782" s="24" t="n">
        <x:f>H782/100-1</x:f>
        <x:v>0.04660438458378091</x:v>
      </x:c>
      <x:c r="J782" s="26" t="n">
        <x:v>3</x:v>
      </x:c>
      <x:c r="K782" s="7" t="b">
        <x:v>0</x:v>
      </x:c>
      <x:c r="L782" s="2" t="str">
        <x:v>May 2026</x:v>
      </x:c>
      <x:c r="M782" s="2" t="str">
        <x:v>https://www.genaiadoptiontracker.com/</x:v>
      </x:c>
    </x:row>
    <x:row r="783" ht="24" customHeight="1">
      <x:c r="A783" s="2" t="str">
        <x:v>RPS</x:v>
      </x:c>
      <x:c r="B783" s="2" t="str">
        <x:v>Quintiles</x:v>
      </x:c>
      <x:c r="C783" s="2" t="str">
        <x:v>Q3</x:v>
      </x:c>
      <x:c r="D783" s="28" t="n">
        <x:v>45627</x:v>
      </x:c>
      <x:c r="E783" s="2" t="str">
        <x:v>2024Q4</x:v>
      </x:c>
      <x:c r="F783" s="20" t="n">
        <x:v>34111.9</x:v>
      </x:c>
      <x:c r="G783" s="20" t="n">
        <x:f>'Quarterly data'!$E$218</x:f>
        <x:v>34118.5666666667</x:v>
      </x:c>
      <x:c r="H783" s="22" t="n">
        <x:f>100*F783/G783</x:f>
        <x:v>99.98046029678845</x:v>
      </x:c>
      <x:c r="I783" s="24" t="n">
        <x:f>H783/100-1</x:f>
        <x:v>-0.000195397032115463</x:v>
      </x:c>
      <x:c r="J783" s="26" t="n">
        <x:v>4</x:v>
      </x:c>
      <x:c r="K783" s="7" t="b">
        <x:v>0</x:v>
      </x:c>
      <x:c r="L783" s="2" t="str">
        <x:v>May 2026</x:v>
      </x:c>
      <x:c r="M783" s="2" t="str">
        <x:v>https://www.genaiadoptiontracker.com/</x:v>
      </x:c>
    </x:row>
    <x:row r="784" ht="24" customHeight="1">
      <x:c r="A784" s="2" t="str">
        <x:v>RPS</x:v>
      </x:c>
      <x:c r="B784" s="2" t="str">
        <x:v>Quintiles</x:v>
      </x:c>
      <x:c r="C784" s="2" t="str">
        <x:v>Q4</x:v>
      </x:c>
      <x:c r="D784" s="28" t="n">
        <x:v>45627</x:v>
      </x:c>
      <x:c r="E784" s="2" t="str">
        <x:v>2024Q4</x:v>
      </x:c>
      <x:c r="F784" s="20" t="n">
        <x:v>9143.6</x:v>
      </x:c>
      <x:c r="G784" s="20" t="n">
        <x:f>'Quarterly data'!$E$219</x:f>
        <x:v>9093.1333333333</x:v>
      </x:c>
      <x:c r="H784" s="22" t="n">
        <x:f>100*F784/G784</x:f>
        <x:v>100.55499754393462</x:v>
      </x:c>
      <x:c r="I784" s="24" t="n">
        <x:f>H784/100-1</x:f>
        <x:v>0.005549975439346211</x:v>
      </x:c>
      <x:c r="J784" s="26" t="n">
        <x:v>3</x:v>
      </x:c>
      <x:c r="K784" s="7" t="b">
        <x:v>0</x:v>
      </x:c>
      <x:c r="L784" s="2" t="str">
        <x:v>May 2026</x:v>
      </x:c>
      <x:c r="M784" s="2" t="str">
        <x:v>https://www.genaiadoptiontracker.com/</x:v>
      </x:c>
    </x:row>
    <x:row r="785" ht="24" customHeight="1">
      <x:c r="A785" s="2" t="str">
        <x:v>RPS</x:v>
      </x:c>
      <x:c r="B785" s="2" t="str">
        <x:v>Quintiles</x:v>
      </x:c>
      <x:c r="C785" s="2" t="str">
        <x:v>Q5</x:v>
      </x:c>
      <x:c r="D785" s="28" t="n">
        <x:v>45627</x:v>
      </x:c>
      <x:c r="E785" s="2" t="str">
        <x:v>2024Q4</x:v>
      </x:c>
      <x:c r="F785" s="20" t="n">
        <x:v>23051.7</x:v>
      </x:c>
      <x:c r="G785" s="20" t="n">
        <x:f>'Quarterly data'!$E$220</x:f>
        <x:v>23079.8333333333</x:v>
      </x:c>
      <x:c r="H785" s="22" t="n">
        <x:f>100*F785/G785</x:f>
        <x:v>99.87810426129609</x:v>
      </x:c>
      <x:c r="I785" s="24" t="n">
        <x:f>H785/100-1</x:f>
        <x:v>-0.0012189573870391435</x:v>
      </x:c>
      <x:c r="J785" s="26" t="n">
        <x:v>4</x:v>
      </x:c>
      <x:c r="K785" s="7" t="b">
        <x:v>0</x:v>
      </x:c>
      <x:c r="L785" s="2" t="str">
        <x:v>May 2026</x:v>
      </x:c>
      <x:c r="M785" s="2" t="str">
        <x:v>https://www.genaiadoptiontracker.com/</x:v>
      </x:c>
    </x:row>
    <x:row r="786" ht="24" customHeight="1">
      <x:c r="A786" s="2" t="str">
        <x:v>RPS</x:v>
      </x:c>
      <x:c r="B786" s="2" t="str">
        <x:v>Quintiles</x:v>
      </x:c>
      <x:c r="C786" s="2" t="str">
        <x:v>Q1</x:v>
      </x:c>
      <x:c r="D786" s="28" t="n">
        <x:v>45658</x:v>
      </x:c>
      <x:c r="E786" s="2" t="str">
        <x:v>2025Q1</x:v>
      </x:c>
      <x:c r="F786" s="20" t="n">
        <x:v>27401.4</x:v>
      </x:c>
      <x:c r="G786" s="20" t="n">
        <x:f>'Quarterly data'!$E$216</x:f>
        <x:v>26934</x:v>
      </x:c>
      <x:c r="H786" s="22" t="n">
        <x:f>100*F786/G786</x:f>
        <x:v>101.73535308531967</x:v>
      </x:c>
      <x:c r="I786" s="24" t="n">
        <x:f>H786/100-1</x:f>
        <x:v>0.017353530853196686</x:v>
      </x:c>
      <x:c r="J786" s="26" t="n">
        <x:v>4</x:v>
      </x:c>
      <x:c r="K786" s="7" t="b">
        <x:v>0</x:v>
      </x:c>
      <x:c r="L786" s="2" t="str">
        <x:v>May 2026</x:v>
      </x:c>
      <x:c r="M786" s="2" t="str">
        <x:v>https://www.genaiadoptiontracker.com/</x:v>
      </x:c>
    </x:row>
    <x:row r="787" ht="24" customHeight="1">
      <x:c r="A787" s="2" t="str">
        <x:v>RPS</x:v>
      </x:c>
      <x:c r="B787" s="2" t="str">
        <x:v>Quintiles</x:v>
      </x:c>
      <x:c r="C787" s="2" t="str">
        <x:v>Q2</x:v>
      </x:c>
      <x:c r="D787" s="28" t="n">
        <x:v>45658</x:v>
      </x:c>
      <x:c r="E787" s="2" t="str">
        <x:v>2025Q1</x:v>
      </x:c>
      <x:c r="F787" s="20" t="n">
        <x:v>41072</x:v>
      </x:c>
      <x:c r="G787" s="20" t="n">
        <x:f>'Quarterly data'!$E$217</x:f>
        <x:v>39187.3</x:v>
      </x:c>
      <x:c r="H787" s="22" t="n">
        <x:f>100*F787/G787</x:f>
        <x:v>104.80946633220456</x:v>
      </x:c>
      <x:c r="I787" s="24" t="n">
        <x:f>H787/100-1</x:f>
        <x:v>0.048094663322045594</x:v>
      </x:c>
      <x:c r="J787" s="26" t="n">
        <x:v>3</x:v>
      </x:c>
      <x:c r="K787" s="7" t="b">
        <x:v>0</x:v>
      </x:c>
      <x:c r="L787" s="2" t="str">
        <x:v>May 2026</x:v>
      </x:c>
      <x:c r="M787" s="2" t="str">
        <x:v>https://www.genaiadoptiontracker.com/</x:v>
      </x:c>
    </x:row>
    <x:row r="788" ht="24" customHeight="1">
      <x:c r="A788" s="2" t="str">
        <x:v>RPS</x:v>
      </x:c>
      <x:c r="B788" s="2" t="str">
        <x:v>Quintiles</x:v>
      </x:c>
      <x:c r="C788" s="2" t="str">
        <x:v>Q3</x:v>
      </x:c>
      <x:c r="D788" s="28" t="n">
        <x:v>45658</x:v>
      </x:c>
      <x:c r="E788" s="2" t="str">
        <x:v>2025Q1</x:v>
      </x:c>
      <x:c r="F788" s="20" t="n">
        <x:v>34053.6</x:v>
      </x:c>
      <x:c r="G788" s="20" t="n">
        <x:f>'Quarterly data'!$E$218</x:f>
        <x:v>34118.5666666667</x:v>
      </x:c>
      <x:c r="H788" s="22" t="n">
        <x:f>100*F788/G788</x:f>
        <x:v>99.80958559220434</x:v>
      </x:c>
      <x:c r="I788" s="24" t="n">
        <x:f>H788/100-1</x:f>
        <x:v>-0.0019041440779565821</x:v>
      </x:c>
      <x:c r="J788" s="26" t="n">
        <x:v>4</x:v>
      </x:c>
      <x:c r="K788" s="7" t="b">
        <x:v>0</x:v>
      </x:c>
      <x:c r="L788" s="2" t="str">
        <x:v>May 2026</x:v>
      </x:c>
      <x:c r="M788" s="2" t="str">
        <x:v>https://www.genaiadoptiontracker.com/</x:v>
      </x:c>
    </x:row>
    <x:row r="789" ht="24" customHeight="1">
      <x:c r="A789" s="2" t="str">
        <x:v>RPS</x:v>
      </x:c>
      <x:c r="B789" s="2" t="str">
        <x:v>Quintiles</x:v>
      </x:c>
      <x:c r="C789" s="2" t="str">
        <x:v>Q4</x:v>
      </x:c>
      <x:c r="D789" s="28" t="n">
        <x:v>45658</x:v>
      </x:c>
      <x:c r="E789" s="2" t="str">
        <x:v>2025Q1</x:v>
      </x:c>
      <x:c r="F789" s="20" t="n">
        <x:v>9126.5</x:v>
      </x:c>
      <x:c r="G789" s="20" t="n">
        <x:f>'Quarterly data'!$E$219</x:f>
        <x:v>9093.1333333333</x:v>
      </x:c>
      <x:c r="H789" s="22" t="n">
        <x:f>100*F789/G789</x:f>
        <x:v>100.36694355447737</x:v>
      </x:c>
      <x:c r="I789" s="24" t="n">
        <x:f>H789/100-1</x:f>
        <x:v>0.003669435544773725</x:v>
      </x:c>
      <x:c r="J789" s="26" t="n">
        <x:v>3</x:v>
      </x:c>
      <x:c r="K789" s="7" t="b">
        <x:v>0</x:v>
      </x:c>
      <x:c r="L789" s="2" t="str">
        <x:v>May 2026</x:v>
      </x:c>
      <x:c r="M789" s="2" t="str">
        <x:v>https://www.genaiadoptiontracker.com/</x:v>
      </x:c>
    </x:row>
    <x:row r="790" ht="24" customHeight="1">
      <x:c r="A790" s="2" t="str">
        <x:v>RPS</x:v>
      </x:c>
      <x:c r="B790" s="2" t="str">
        <x:v>Quintiles</x:v>
      </x:c>
      <x:c r="C790" s="2" t="str">
        <x:v>Q5</x:v>
      </x:c>
      <x:c r="D790" s="28" t="n">
        <x:v>45658</x:v>
      </x:c>
      <x:c r="E790" s="2" t="str">
        <x:v>2025Q1</x:v>
      </x:c>
      <x:c r="F790" s="20" t="n">
        <x:v>23016.5</x:v>
      </x:c>
      <x:c r="G790" s="20" t="n">
        <x:f>'Quarterly data'!$E$220</x:f>
        <x:v>23079.8333333333</x:v>
      </x:c>
      <x:c r="H790" s="22" t="n">
        <x:f>100*F790/G790</x:f>
        <x:v>99.72559016168532</x:v>
      </x:c>
      <x:c r="I790" s="24" t="n">
        <x:f>H790/100-1</x:f>
        <x:v>-0.00274409838314682</x:v>
      </x:c>
      <x:c r="J790" s="26" t="n">
        <x:v>4</x:v>
      </x:c>
      <x:c r="K790" s="7" t="b">
        <x:v>0</x:v>
      </x:c>
      <x:c r="L790" s="2" t="str">
        <x:v>May 2026</x:v>
      </x:c>
      <x:c r="M790" s="2" t="str">
        <x:v>https://www.genaiadoptiontracker.com/</x:v>
      </x:c>
    </x:row>
    <x:row r="791" ht="24" customHeight="1">
      <x:c r="A791" s="2" t="str">
        <x:v>RPS</x:v>
      </x:c>
      <x:c r="B791" s="2" t="str">
        <x:v>Quintiles</x:v>
      </x:c>
      <x:c r="C791" s="2" t="str">
        <x:v>Q1</x:v>
      </x:c>
      <x:c r="D791" s="28" t="n">
        <x:v>45689</x:v>
      </x:c>
      <x:c r="E791" s="2" t="str">
        <x:v>2025Q1</x:v>
      </x:c>
      <x:c r="F791" s="20" t="n">
        <x:v>27383</x:v>
      </x:c>
      <x:c r="G791" s="20" t="n">
        <x:f>'Quarterly data'!$E$216</x:f>
        <x:v>26934</x:v>
      </x:c>
      <x:c r="H791" s="22" t="n">
        <x:f>100*F791/G791</x:f>
        <x:v>101.66703794460533</x:v>
      </x:c>
      <x:c r="I791" s="24" t="n">
        <x:f>H791/100-1</x:f>
        <x:v>0.016670379446053207</x:v>
      </x:c>
      <x:c r="J791" s="26" t="n">
        <x:v>4</x:v>
      </x:c>
      <x:c r="K791" s="7" t="b">
        <x:v>0</x:v>
      </x:c>
      <x:c r="L791" s="2" t="str">
        <x:v>May 2026</x:v>
      </x:c>
      <x:c r="M791" s="2" t="str">
        <x:v>https://www.genaiadoptiontracker.com/</x:v>
      </x:c>
    </x:row>
    <x:row r="792" ht="24" customHeight="1">
      <x:c r="A792" s="2" t="str">
        <x:v>RPS</x:v>
      </x:c>
      <x:c r="B792" s="2" t="str">
        <x:v>Quintiles</x:v>
      </x:c>
      <x:c r="C792" s="2" t="str">
        <x:v>Q2</x:v>
      </x:c>
      <x:c r="D792" s="28" t="n">
        <x:v>45689</x:v>
      </x:c>
      <x:c r="E792" s="2" t="str">
        <x:v>2025Q1</x:v>
      </x:c>
      <x:c r="F792" s="20" t="n">
        <x:v>41109.9</x:v>
      </x:c>
      <x:c r="G792" s="20" t="n">
        <x:f>'Quarterly data'!$E$217</x:f>
        <x:v>39187.3</x:v>
      </x:c>
      <x:c r="H792" s="22" t="n">
        <x:f>100*F792/G792</x:f>
        <x:v>104.90618133936249</x:v>
      </x:c>
      <x:c r="I792" s="24" t="n">
        <x:f>H792/100-1</x:f>
        <x:v>0.04906181339362492</x:v>
      </x:c>
      <x:c r="J792" s="26" t="n">
        <x:v>3</x:v>
      </x:c>
      <x:c r="K792" s="7" t="b">
        <x:v>0</x:v>
      </x:c>
      <x:c r="L792" s="2" t="str">
        <x:v>May 2026</x:v>
      </x:c>
      <x:c r="M792" s="2" t="str">
        <x:v>https://www.genaiadoptiontracker.com/</x:v>
      </x:c>
    </x:row>
    <x:row r="793" ht="24" customHeight="1">
      <x:c r="A793" s="2" t="str">
        <x:v>RPS</x:v>
      </x:c>
      <x:c r="B793" s="2" t="str">
        <x:v>Quintiles</x:v>
      </x:c>
      <x:c r="C793" s="2" t="str">
        <x:v>Q3</x:v>
      </x:c>
      <x:c r="D793" s="28" t="n">
        <x:v>45689</x:v>
      </x:c>
      <x:c r="E793" s="2" t="str">
        <x:v>2025Q1</x:v>
      </x:c>
      <x:c r="F793" s="20" t="n">
        <x:v>34071.2</x:v>
      </x:c>
      <x:c r="G793" s="20" t="n">
        <x:f>'Quarterly data'!$E$218</x:f>
        <x:v>34118.5666666667</x:v>
      </x:c>
      <x:c r="H793" s="22" t="n">
        <x:f>100*F793/G793</x:f>
        <x:v>99.86117040868254</x:v>
      </x:c>
      <x:c r="I793" s="24" t="n">
        <x:f>H793/100-1</x:f>
        <x:v>-0.0013882959131745753</x:v>
      </x:c>
      <x:c r="J793" s="26" t="n">
        <x:v>4</x:v>
      </x:c>
      <x:c r="K793" s="7" t="b">
        <x:v>0</x:v>
      </x:c>
      <x:c r="L793" s="2" t="str">
        <x:v>May 2026</x:v>
      </x:c>
      <x:c r="M793" s="2" t="str">
        <x:v>https://www.genaiadoptiontracker.com/</x:v>
      </x:c>
    </x:row>
    <x:row r="794" ht="24" customHeight="1">
      <x:c r="A794" s="2" t="str">
        <x:v>RPS</x:v>
      </x:c>
      <x:c r="B794" s="2" t="str">
        <x:v>Quintiles</x:v>
      </x:c>
      <x:c r="C794" s="2" t="str">
        <x:v>Q4</x:v>
      </x:c>
      <x:c r="D794" s="28" t="n">
        <x:v>45689</x:v>
      </x:c>
      <x:c r="E794" s="2" t="str">
        <x:v>2025Q1</x:v>
      </x:c>
      <x:c r="F794" s="20" t="n">
        <x:v>9133.4</x:v>
      </x:c>
      <x:c r="G794" s="20" t="n">
        <x:f>'Quarterly data'!$E$219</x:f>
        <x:v>9093.1333333333</x:v>
      </x:c>
      <x:c r="H794" s="22" t="n">
        <x:f>100*F794/G794</x:f>
        <x:v>100.44282498881977</x:v>
      </x:c>
      <x:c r="I794" s="24" t="n">
        <x:f>H794/100-1</x:f>
        <x:v>0.004428249888197566</x:v>
      </x:c>
      <x:c r="J794" s="26" t="n">
        <x:v>3</x:v>
      </x:c>
      <x:c r="K794" s="7" t="b">
        <x:v>0</x:v>
      </x:c>
      <x:c r="L794" s="2" t="str">
        <x:v>May 2026</x:v>
      </x:c>
      <x:c r="M794" s="2" t="str">
        <x:v>https://www.genaiadoptiontracker.com/</x:v>
      </x:c>
    </x:row>
    <x:row r="795" ht="24" customHeight="1">
      <x:c r="A795" s="2" t="str">
        <x:v>RPS</x:v>
      </x:c>
      <x:c r="B795" s="2" t="str">
        <x:v>Quintiles</x:v>
      </x:c>
      <x:c r="C795" s="2" t="str">
        <x:v>Q5</x:v>
      </x:c>
      <x:c r="D795" s="28" t="n">
        <x:v>45689</x:v>
      </x:c>
      <x:c r="E795" s="2" t="str">
        <x:v>2025Q1</x:v>
      </x:c>
      <x:c r="F795" s="20" t="n">
        <x:v>23011.3</x:v>
      </x:c>
      <x:c r="G795" s="20" t="n">
        <x:f>'Quarterly data'!$E$220</x:f>
        <x:v>23079.8333333333</x:v>
      </x:c>
      <x:c r="H795" s="22" t="n">
        <x:f>100*F795/G795</x:f>
        <x:v>99.70305966969735</x:v>
      </x:c>
      <x:c r="I795" s="24" t="n">
        <x:f>H795/100-1</x:f>
        <x:v>-0.002969403303026419</x:v>
      </x:c>
      <x:c r="J795" s="26" t="n">
        <x:v>4</x:v>
      </x:c>
      <x:c r="K795" s="7" t="b">
        <x:v>0</x:v>
      </x:c>
      <x:c r="L795" s="2" t="str">
        <x:v>May 2026</x:v>
      </x:c>
      <x:c r="M795" s="2" t="str">
        <x:v>https://www.genaiadoptiontracker.com/</x:v>
      </x:c>
    </x:row>
    <x:row r="796" ht="24" customHeight="1">
      <x:c r="A796" s="2" t="str">
        <x:v>RPS</x:v>
      </x:c>
      <x:c r="B796" s="2" t="str">
        <x:v>Quintiles</x:v>
      </x:c>
      <x:c r="C796" s="2" t="str">
        <x:v>Q1</x:v>
      </x:c>
      <x:c r="D796" s="28" t="n">
        <x:v>45717</x:v>
      </x:c>
      <x:c r="E796" s="2" t="str">
        <x:v>2025Q1</x:v>
      </x:c>
      <x:c r="F796" s="20" t="n">
        <x:v>27390.3</x:v>
      </x:c>
      <x:c r="G796" s="20" t="n">
        <x:f>'Quarterly data'!$E$216</x:f>
        <x:v>26934</x:v>
      </x:c>
      <x:c r="H796" s="22" t="n">
        <x:f>100*F796/G796</x:f>
        <x:v>101.69414123412787</x:v>
      </x:c>
      <x:c r="I796" s="24" t="n">
        <x:f>H796/100-1</x:f>
        <x:v>0.016941412341278772</x:v>
      </x:c>
      <x:c r="J796" s="26" t="n">
        <x:v>4</x:v>
      </x:c>
      <x:c r="K796" s="7" t="b">
        <x:v>0</x:v>
      </x:c>
      <x:c r="L796" s="2" t="str">
        <x:v>May 2026</x:v>
      </x:c>
      <x:c r="M796" s="2" t="str">
        <x:v>https://www.genaiadoptiontracker.com/</x:v>
      </x:c>
    </x:row>
    <x:row r="797" ht="24" customHeight="1">
      <x:c r="A797" s="2" t="str">
        <x:v>RPS</x:v>
      </x:c>
      <x:c r="B797" s="2" t="str">
        <x:v>Quintiles</x:v>
      </x:c>
      <x:c r="C797" s="2" t="str">
        <x:v>Q2</x:v>
      </x:c>
      <x:c r="D797" s="28" t="n">
        <x:v>45717</x:v>
      </x:c>
      <x:c r="E797" s="2" t="str">
        <x:v>2025Q1</x:v>
      </x:c>
      <x:c r="F797" s="20" t="n">
        <x:v>41203.4</x:v>
      </x:c>
      <x:c r="G797" s="20" t="n">
        <x:f>'Quarterly data'!$E$217</x:f>
        <x:v>39187.3</x:v>
      </x:c>
      <x:c r="H797" s="22" t="n">
        <x:f>100*F797/G797</x:f>
        <x:v>105.14477904831412</x:v>
      </x:c>
      <x:c r="I797" s="24" t="n">
        <x:f>H797/100-1</x:f>
        <x:v>0.05144779048314119</x:v>
      </x:c>
      <x:c r="J797" s="26" t="n">
        <x:v>3</x:v>
      </x:c>
      <x:c r="K797" s="7" t="b">
        <x:v>0</x:v>
      </x:c>
      <x:c r="L797" s="2" t="str">
        <x:v>May 2026</x:v>
      </x:c>
      <x:c r="M797" s="2" t="str">
        <x:v>https://www.genaiadoptiontracker.com/</x:v>
      </x:c>
    </x:row>
    <x:row r="798" ht="24" customHeight="1">
      <x:c r="A798" s="2" t="str">
        <x:v>RPS</x:v>
      </x:c>
      <x:c r="B798" s="2" t="str">
        <x:v>Quintiles</x:v>
      </x:c>
      <x:c r="C798" s="2" t="str">
        <x:v>Q3</x:v>
      </x:c>
      <x:c r="D798" s="28" t="n">
        <x:v>45717</x:v>
      </x:c>
      <x:c r="E798" s="2" t="str">
        <x:v>2025Q1</x:v>
      </x:c>
      <x:c r="F798" s="20" t="n">
        <x:v>34048.5</x:v>
      </x:c>
      <x:c r="G798" s="20" t="n">
        <x:f>'Quarterly data'!$E$218</x:f>
        <x:v>34118.5666666667</x:v>
      </x:c>
      <x:c r="H798" s="22" t="n">
        <x:f>100*F798/G798</x:f>
        <x:v>99.79463771924758</x:v>
      </x:c>
      <x:c r="I798" s="24" t="n">
        <x:f>H798/100-1</x:f>
        <x:v>-0.0020536228075243024</x:v>
      </x:c>
      <x:c r="J798" s="26" t="n">
        <x:v>4</x:v>
      </x:c>
      <x:c r="K798" s="7" t="b">
        <x:v>0</x:v>
      </x:c>
      <x:c r="L798" s="2" t="str">
        <x:v>May 2026</x:v>
      </x:c>
      <x:c r="M798" s="2" t="str">
        <x:v>https://www.genaiadoptiontracker.com/</x:v>
      </x:c>
    </x:row>
    <x:row r="799" ht="24" customHeight="1">
      <x:c r="A799" s="2" t="str">
        <x:v>RPS</x:v>
      </x:c>
      <x:c r="B799" s="2" t="str">
        <x:v>Quintiles</x:v>
      </x:c>
      <x:c r="C799" s="2" t="str">
        <x:v>Q4</x:v>
      </x:c>
      <x:c r="D799" s="28" t="n">
        <x:v>45717</x:v>
      </x:c>
      <x:c r="E799" s="2" t="str">
        <x:v>2025Q1</x:v>
      </x:c>
      <x:c r="F799" s="20" t="n">
        <x:v>9120.5</x:v>
      </x:c>
      <x:c r="G799" s="20" t="n">
        <x:f>'Quarterly data'!$E$219</x:f>
        <x:v>9093.1333333333</x:v>
      </x:c>
      <x:c r="H799" s="22" t="n">
        <x:f>100*F799/G799</x:f>
        <x:v>100.30095969852745</x:v>
      </x:c>
      <x:c r="I799" s="24" t="n">
        <x:f>H799/100-1</x:f>
        <x:v>0.0030095969852745874</x:v>
      </x:c>
      <x:c r="J799" s="26" t="n">
        <x:v>3</x:v>
      </x:c>
      <x:c r="K799" s="7" t="b">
        <x:v>0</x:v>
      </x:c>
      <x:c r="L799" s="2" t="str">
        <x:v>May 2026</x:v>
      </x:c>
      <x:c r="M799" s="2" t="str">
        <x:v>https://www.genaiadoptiontracker.com/</x:v>
      </x:c>
    </x:row>
    <x:row r="800" ht="24" customHeight="1">
      <x:c r="A800" s="2" t="str">
        <x:v>RPS</x:v>
      </x:c>
      <x:c r="B800" s="2" t="str">
        <x:v>Quintiles</x:v>
      </x:c>
      <x:c r="C800" s="2" t="str">
        <x:v>Q5</x:v>
      </x:c>
      <x:c r="D800" s="28" t="n">
        <x:v>45717</x:v>
      </x:c>
      <x:c r="E800" s="2" t="str">
        <x:v>2025Q1</x:v>
      </x:c>
      <x:c r="F800" s="20" t="n">
        <x:v>23013.2</x:v>
      </x:c>
      <x:c r="G800" s="20" t="n">
        <x:f>'Quarterly data'!$E$220</x:f>
        <x:v>23079.8333333333</x:v>
      </x:c>
      <x:c r="H800" s="22" t="n">
        <x:f>100*F800/G800</x:f>
        <x:v>99.71129196484681</x:v>
      </x:c>
      <x:c r="I800" s="24" t="n">
        <x:f>H800/100-1</x:f>
        <x:v>-0.0028870803515319565</x:v>
      </x:c>
      <x:c r="J800" s="26" t="n">
        <x:v>4</x:v>
      </x:c>
      <x:c r="K800" s="7" t="b">
        <x:v>0</x:v>
      </x:c>
      <x:c r="L800" s="2" t="str">
        <x:v>May 2026</x:v>
      </x:c>
      <x:c r="M800" s="2" t="str">
        <x:v>https://www.genaiadoptiontracker.com/</x:v>
      </x:c>
    </x:row>
    <x:row r="801" ht="24" customHeight="1">
      <x:c r="A801" s="2" t="str">
        <x:v>RPS</x:v>
      </x:c>
      <x:c r="B801" s="2" t="str">
        <x:v>Quintiles</x:v>
      </x:c>
      <x:c r="C801" s="2" t="str">
        <x:v>Q1</x:v>
      </x:c>
      <x:c r="D801" s="28" t="n">
        <x:v>45748</x:v>
      </x:c>
      <x:c r="E801" s="2" t="str">
        <x:v>2025Q2</x:v>
      </x:c>
      <x:c r="F801" s="20" t="n">
        <x:v>27390.3</x:v>
      </x:c>
      <x:c r="G801" s="20" t="n">
        <x:f>'Quarterly data'!$E$216</x:f>
        <x:v>26934</x:v>
      </x:c>
      <x:c r="H801" s="22" t="n">
        <x:f>100*F801/G801</x:f>
        <x:v>101.69414123412787</x:v>
      </x:c>
      <x:c r="I801" s="24" t="n">
        <x:f>H801/100-1</x:f>
        <x:v>0.016941412341278772</x:v>
      </x:c>
      <x:c r="J801" s="26" t="n">
        <x:v>4</x:v>
      </x:c>
      <x:c r="K801" s="7" t="b">
        <x:v>0</x:v>
      </x:c>
      <x:c r="L801" s="2" t="str">
        <x:v>May 2026</x:v>
      </x:c>
      <x:c r="M801" s="2" t="str">
        <x:v>https://www.genaiadoptiontracker.com/</x:v>
      </x:c>
    </x:row>
    <x:row r="802" ht="24" customHeight="1">
      <x:c r="A802" s="2" t="str">
        <x:v>RPS</x:v>
      </x:c>
      <x:c r="B802" s="2" t="str">
        <x:v>Quintiles</x:v>
      </x:c>
      <x:c r="C802" s="2" t="str">
        <x:v>Q2</x:v>
      </x:c>
      <x:c r="D802" s="28" t="n">
        <x:v>45748</x:v>
      </x:c>
      <x:c r="E802" s="2" t="str">
        <x:v>2025Q2</x:v>
      </x:c>
      <x:c r="F802" s="20" t="n">
        <x:v>41281.5</x:v>
      </x:c>
      <x:c r="G802" s="20" t="n">
        <x:f>'Quarterly data'!$E$217</x:f>
        <x:v>39187.3</x:v>
      </x:c>
      <x:c r="H802" s="22" t="n">
        <x:f>100*F802/G802</x:f>
        <x:v>105.34407831108547</x:v>
      </x:c>
      <x:c r="I802" s="24" t="n">
        <x:f>H802/100-1</x:f>
        <x:v>0.05344078311085476</x:v>
      </x:c>
      <x:c r="J802" s="26" t="n">
        <x:v>3</x:v>
      </x:c>
      <x:c r="K802" s="7" t="b">
        <x:v>0</x:v>
      </x:c>
      <x:c r="L802" s="2" t="str">
        <x:v>May 2026</x:v>
      </x:c>
      <x:c r="M802" s="2" t="str">
        <x:v>https://www.genaiadoptiontracker.com/</x:v>
      </x:c>
    </x:row>
    <x:row r="803" ht="24" customHeight="1">
      <x:c r="A803" s="2" t="str">
        <x:v>RPS</x:v>
      </x:c>
      <x:c r="B803" s="2" t="str">
        <x:v>Quintiles</x:v>
      </x:c>
      <x:c r="C803" s="2" t="str">
        <x:v>Q3</x:v>
      </x:c>
      <x:c r="D803" s="28" t="n">
        <x:v>45748</x:v>
      </x:c>
      <x:c r="E803" s="2" t="str">
        <x:v>2025Q2</x:v>
      </x:c>
      <x:c r="F803" s="20" t="n">
        <x:v>34056.2</x:v>
      </x:c>
      <x:c r="G803" s="20" t="n">
        <x:f>'Quarterly data'!$E$218</x:f>
        <x:v>34118.5666666667</x:v>
      </x:c>
      <x:c r="H803" s="22" t="n">
        <x:f>100*F803/G803</x:f>
        <x:v>99.81720607645678</x:v>
      </x:c>
      <x:c r="I803" s="24" t="n">
        <x:f>H803/100-1</x:f>
        <x:v>-0.001827939235432119</x:v>
      </x:c>
      <x:c r="J803" s="26" t="n">
        <x:v>4</x:v>
      </x:c>
      <x:c r="K803" s="7" t="b">
        <x:v>0</x:v>
      </x:c>
      <x:c r="L803" s="2" t="str">
        <x:v>May 2026</x:v>
      </x:c>
      <x:c r="M803" s="2" t="str">
        <x:v>https://www.genaiadoptiontracker.com/</x:v>
      </x:c>
    </x:row>
    <x:row r="804" ht="24" customHeight="1">
      <x:c r="A804" s="2" t="str">
        <x:v>RPS</x:v>
      </x:c>
      <x:c r="B804" s="2" t="str">
        <x:v>Quintiles</x:v>
      </x:c>
      <x:c r="C804" s="2" t="str">
        <x:v>Q4</x:v>
      </x:c>
      <x:c r="D804" s="28" t="n">
        <x:v>45748</x:v>
      </x:c>
      <x:c r="E804" s="2" t="str">
        <x:v>2025Q2</x:v>
      </x:c>
      <x:c r="F804" s="20" t="n">
        <x:v>9130.8</x:v>
      </x:c>
      <x:c r="G804" s="20" t="n">
        <x:f>'Quarterly data'!$E$219</x:f>
        <x:v>9093.1333333333</x:v>
      </x:c>
      <x:c r="H804" s="22" t="n">
        <x:f>100*F804/G804</x:f>
        <x:v>100.4142319845748</x:v>
      </x:c>
      <x:c r="I804" s="24" t="n">
        <x:f>H804/100-1</x:f>
        <x:v>0.004142319845747977</x:v>
      </x:c>
      <x:c r="J804" s="26" t="n">
        <x:v>3</x:v>
      </x:c>
      <x:c r="K804" s="7" t="b">
        <x:v>0</x:v>
      </x:c>
      <x:c r="L804" s="2" t="str">
        <x:v>May 2026</x:v>
      </x:c>
      <x:c r="M804" s="2" t="str">
        <x:v>https://www.genaiadoptiontracker.com/</x:v>
      </x:c>
    </x:row>
    <x:row r="805" ht="24" customHeight="1">
      <x:c r="A805" s="2" t="str">
        <x:v>RPS</x:v>
      </x:c>
      <x:c r="B805" s="2" t="str">
        <x:v>Quintiles</x:v>
      </x:c>
      <x:c r="C805" s="2" t="str">
        <x:v>Q5</x:v>
      </x:c>
      <x:c r="D805" s="28" t="n">
        <x:v>45748</x:v>
      </x:c>
      <x:c r="E805" s="2" t="str">
        <x:v>2025Q2</x:v>
      </x:c>
      <x:c r="F805" s="20" t="n">
        <x:v>23015.5</x:v>
      </x:c>
      <x:c r="G805" s="20" t="n">
        <x:f>'Quarterly data'!$E$220</x:f>
        <x:v>23079.8333333333</x:v>
      </x:c>
      <x:c r="H805" s="22" t="n">
        <x:f>100*F805/G805</x:f>
        <x:v>99.72125737476455</x:v>
      </x:c>
      <x:c r="I805" s="24" t="n">
        <x:f>H805/100-1</x:f>
        <x:v>-0.002787426252354508</x:v>
      </x:c>
      <x:c r="J805" s="26" t="n">
        <x:v>4</x:v>
      </x:c>
      <x:c r="K805" s="7" t="b">
        <x:v>0</x:v>
      </x:c>
      <x:c r="L805" s="2" t="str">
        <x:v>May 2026</x:v>
      </x:c>
      <x:c r="M805" s="2" t="str">
        <x:v>https://www.genaiadoptiontracker.com/</x:v>
      </x:c>
    </x:row>
    <x:row r="806" ht="24" customHeight="1">
      <x:c r="A806" s="2" t="str">
        <x:v>RPS</x:v>
      </x:c>
      <x:c r="B806" s="2" t="str">
        <x:v>Quintiles</x:v>
      </x:c>
      <x:c r="C806" s="2" t="str">
        <x:v>Q1</x:v>
      </x:c>
      <x:c r="D806" s="28" t="n">
        <x:v>45778</x:v>
      </x:c>
      <x:c r="E806" s="2" t="str">
        <x:v>2025Q2</x:v>
      </x:c>
      <x:c r="F806" s="20" t="n">
        <x:v>27384.4</x:v>
      </x:c>
      <x:c r="G806" s="20" t="n">
        <x:f>'Quarterly data'!$E$216</x:f>
        <x:v>26934</x:v>
      </x:c>
      <x:c r="H806" s="22" t="n">
        <x:f>100*F806/G806</x:f>
        <x:v>101.67223583574663</x:v>
      </x:c>
      <x:c r="I806" s="24" t="n">
        <x:f>H806/100-1</x:f>
        <x:v>0.01672235835746627</x:v>
      </x:c>
      <x:c r="J806" s="26" t="n">
        <x:v>4</x:v>
      </x:c>
      <x:c r="K806" s="7" t="b">
        <x:v>0</x:v>
      </x:c>
      <x:c r="L806" s="2" t="str">
        <x:v>May 2026</x:v>
      </x:c>
      <x:c r="M806" s="2" t="str">
        <x:v>https://www.genaiadoptiontracker.com/</x:v>
      </x:c>
    </x:row>
    <x:row r="807" ht="24" customHeight="1">
      <x:c r="A807" s="2" t="str">
        <x:v>RPS</x:v>
      </x:c>
      <x:c r="B807" s="2" t="str">
        <x:v>Quintiles</x:v>
      </x:c>
      <x:c r="C807" s="2" t="str">
        <x:v>Q2</x:v>
      </x:c>
      <x:c r="D807" s="28" t="n">
        <x:v>45778</x:v>
      </x:c>
      <x:c r="E807" s="2" t="str">
        <x:v>2025Q2</x:v>
      </x:c>
      <x:c r="F807" s="20" t="n">
        <x:v>41337.8</x:v>
      </x:c>
      <x:c r="G807" s="20" t="n">
        <x:f>'Quarterly data'!$E$217</x:f>
        <x:v>39187.3</x:v>
      </x:c>
      <x:c r="H807" s="22" t="n">
        <x:f>100*F807/G807</x:f>
        <x:v>105.48774730588737</x:v>
      </x:c>
      <x:c r="I807" s="24" t="n">
        <x:f>H807/100-1</x:f>
        <x:v>0.054877473058873694</x:v>
      </x:c>
      <x:c r="J807" s="26" t="n">
        <x:v>3</x:v>
      </x:c>
      <x:c r="K807" s="7" t="b">
        <x:v>0</x:v>
      </x:c>
      <x:c r="L807" s="2" t="str">
        <x:v>May 2026</x:v>
      </x:c>
      <x:c r="M807" s="2" t="str">
        <x:v>https://www.genaiadoptiontracker.com/</x:v>
      </x:c>
    </x:row>
    <x:row r="808" ht="24" customHeight="1">
      <x:c r="A808" s="2" t="str">
        <x:v>RPS</x:v>
      </x:c>
      <x:c r="B808" s="2" t="str">
        <x:v>Quintiles</x:v>
      </x:c>
      <x:c r="C808" s="2" t="str">
        <x:v>Q3</x:v>
      </x:c>
      <x:c r="D808" s="28" t="n">
        <x:v>45778</x:v>
      </x:c>
      <x:c r="E808" s="2" t="str">
        <x:v>2025Q2</x:v>
      </x:c>
      <x:c r="F808" s="20" t="n">
        <x:v>34019.5</x:v>
      </x:c>
      <x:c r="G808" s="20" t="n">
        <x:f>'Quarterly data'!$E$218</x:f>
        <x:v>34118.5666666667</x:v>
      </x:c>
      <x:c r="H808" s="22" t="n">
        <x:f>100*F808/G808</x:f>
        <x:v>99.70964001027778</x:v>
      </x:c>
      <x:c r="I808" s="24" t="n">
        <x:f>H808/100-1</x:f>
        <x:v>-0.00290359989722222</x:v>
      </x:c>
      <x:c r="J808" s="26" t="n">
        <x:v>4</x:v>
      </x:c>
      <x:c r="K808" s="7" t="b">
        <x:v>0</x:v>
      </x:c>
      <x:c r="L808" s="2" t="str">
        <x:v>May 2026</x:v>
      </x:c>
      <x:c r="M808" s="2" t="str">
        <x:v>https://www.genaiadoptiontracker.com/</x:v>
      </x:c>
    </x:row>
    <x:row r="809" ht="24" customHeight="1">
      <x:c r="A809" s="2" t="str">
        <x:v>RPS</x:v>
      </x:c>
      <x:c r="B809" s="2" t="str">
        <x:v>Quintiles</x:v>
      </x:c>
      <x:c r="C809" s="2" t="str">
        <x:v>Q4</x:v>
      </x:c>
      <x:c r="D809" s="28" t="n">
        <x:v>45778</x:v>
      </x:c>
      <x:c r="E809" s="2" t="str">
        <x:v>2025Q2</x:v>
      </x:c>
      <x:c r="F809" s="20" t="n">
        <x:v>9135.3</x:v>
      </x:c>
      <x:c r="G809" s="20" t="n">
        <x:f>'Quarterly data'!$E$219</x:f>
        <x:v>9093.1333333333</x:v>
      </x:c>
      <x:c r="H809" s="22" t="n">
        <x:f>100*F809/G809</x:f>
        <x:v>100.46371987653723</x:v>
      </x:c>
      <x:c r="I809" s="24" t="n">
        <x:f>H809/100-1</x:f>
        <x:v>0.004637198765372164</x:v>
      </x:c>
      <x:c r="J809" s="26" t="n">
        <x:v>3</x:v>
      </x:c>
      <x:c r="K809" s="7" t="b">
        <x:v>0</x:v>
      </x:c>
      <x:c r="L809" s="2" t="str">
        <x:v>May 2026</x:v>
      </x:c>
      <x:c r="M809" s="2" t="str">
        <x:v>https://www.genaiadoptiontracker.com/</x:v>
      </x:c>
    </x:row>
    <x:row r="810" ht="24" customHeight="1">
      <x:c r="A810" s="2" t="str">
        <x:v>RPS</x:v>
      </x:c>
      <x:c r="B810" s="2" t="str">
        <x:v>Quintiles</x:v>
      </x:c>
      <x:c r="C810" s="2" t="str">
        <x:v>Q5</x:v>
      </x:c>
      <x:c r="D810" s="28" t="n">
        <x:v>45778</x:v>
      </x:c>
      <x:c r="E810" s="2" t="str">
        <x:v>2025Q2</x:v>
      </x:c>
      <x:c r="F810" s="20" t="n">
        <x:v>23017.9</x:v>
      </x:c>
      <x:c r="G810" s="20" t="n">
        <x:f>'Quarterly data'!$E$220</x:f>
        <x:v>23079.8333333333</x:v>
      </x:c>
      <x:c r="H810" s="22" t="n">
        <x:f>100*F810/G810</x:f>
        <x:v>99.73165606337437</x:v>
      </x:c>
      <x:c r="I810" s="24" t="n">
        <x:f>H810/100-1</x:f>
        <x:v>-0.0026834393662562572</x:v>
      </x:c>
      <x:c r="J810" s="26" t="n">
        <x:v>4</x:v>
      </x:c>
      <x:c r="K810" s="7" t="b">
        <x:v>0</x:v>
      </x:c>
      <x:c r="L810" s="2" t="str">
        <x:v>May 2026</x:v>
      </x:c>
      <x:c r="M810" s="2" t="str">
        <x:v>https://www.genaiadoptiontracker.com/</x:v>
      </x:c>
    </x:row>
    <x:row r="811" ht="24" customHeight="1">
      <x:c r="A811" s="2" t="str">
        <x:v>RPS</x:v>
      </x:c>
      <x:c r="B811" s="2" t="str">
        <x:v>Quintiles</x:v>
      </x:c>
      <x:c r="C811" s="2" t="str">
        <x:v>Q1</x:v>
      </x:c>
      <x:c r="D811" s="28" t="n">
        <x:v>45809</x:v>
      </x:c>
      <x:c r="E811" s="2" t="str">
        <x:v>2025Q2</x:v>
      </x:c>
      <x:c r="F811" s="20" t="n">
        <x:v>27361.2</x:v>
      </x:c>
      <x:c r="G811" s="20" t="n">
        <x:f>'Quarterly data'!$E$216</x:f>
        <x:v>26934</x:v>
      </x:c>
      <x:c r="H811" s="22" t="n">
        <x:f>100*F811/G811</x:f>
        <x:v>101.58609935397638</x:v>
      </x:c>
      <x:c r="I811" s="24" t="n">
        <x:f>H811/100-1</x:f>
        <x:v>0.01586099353976378</x:v>
      </x:c>
      <x:c r="J811" s="26" t="n">
        <x:v>4</x:v>
      </x:c>
      <x:c r="K811" s="7" t="b">
        <x:v>0</x:v>
      </x:c>
      <x:c r="L811" s="2" t="str">
        <x:v>May 2026</x:v>
      </x:c>
      <x:c r="M811" s="2" t="str">
        <x:v>https://www.genaiadoptiontracker.com/</x:v>
      </x:c>
    </x:row>
    <x:row r="812" ht="24" customHeight="1">
      <x:c r="A812" s="2" t="str">
        <x:v>RPS</x:v>
      </x:c>
      <x:c r="B812" s="2" t="str">
        <x:v>Quintiles</x:v>
      </x:c>
      <x:c r="C812" s="2" t="str">
        <x:v>Q2</x:v>
      </x:c>
      <x:c r="D812" s="28" t="n">
        <x:v>45809</x:v>
      </x:c>
      <x:c r="E812" s="2" t="str">
        <x:v>2025Q2</x:v>
      </x:c>
      <x:c r="F812" s="20" t="n">
        <x:v>41392.4</x:v>
      </x:c>
      <x:c r="G812" s="20" t="n">
        <x:f>'Quarterly data'!$E$217</x:f>
        <x:v>39187.3</x:v>
      </x:c>
      <x:c r="H812" s="22" t="n">
        <x:f>100*F812/G812</x:f>
        <x:v>105.6270781605265</x:v>
      </x:c>
      <x:c r="I812" s="24" t="n">
        <x:f>H812/100-1</x:f>
        <x:v>0.056270781605265</x:v>
      </x:c>
      <x:c r="J812" s="26" t="n">
        <x:v>3</x:v>
      </x:c>
      <x:c r="K812" s="7" t="b">
        <x:v>0</x:v>
      </x:c>
      <x:c r="L812" s="2" t="str">
        <x:v>May 2026</x:v>
      </x:c>
      <x:c r="M812" s="2" t="str">
        <x:v>https://www.genaiadoptiontracker.com/</x:v>
      </x:c>
    </x:row>
    <x:row r="813" ht="24" customHeight="1">
      <x:c r="A813" s="2" t="str">
        <x:v>RPS</x:v>
      </x:c>
      <x:c r="B813" s="2" t="str">
        <x:v>Quintiles</x:v>
      </x:c>
      <x:c r="C813" s="2" t="str">
        <x:v>Q3</x:v>
      </x:c>
      <x:c r="D813" s="28" t="n">
        <x:v>45809</x:v>
      </x:c>
      <x:c r="E813" s="2" t="str">
        <x:v>2025Q2</x:v>
      </x:c>
      <x:c r="F813" s="20" t="n">
        <x:v>33976.1</x:v>
      </x:c>
      <x:c r="G813" s="20" t="n">
        <x:f>'Quarterly data'!$E$218</x:f>
        <x:v>34118.5666666667</x:v>
      </x:c>
      <x:c r="H813" s="22" t="n">
        <x:f>100*F813/G813</x:f>
        <x:v>99.58243654237125</x:v>
      </x:c>
      <x:c r="I813" s="24" t="n">
        <x:f>H813/100-1</x:f>
        <x:v>-0.004175634576287446</x:v>
      </x:c>
      <x:c r="J813" s="26" t="n">
        <x:v>4</x:v>
      </x:c>
      <x:c r="K813" s="7" t="b">
        <x:v>0</x:v>
      </x:c>
      <x:c r="L813" s="2" t="str">
        <x:v>May 2026</x:v>
      </x:c>
      <x:c r="M813" s="2" t="str">
        <x:v>https://www.genaiadoptiontracker.com/</x:v>
      </x:c>
    </x:row>
    <x:row r="814" ht="24" customHeight="1">
      <x:c r="A814" s="2" t="str">
        <x:v>RPS</x:v>
      </x:c>
      <x:c r="B814" s="2" t="str">
        <x:v>Quintiles</x:v>
      </x:c>
      <x:c r="C814" s="2" t="str">
        <x:v>Q4</x:v>
      </x:c>
      <x:c r="D814" s="28" t="n">
        <x:v>45809</x:v>
      </x:c>
      <x:c r="E814" s="2" t="str">
        <x:v>2025Q2</x:v>
      </x:c>
      <x:c r="F814" s="20" t="n">
        <x:v>9122.2</x:v>
      </x:c>
      <x:c r="G814" s="20" t="n">
        <x:f>'Quarterly data'!$E$219</x:f>
        <x:v>9093.1333333333</x:v>
      </x:c>
      <x:c r="H814" s="22" t="n">
        <x:f>100*F814/G814</x:f>
        <x:v>100.31965512437995</x:v>
      </x:c>
      <x:c r="I814" s="24" t="n">
        <x:f>H814/100-1</x:f>
        <x:v>0.0031965512437994725</x:v>
      </x:c>
      <x:c r="J814" s="26" t="n">
        <x:v>3</x:v>
      </x:c>
      <x:c r="K814" s="7" t="b">
        <x:v>0</x:v>
      </x:c>
      <x:c r="L814" s="2" t="str">
        <x:v>May 2026</x:v>
      </x:c>
      <x:c r="M814" s="2" t="str">
        <x:v>https://www.genaiadoptiontracker.com/</x:v>
      </x:c>
    </x:row>
    <x:row r="815" ht="24" customHeight="1">
      <x:c r="A815" s="2" t="str">
        <x:v>RPS</x:v>
      </x:c>
      <x:c r="B815" s="2" t="str">
        <x:v>Quintiles</x:v>
      </x:c>
      <x:c r="C815" s="2" t="str">
        <x:v>Q5</x:v>
      </x:c>
      <x:c r="D815" s="28" t="n">
        <x:v>45809</x:v>
      </x:c>
      <x:c r="E815" s="2" t="str">
        <x:v>2025Q2</x:v>
      </x:c>
      <x:c r="F815" s="20" t="n">
        <x:v>22998.1</x:v>
      </x:c>
      <x:c r="G815" s="20" t="n">
        <x:f>'Quarterly data'!$E$220</x:f>
        <x:v>23079.8333333333</x:v>
      </x:c>
      <x:c r="H815" s="22" t="n">
        <x:f>100*F815/G815</x:f>
        <x:v>99.64586688234331</x:v>
      </x:c>
      <x:c r="I815" s="24" t="n">
        <x:f>H815/100-1</x:f>
        <x:v>-0.003541331176566853</x:v>
      </x:c>
      <x:c r="J815" s="26" t="n">
        <x:v>4</x:v>
      </x:c>
      <x:c r="K815" s="7" t="b">
        <x:v>0</x:v>
      </x:c>
      <x:c r="L815" s="2" t="str">
        <x:v>May 2026</x:v>
      </x:c>
      <x:c r="M815" s="2" t="str">
        <x:v>https://www.genaiadoptiontracker.com/</x:v>
      </x:c>
    </x:row>
    <x:row r="816" ht="24" customHeight="1">
      <x:c r="A816" s="2" t="str">
        <x:v>RPS</x:v>
      </x:c>
      <x:c r="B816" s="2" t="str">
        <x:v>Quintiles</x:v>
      </x:c>
      <x:c r="C816" s="2" t="str">
        <x:v>Q1</x:v>
      </x:c>
      <x:c r="D816" s="28" t="n">
        <x:v>45839</x:v>
      </x:c>
      <x:c r="E816" s="2" t="str">
        <x:v>2025Q3</x:v>
      </x:c>
      <x:c r="F816" s="20" t="n">
        <x:v>27370.5</x:v>
      </x:c>
      <x:c r="G816" s="20" t="n">
        <x:f>'Quarterly data'!$E$216</x:f>
        <x:v>26934</x:v>
      </x:c>
      <x:c r="H816" s="22" t="n">
        <x:f>100*F816/G816</x:f>
        <x:v>101.62062820227221</x:v>
      </x:c>
      <x:c r="I816" s="24" t="n">
        <x:f>H816/100-1</x:f>
        <x:v>0.01620628202272223</x:v>
      </x:c>
      <x:c r="J816" s="26" t="n">
        <x:v>4</x:v>
      </x:c>
      <x:c r="K816" s="7" t="b">
        <x:v>0</x:v>
      </x:c>
      <x:c r="L816" s="2" t="str">
        <x:v>May 2026</x:v>
      </x:c>
      <x:c r="M816" s="2" t="str">
        <x:v>https://www.genaiadoptiontracker.com/</x:v>
      </x:c>
    </x:row>
    <x:row r="817" ht="24" customHeight="1">
      <x:c r="A817" s="2" t="str">
        <x:v>RPS</x:v>
      </x:c>
      <x:c r="B817" s="2" t="str">
        <x:v>Quintiles</x:v>
      </x:c>
      <x:c r="C817" s="2" t="str">
        <x:v>Q2</x:v>
      </x:c>
      <x:c r="D817" s="28" t="n">
        <x:v>45839</x:v>
      </x:c>
      <x:c r="E817" s="2" t="str">
        <x:v>2025Q3</x:v>
      </x:c>
      <x:c r="F817" s="20" t="n">
        <x:v>41486</x:v>
      </x:c>
      <x:c r="G817" s="20" t="n">
        <x:f>'Quarterly data'!$E$217</x:f>
        <x:v>39187.3</x:v>
      </x:c>
      <x:c r="H817" s="22" t="n">
        <x:f>100*F817/G817</x:f>
        <x:v>105.86593105419357</x:v>
      </x:c>
      <x:c r="I817" s="24" t="n">
        <x:f>H817/100-1</x:f>
        <x:v>0.05865931054193574</x:v>
      </x:c>
      <x:c r="J817" s="26" t="n">
        <x:v>3</x:v>
      </x:c>
      <x:c r="K817" s="7" t="b">
        <x:v>0</x:v>
      </x:c>
      <x:c r="L817" s="2" t="str">
        <x:v>May 2026</x:v>
      </x:c>
      <x:c r="M817" s="2" t="str">
        <x:v>https://www.genaiadoptiontracker.com/</x:v>
      </x:c>
    </x:row>
    <x:row r="818" ht="24" customHeight="1">
      <x:c r="A818" s="2" t="str">
        <x:v>RPS</x:v>
      </x:c>
      <x:c r="B818" s="2" t="str">
        <x:v>Quintiles</x:v>
      </x:c>
      <x:c r="C818" s="2" t="str">
        <x:v>Q3</x:v>
      </x:c>
      <x:c r="D818" s="28" t="n">
        <x:v>45839</x:v>
      </x:c>
      <x:c r="E818" s="2" t="str">
        <x:v>2025Q3</x:v>
      </x:c>
      <x:c r="F818" s="20" t="n">
        <x:v>33942.9</x:v>
      </x:c>
      <x:c r="G818" s="20" t="n">
        <x:f>'Quarterly data'!$E$218</x:f>
        <x:v>34118.5666666667</x:v>
      </x:c>
      <x:c r="H818" s="22" t="n">
        <x:f>100*F818/G818</x:f>
        <x:v>99.48512882037825</x:v>
      </x:c>
      <x:c r="I818" s="24" t="n">
        <x:f>H818/100-1</x:f>
        <x:v>-0.005148711796217453</x:v>
      </x:c>
      <x:c r="J818" s="26" t="n">
        <x:v>4</x:v>
      </x:c>
      <x:c r="K818" s="7" t="b">
        <x:v>0</x:v>
      </x:c>
      <x:c r="L818" s="2" t="str">
        <x:v>May 2026</x:v>
      </x:c>
      <x:c r="M818" s="2" t="str">
        <x:v>https://www.genaiadoptiontracker.com/</x:v>
      </x:c>
    </x:row>
    <x:row r="819" ht="24" customHeight="1">
      <x:c r="A819" s="2" t="str">
        <x:v>RPS</x:v>
      </x:c>
      <x:c r="B819" s="2" t="str">
        <x:v>Quintiles</x:v>
      </x:c>
      <x:c r="C819" s="2" t="str">
        <x:v>Q4</x:v>
      </x:c>
      <x:c r="D819" s="28" t="n">
        <x:v>45839</x:v>
      </x:c>
      <x:c r="E819" s="2" t="str">
        <x:v>2025Q3</x:v>
      </x:c>
      <x:c r="F819" s="20" t="n">
        <x:v>9110.6</x:v>
      </x:c>
      <x:c r="G819" s="20" t="n">
        <x:f>'Quarterly data'!$E$219</x:f>
        <x:v>9093.1333333333</x:v>
      </x:c>
      <x:c r="H819" s="22" t="n">
        <x:f>100*F819/G819</x:f>
        <x:v>100.1920863362101</x:v>
      </x:c>
      <x:c r="I819" s="24" t="n">
        <x:f>H819/100-1</x:f>
        <x:v>0.0019208633621010662</x:v>
      </x:c>
      <x:c r="J819" s="26" t="n">
        <x:v>3</x:v>
      </x:c>
      <x:c r="K819" s="7" t="b">
        <x:v>0</x:v>
      </x:c>
      <x:c r="L819" s="2" t="str">
        <x:v>May 2026</x:v>
      </x:c>
      <x:c r="M819" s="2" t="str">
        <x:v>https://www.genaiadoptiontracker.com/</x:v>
      </x:c>
    </x:row>
    <x:row r="820" ht="24" customHeight="1">
      <x:c r="A820" s="2" t="str">
        <x:v>RPS</x:v>
      </x:c>
      <x:c r="B820" s="2" t="str">
        <x:v>Quintiles</x:v>
      </x:c>
      <x:c r="C820" s="2" t="str">
        <x:v>Q5</x:v>
      </x:c>
      <x:c r="D820" s="28" t="n">
        <x:v>45839</x:v>
      </x:c>
      <x:c r="E820" s="2" t="str">
        <x:v>2025Q3</x:v>
      </x:c>
      <x:c r="F820" s="20" t="n">
        <x:v>23005.9</x:v>
      </x:c>
      <x:c r="G820" s="20" t="n">
        <x:f>'Quarterly data'!$E$220</x:f>
        <x:v>23079.8333333333</x:v>
      </x:c>
      <x:c r="H820" s="22" t="n">
        <x:f>100*F820/G820</x:f>
        <x:v>99.67966262032525</x:v>
      </x:c>
      <x:c r="I820" s="24" t="n">
        <x:f>H820/100-1</x:f>
        <x:v>-0.0032033737967475107</x:v>
      </x:c>
      <x:c r="J820" s="26" t="n">
        <x:v>4</x:v>
      </x:c>
      <x:c r="K820" s="7" t="b">
        <x:v>0</x:v>
      </x:c>
      <x:c r="L820" s="2" t="str">
        <x:v>May 2026</x:v>
      </x:c>
      <x:c r="M820" s="2" t="str">
        <x:v>https://www.genaiadoptiontracker.com/</x:v>
      </x:c>
    </x:row>
    <x:row r="821" ht="24" customHeight="1">
      <x:c r="A821" s="2" t="str">
        <x:v>RPS</x:v>
      </x:c>
      <x:c r="B821" s="2" t="str">
        <x:v>Quintiles</x:v>
      </x:c>
      <x:c r="C821" s="2" t="str">
        <x:v>Q1</x:v>
      </x:c>
      <x:c r="D821" s="28" t="n">
        <x:v>45870</x:v>
      </x:c>
      <x:c r="E821" s="2" t="str">
        <x:v>2025Q3</x:v>
      </x:c>
      <x:c r="F821" s="20" t="n">
        <x:v>27401.9</x:v>
      </x:c>
      <x:c r="G821" s="20" t="n">
        <x:f>'Quarterly data'!$E$216</x:f>
        <x:v>26934</x:v>
      </x:c>
      <x:c r="H821" s="22" t="n">
        <x:f>100*F821/G821</x:f>
        <x:v>101.73720947501299</x:v>
      </x:c>
      <x:c r="I821" s="24" t="n">
        <x:f>H821/100-1</x:f>
        <x:v>0.017372094750129907</x:v>
      </x:c>
      <x:c r="J821" s="26" t="n">
        <x:v>4</x:v>
      </x:c>
      <x:c r="K821" s="7" t="b">
        <x:v>0</x:v>
      </x:c>
      <x:c r="L821" s="2" t="str">
        <x:v>May 2026</x:v>
      </x:c>
      <x:c r="M821" s="2" t="str">
        <x:v>https://www.genaiadoptiontracker.com/</x:v>
      </x:c>
    </x:row>
    <x:row r="822" ht="24" customHeight="1">
      <x:c r="A822" s="2" t="str">
        <x:v>RPS</x:v>
      </x:c>
      <x:c r="B822" s="2" t="str">
        <x:v>Quintiles</x:v>
      </x:c>
      <x:c r="C822" s="2" t="str">
        <x:v>Q2</x:v>
      </x:c>
      <x:c r="D822" s="28" t="n">
        <x:v>45870</x:v>
      </x:c>
      <x:c r="E822" s="2" t="str">
        <x:v>2025Q3</x:v>
      </x:c>
      <x:c r="F822" s="20" t="n">
        <x:v>41524.4</x:v>
      </x:c>
      <x:c r="G822" s="20" t="n">
        <x:f>'Quarterly data'!$E$217</x:f>
        <x:v>39187.3</x:v>
      </x:c>
      <x:c r="H822" s="22" t="n">
        <x:f>100*F822/G822</x:f>
        <x:v>105.96392198492879</x:v>
      </x:c>
      <x:c r="I822" s="24" t="n">
        <x:f>H822/100-1</x:f>
        <x:v>0.05963921984928788</x:v>
      </x:c>
      <x:c r="J822" s="26" t="n">
        <x:v>3</x:v>
      </x:c>
      <x:c r="K822" s="7" t="b">
        <x:v>0</x:v>
      </x:c>
      <x:c r="L822" s="2" t="str">
        <x:v>May 2026</x:v>
      </x:c>
      <x:c r="M822" s="2" t="str">
        <x:v>https://www.genaiadoptiontracker.com/</x:v>
      </x:c>
    </x:row>
    <x:row r="823" ht="24" customHeight="1">
      <x:c r="A823" s="2" t="str">
        <x:v>RPS</x:v>
      </x:c>
      <x:c r="B823" s="2" t="str">
        <x:v>Quintiles</x:v>
      </x:c>
      <x:c r="C823" s="2" t="str">
        <x:v>Q3</x:v>
      </x:c>
      <x:c r="D823" s="28" t="n">
        <x:v>45870</x:v>
      </x:c>
      <x:c r="E823" s="2" t="str">
        <x:v>2025Q3</x:v>
      </x:c>
      <x:c r="F823" s="20" t="n">
        <x:v>33889.5</x:v>
      </x:c>
      <x:c r="G823" s="20" t="n">
        <x:f>'Quarterly data'!$E$218</x:f>
        <x:v>34118.5666666667</x:v>
      </x:c>
      <x:c r="H823" s="22" t="n">
        <x:f>100*F823/G823</x:f>
        <x:v>99.32861579765455</x:v>
      </x:c>
      <x:c r="I823" s="24" t="n">
        <x:f>H823/100-1</x:f>
        <x:v>-0.006713842023454486</x:v>
      </x:c>
      <x:c r="J823" s="26" t="n">
        <x:v>4</x:v>
      </x:c>
      <x:c r="K823" s="7" t="b">
        <x:v>0</x:v>
      </x:c>
      <x:c r="L823" s="2" t="str">
        <x:v>May 2026</x:v>
      </x:c>
      <x:c r="M823" s="2" t="str">
        <x:v>https://www.genaiadoptiontracker.com/</x:v>
      </x:c>
    </x:row>
    <x:row r="824" ht="24" customHeight="1">
      <x:c r="A824" s="2" t="str">
        <x:v>RPS</x:v>
      </x:c>
      <x:c r="B824" s="2" t="str">
        <x:v>Quintiles</x:v>
      </x:c>
      <x:c r="C824" s="2" t="str">
        <x:v>Q4</x:v>
      </x:c>
      <x:c r="D824" s="28" t="n">
        <x:v>45870</x:v>
      </x:c>
      <x:c r="E824" s="2" t="str">
        <x:v>2025Q3</x:v>
      </x:c>
      <x:c r="F824" s="20" t="n">
        <x:v>9095.9</x:v>
      </x:c>
      <x:c r="G824" s="20" t="n">
        <x:f>'Quarterly data'!$E$219</x:f>
        <x:v>9093.1333333333</x:v>
      </x:c>
      <x:c r="H824" s="22" t="n">
        <x:f>100*F824/G824</x:f>
        <x:v>100.03042588913281</x:v>
      </x:c>
      <x:c r="I824" s="24" t="n">
        <x:f>H824/100-1</x:f>
        <x:v>0.00030425889132823514</x:v>
      </x:c>
      <x:c r="J824" s="26" t="n">
        <x:v>3</x:v>
      </x:c>
      <x:c r="K824" s="7" t="b">
        <x:v>0</x:v>
      </x:c>
      <x:c r="L824" s="2" t="str">
        <x:v>May 2026</x:v>
      </x:c>
      <x:c r="M824" s="2" t="str">
        <x:v>https://www.genaiadoptiontracker.com/</x:v>
      </x:c>
    </x:row>
    <x:row r="825" ht="24" customHeight="1">
      <x:c r="A825" s="2" t="str">
        <x:v>RPS</x:v>
      </x:c>
      <x:c r="B825" s="2" t="str">
        <x:v>Quintiles</x:v>
      </x:c>
      <x:c r="C825" s="2" t="str">
        <x:v>Q5</x:v>
      </x:c>
      <x:c r="D825" s="28" t="n">
        <x:v>45870</x:v>
      </x:c>
      <x:c r="E825" s="2" t="str">
        <x:v>2025Q3</x:v>
      </x:c>
      <x:c r="F825" s="20" t="n">
        <x:v>22984.9</x:v>
      </x:c>
      <x:c r="G825" s="20" t="n">
        <x:f>'Quarterly data'!$E$220</x:f>
        <x:v>23079.8333333333</x:v>
      </x:c>
      <x:c r="H825" s="22" t="n">
        <x:f>100*F825/G825</x:f>
        <x:v>99.58867409498927</x:v>
      </x:c>
      <x:c r="I825" s="24" t="n">
        <x:f>H825/100-1</x:f>
        <x:v>-0.004113259050107287</x:v>
      </x:c>
      <x:c r="J825" s="26" t="n">
        <x:v>4</x:v>
      </x:c>
      <x:c r="K825" s="7" t="b">
        <x:v>0</x:v>
      </x:c>
      <x:c r="L825" s="2" t="str">
        <x:v>May 2026</x:v>
      </x:c>
      <x:c r="M825" s="2" t="str">
        <x:v>https://www.genaiadoptiontracker.com/</x:v>
      </x:c>
    </x:row>
    <x:row r="826" ht="24" customHeight="1">
      <x:c r="A826" s="2" t="str">
        <x:v>RPS</x:v>
      </x:c>
      <x:c r="B826" s="2" t="str">
        <x:v>Quintiles</x:v>
      </x:c>
      <x:c r="C826" s="2" t="str">
        <x:v>Q1</x:v>
      </x:c>
      <x:c r="D826" s="28" t="n">
        <x:v>45901</x:v>
      </x:c>
      <x:c r="E826" s="2" t="str">
        <x:v>2025Q3</x:v>
      </x:c>
      <x:c r="F826" s="20" t="n">
        <x:v>27394.9</x:v>
      </x:c>
      <x:c r="G826" s="20" t="n">
        <x:f>'Quarterly data'!$E$216</x:f>
        <x:v>26934</x:v>
      </x:c>
      <x:c r="H826" s="22" t="n">
        <x:f>100*F826/G826</x:f>
        <x:v>101.71122001930645</x:v>
      </x:c>
      <x:c r="I826" s="24" t="n">
        <x:f>H826/100-1</x:f>
        <x:v>0.017112200193064586</x:v>
      </x:c>
      <x:c r="J826" s="26" t="n">
        <x:v>4</x:v>
      </x:c>
      <x:c r="K826" s="7" t="b">
        <x:v>0</x:v>
      </x:c>
      <x:c r="L826" s="2" t="str">
        <x:v>May 2026</x:v>
      </x:c>
      <x:c r="M826" s="2" t="str">
        <x:v>https://www.genaiadoptiontracker.com/</x:v>
      </x:c>
    </x:row>
    <x:row r="827" ht="24" customHeight="1">
      <x:c r="A827" s="2" t="str">
        <x:v>RPS</x:v>
      </x:c>
      <x:c r="B827" s="2" t="str">
        <x:v>Quintiles</x:v>
      </x:c>
      <x:c r="C827" s="2" t="str">
        <x:v>Q2</x:v>
      </x:c>
      <x:c r="D827" s="28" t="n">
        <x:v>45901</x:v>
      </x:c>
      <x:c r="E827" s="2" t="str">
        <x:v>2025Q3</x:v>
      </x:c>
      <x:c r="F827" s="20" t="n">
        <x:v>41593.3</x:v>
      </x:c>
      <x:c r="G827" s="20" t="n">
        <x:f>'Quarterly data'!$E$217</x:f>
        <x:v>39187.3</x:v>
      </x:c>
      <x:c r="H827" s="22" t="n">
        <x:f>100*F827/G827</x:f>
        <x:v>106.13974425387818</x:v>
      </x:c>
      <x:c r="I827" s="24" t="n">
        <x:f>H827/100-1</x:f>
        <x:v>0.061397442538781766</x:v>
      </x:c>
      <x:c r="J827" s="26" t="n">
        <x:v>3</x:v>
      </x:c>
      <x:c r="K827" s="7" t="b">
        <x:v>0</x:v>
      </x:c>
      <x:c r="L827" s="2" t="str">
        <x:v>May 2026</x:v>
      </x:c>
      <x:c r="M827" s="2" t="str">
        <x:v>https://www.genaiadoptiontracker.com/</x:v>
      </x:c>
    </x:row>
    <x:row r="828" ht="24" customHeight="1">
      <x:c r="A828" s="2" t="str">
        <x:v>RPS</x:v>
      </x:c>
      <x:c r="B828" s="2" t="str">
        <x:v>Quintiles</x:v>
      </x:c>
      <x:c r="C828" s="2" t="str">
        <x:v>Q3</x:v>
      </x:c>
      <x:c r="D828" s="28" t="n">
        <x:v>45901</x:v>
      </x:c>
      <x:c r="E828" s="2" t="str">
        <x:v>2025Q3</x:v>
      </x:c>
      <x:c r="F828" s="20" t="n">
        <x:v>33887.4</x:v>
      </x:c>
      <x:c r="G828" s="20" t="n">
        <x:f>'Quarterly data'!$E$218</x:f>
        <x:v>34118.5666666667</x:v>
      </x:c>
      <x:c r="H828" s="22" t="n">
        <x:f>100*F828/G828</x:f>
        <x:v>99.32246079114294</x:v>
      </x:c>
      <x:c r="I828" s="24" t="n">
        <x:f>H828/100-1</x:f>
        <x:v>-0.0067753920885705865</x:v>
      </x:c>
      <x:c r="J828" s="26" t="n">
        <x:v>4</x:v>
      </x:c>
      <x:c r="K828" s="7" t="b">
        <x:v>0</x:v>
      </x:c>
      <x:c r="L828" s="2" t="str">
        <x:v>May 2026</x:v>
      </x:c>
      <x:c r="M828" s="2" t="str">
        <x:v>https://www.genaiadoptiontracker.com/</x:v>
      </x:c>
    </x:row>
    <x:row r="829" ht="24" customHeight="1">
      <x:c r="A829" s="2" t="str">
        <x:v>RPS</x:v>
      </x:c>
      <x:c r="B829" s="2" t="str">
        <x:v>Quintiles</x:v>
      </x:c>
      <x:c r="C829" s="2" t="str">
        <x:v>Q4</x:v>
      </x:c>
      <x:c r="D829" s="28" t="n">
        <x:v>45901</x:v>
      </x:c>
      <x:c r="E829" s="2" t="str">
        <x:v>2025Q3</x:v>
      </x:c>
      <x:c r="F829" s="20" t="n">
        <x:v>9104.5</x:v>
      </x:c>
      <x:c r="G829" s="20" t="n">
        <x:f>'Quarterly data'!$E$219</x:f>
        <x:v>9093.1333333333</x:v>
      </x:c>
      <x:c r="H829" s="22" t="n">
        <x:f>100*F829/G829</x:f>
        <x:v>100.12500274932769</x:v>
      </x:c>
      <x:c r="I829" s="24" t="n">
        <x:f>H829/100-1</x:f>
        <x:v>0.0012500274932769617</x:v>
      </x:c>
      <x:c r="J829" s="26" t="n">
        <x:v>3</x:v>
      </x:c>
      <x:c r="K829" s="7" t="b">
        <x:v>0</x:v>
      </x:c>
      <x:c r="L829" s="2" t="str">
        <x:v>May 2026</x:v>
      </x:c>
      <x:c r="M829" s="2" t="str">
        <x:v>https://www.genaiadoptiontracker.com/</x:v>
      </x:c>
    </x:row>
    <x:row r="830" ht="24" customHeight="1">
      <x:c r="A830" s="2" t="str">
        <x:v>RPS</x:v>
      </x:c>
      <x:c r="B830" s="2" t="str">
        <x:v>Quintiles</x:v>
      </x:c>
      <x:c r="C830" s="2" t="str">
        <x:v>Q5</x:v>
      </x:c>
      <x:c r="D830" s="28" t="n">
        <x:v>45901</x:v>
      </x:c>
      <x:c r="E830" s="2" t="str">
        <x:v>2025Q3</x:v>
      </x:c>
      <x:c r="F830" s="20" t="n">
        <x:v>22985.3</x:v>
      </x:c>
      <x:c r="G830" s="20" t="n">
        <x:f>'Quarterly data'!$E$220</x:f>
        <x:v>23079.8333333333</x:v>
      </x:c>
      <x:c r="H830" s="22" t="n">
        <x:f>100*F830/G830</x:f>
        <x:v>99.59040720975759</x:v>
      </x:c>
      <x:c r="I830" s="24" t="n">
        <x:f>H830/100-1</x:f>
        <x:v>-0.00409592790242419</x:v>
      </x:c>
      <x:c r="J830" s="26" t="n">
        <x:v>4</x:v>
      </x:c>
      <x:c r="K830" s="7" t="b">
        <x:v>0</x:v>
      </x:c>
      <x:c r="L830" s="2" t="str">
        <x:v>May 2026</x:v>
      </x:c>
      <x:c r="M830" s="2" t="str">
        <x:v>https://www.genaiadoptiontracker.com/</x:v>
      </x:c>
    </x:row>
    <x:row r="831" ht="24" customHeight="1">
      <x:c r="A831" s="2" t="str">
        <x:v>RPS</x:v>
      </x:c>
      <x:c r="B831" s="2" t="str">
        <x:v>Quintiles</x:v>
      </x:c>
      <x:c r="C831" s="2" t="str">
        <x:v>Q1</x:v>
      </x:c>
      <x:c r="D831" s="28" t="n">
        <x:v>45931</x:v>
      </x:c>
      <x:c r="E831" s="2" t="str">
        <x:v>2025Q4</x:v>
      </x:c>
      <x:c r="F831" s="20" t="n">
        <x:v>27436.1</x:v>
      </x:c>
      <x:c r="G831" s="20" t="n">
        <x:f>'Quarterly data'!$E$216</x:f>
        <x:v>26934</x:v>
      </x:c>
      <x:c r="H831" s="22" t="n">
        <x:f>100*F831/G831</x:f>
        <x:v>101.86418653003639</x:v>
      </x:c>
      <x:c r="I831" s="24" t="n">
        <x:f>H831/100-1</x:f>
        <x:v>0.018641865300363936</x:v>
      </x:c>
      <x:c r="J831" s="26" t="n">
        <x:v>4</x:v>
      </x:c>
      <x:c r="K831" s="7" t="b">
        <x:v>0</x:v>
      </x:c>
      <x:c r="L831" s="2" t="str">
        <x:v>May 2026</x:v>
      </x:c>
      <x:c r="M831" s="2" t="str">
        <x:v>https://www.genaiadoptiontracker.com/</x:v>
      </x:c>
    </x:row>
    <x:row r="832" ht="24" customHeight="1">
      <x:c r="A832" s="2" t="str">
        <x:v>RPS</x:v>
      </x:c>
      <x:c r="B832" s="2" t="str">
        <x:v>Quintiles</x:v>
      </x:c>
      <x:c r="C832" s="2" t="str">
        <x:v>Q2</x:v>
      </x:c>
      <x:c r="D832" s="28" t="n">
        <x:v>45931</x:v>
      </x:c>
      <x:c r="E832" s="2" t="str">
        <x:v>2025Q4</x:v>
      </x:c>
      <x:c r="F832" s="20" t="n">
        <x:v>41621.4</x:v>
      </x:c>
      <x:c r="G832" s="20" t="n">
        <x:f>'Quarterly data'!$E$217</x:f>
        <x:v>39187.3</x:v>
      </x:c>
      <x:c r="H832" s="22" t="n">
        <x:f>100*F832/G832</x:f>
        <x:v>106.21145115892138</x:v>
      </x:c>
      <x:c r="I832" s="24" t="n">
        <x:f>H832/100-1</x:f>
        <x:v>0.06211451158921388</x:v>
      </x:c>
      <x:c r="J832" s="26" t="n">
        <x:v>3</x:v>
      </x:c>
      <x:c r="K832" s="7" t="b">
        <x:v>0</x:v>
      </x:c>
      <x:c r="L832" s="2" t="str">
        <x:v>May 2026</x:v>
      </x:c>
      <x:c r="M832" s="2" t="str">
        <x:v>https://www.genaiadoptiontracker.com/</x:v>
      </x:c>
    </x:row>
    <x:row r="833" ht="24" customHeight="1">
      <x:c r="A833" s="2" t="str">
        <x:v>RPS</x:v>
      </x:c>
      <x:c r="B833" s="2" t="str">
        <x:v>Quintiles</x:v>
      </x:c>
      <x:c r="C833" s="2" t="str">
        <x:v>Q3</x:v>
      </x:c>
      <x:c r="D833" s="28" t="n">
        <x:v>45931</x:v>
      </x:c>
      <x:c r="E833" s="2" t="str">
        <x:v>2025Q4</x:v>
      </x:c>
      <x:c r="F833" s="20" t="n">
        <x:v>33849.1</x:v>
      </x:c>
      <x:c r="G833" s="20" t="n">
        <x:f>'Quarterly data'!$E$218</x:f>
        <x:v>34118.5666666667</x:v>
      </x:c>
      <x:c r="H833" s="22" t="n">
        <x:f>100*F833/G833</x:f>
        <x:v>99.21020519619317</x:v>
      </x:c>
      <x:c r="I833" s="24" t="n">
        <x:f>H833/100-1</x:f>
        <x:v>-0.007897948038068314</x:v>
      </x:c>
      <x:c r="J833" s="26" t="n">
        <x:v>4</x:v>
      </x:c>
      <x:c r="K833" s="7" t="b">
        <x:v>0</x:v>
      </x:c>
      <x:c r="L833" s="2" t="str">
        <x:v>May 2026</x:v>
      </x:c>
      <x:c r="M833" s="2" t="str">
        <x:v>https://www.genaiadoptiontracker.com/</x:v>
      </x:c>
    </x:row>
    <x:row r="834" ht="24" customHeight="1">
      <x:c r="A834" s="2" t="str">
        <x:v>RPS</x:v>
      </x:c>
      <x:c r="B834" s="2" t="str">
        <x:v>Quintiles</x:v>
      </x:c>
      <x:c r="C834" s="2" t="str">
        <x:v>Q4</x:v>
      </x:c>
      <x:c r="D834" s="28" t="n">
        <x:v>45931</x:v>
      </x:c>
      <x:c r="E834" s="2" t="str">
        <x:v>2025Q4</x:v>
      </x:c>
      <x:c r="F834" s="20" t="n">
        <x:v>9102.3</x:v>
      </x:c>
      <x:c r="G834" s="20" t="n">
        <x:f>'Quarterly data'!$E$219</x:f>
        <x:v>9093.1333333333</x:v>
      </x:c>
      <x:c r="H834" s="22" t="n">
        <x:f>100*F834/G834</x:f>
        <x:v>100.10080866881272</x:v>
      </x:c>
      <x:c r="I834" s="24" t="n">
        <x:f>H834/100-1</x:f>
        <x:v>0.001008086688127241</x:v>
      </x:c>
      <x:c r="J834" s="26" t="n">
        <x:v>3</x:v>
      </x:c>
      <x:c r="K834" s="7" t="b">
        <x:v>0</x:v>
      </x:c>
      <x:c r="L834" s="2" t="str">
        <x:v>May 2026</x:v>
      </x:c>
      <x:c r="M834" s="2" t="str">
        <x:v>https://www.genaiadoptiontracker.com/</x:v>
      </x:c>
    </x:row>
    <x:row r="835" ht="24" customHeight="1">
      <x:c r="A835" s="2" t="str">
        <x:v>RPS</x:v>
      </x:c>
      <x:c r="B835" s="2" t="str">
        <x:v>Quintiles</x:v>
      </x:c>
      <x:c r="C835" s="2" t="str">
        <x:v>Q5</x:v>
      </x:c>
      <x:c r="D835" s="28" t="n">
        <x:v>45931</x:v>
      </x:c>
      <x:c r="E835" s="2" t="str">
        <x:v>2025Q4</x:v>
      </x:c>
      <x:c r="F835" s="20" t="n">
        <x:v>22970.1</x:v>
      </x:c>
      <x:c r="G835" s="20" t="n">
        <x:f>'Quarterly data'!$E$220</x:f>
        <x:v>23079.8333333333</x:v>
      </x:c>
      <x:c r="H835" s="22" t="n">
        <x:f>100*F835/G835</x:f>
        <x:v>99.52454884856202</x:v>
      </x:c>
      <x:c r="I835" s="24" t="n">
        <x:f>H835/100-1</x:f>
        <x:v>-0.004754511514379778</x:v>
      </x:c>
      <x:c r="J835" s="26" t="n">
        <x:v>4</x:v>
      </x:c>
      <x:c r="K835" s="7" t="b">
        <x:v>0</x:v>
      </x:c>
      <x:c r="L835" s="2" t="str">
        <x:v>May 2026</x:v>
      </x:c>
      <x:c r="M835" s="2" t="str">
        <x:v>https://www.genaiadoptiontracker.com/</x:v>
      </x:c>
    </x:row>
    <x:row r="836" ht="24" customHeight="1">
      <x:c r="A836" s="2" t="str">
        <x:v>RPS</x:v>
      </x:c>
      <x:c r="B836" s="2" t="str">
        <x:v>Quintiles</x:v>
      </x:c>
      <x:c r="C836" s="2" t="str">
        <x:v>Q1</x:v>
      </x:c>
      <x:c r="D836" s="28" t="n">
        <x:v>45962</x:v>
      </x:c>
      <x:c r="E836" s="2" t="str">
        <x:v>2025Q4</x:v>
      </x:c>
      <x:c r="F836" s="20" t="n">
        <x:v>27413.4</x:v>
      </x:c>
      <x:c r="G836" s="20" t="n">
        <x:f>'Quarterly data'!$E$216</x:f>
        <x:v>26934</x:v>
      </x:c>
      <x:c r="H836" s="22" t="n">
        <x:f>100*F836/G836</x:f>
        <x:v>101.77990643795945</x:v>
      </x:c>
      <x:c r="I836" s="24" t="n">
        <x:f>H836/100-1</x:f>
        <x:v>0.017799064379594443</x:v>
      </x:c>
      <x:c r="J836" s="26" t="n">
        <x:v>4</x:v>
      </x:c>
      <x:c r="K836" s="7" t="b">
        <x:v>0</x:v>
      </x:c>
      <x:c r="L836" s="2" t="str">
        <x:v>May 2026</x:v>
      </x:c>
      <x:c r="M836" s="2" t="str">
        <x:v>https://www.genaiadoptiontracker.com/</x:v>
      </x:c>
    </x:row>
    <x:row r="837" ht="24" customHeight="1">
      <x:c r="A837" s="2" t="str">
        <x:v>RPS</x:v>
      </x:c>
      <x:c r="B837" s="2" t="str">
        <x:v>Quintiles</x:v>
      </x:c>
      <x:c r="C837" s="2" t="str">
        <x:v>Q2</x:v>
      </x:c>
      <x:c r="D837" s="28" t="n">
        <x:v>45962</x:v>
      </x:c>
      <x:c r="E837" s="2" t="str">
        <x:v>2025Q4</x:v>
      </x:c>
      <x:c r="F837" s="20" t="n">
        <x:v>41647.6</x:v>
      </x:c>
      <x:c r="G837" s="20" t="n">
        <x:f>'Quarterly data'!$E$217</x:f>
        <x:v>39187.3</x:v>
      </x:c>
      <x:c r="H837" s="22" t="n">
        <x:f>100*F837/G837</x:f>
        <x:v>106.27830955437092</x:v>
      </x:c>
      <x:c r="I837" s="24" t="n">
        <x:f>H837/100-1</x:f>
        <x:v>0.0627830955437092</x:v>
      </x:c>
      <x:c r="J837" s="26" t="n">
        <x:v>3</x:v>
      </x:c>
      <x:c r="K837" s="7" t="b">
        <x:v>0</x:v>
      </x:c>
      <x:c r="L837" s="2" t="str">
        <x:v>May 2026</x:v>
      </x:c>
      <x:c r="M837" s="2" t="str">
        <x:v>https://www.genaiadoptiontracker.com/</x:v>
      </x:c>
    </x:row>
    <x:row r="838" ht="24" customHeight="1">
      <x:c r="A838" s="2" t="str">
        <x:v>RPS</x:v>
      </x:c>
      <x:c r="B838" s="2" t="str">
        <x:v>Quintiles</x:v>
      </x:c>
      <x:c r="C838" s="2" t="str">
        <x:v>Q3</x:v>
      </x:c>
      <x:c r="D838" s="28" t="n">
        <x:v>45962</x:v>
      </x:c>
      <x:c r="E838" s="2" t="str">
        <x:v>2025Q4</x:v>
      </x:c>
      <x:c r="F838" s="20" t="n">
        <x:v>33889.2</x:v>
      </x:c>
      <x:c r="G838" s="20" t="n">
        <x:f>'Quarterly data'!$E$218</x:f>
        <x:v>34118.5666666667</x:v>
      </x:c>
      <x:c r="H838" s="22" t="n">
        <x:f>100*F838/G838</x:f>
        <x:v>99.32773651101002</x:v>
      </x:c>
      <x:c r="I838" s="24" t="n">
        <x:f>H838/100-1</x:f>
        <x:v>-0.006722634889899881</x:v>
      </x:c>
      <x:c r="J838" s="26" t="n">
        <x:v>4</x:v>
      </x:c>
      <x:c r="K838" s="7" t="b">
        <x:v>0</x:v>
      </x:c>
      <x:c r="L838" s="2" t="str">
        <x:v>May 2026</x:v>
      </x:c>
      <x:c r="M838" s="2" t="str">
        <x:v>https://www.genaiadoptiontracker.com/</x:v>
      </x:c>
    </x:row>
    <x:row r="839" ht="24" customHeight="1">
      <x:c r="A839" s="2" t="str">
        <x:v>RPS</x:v>
      </x:c>
      <x:c r="B839" s="2" t="str">
        <x:v>Quintiles</x:v>
      </x:c>
      <x:c r="C839" s="2" t="str">
        <x:v>Q4</x:v>
      </x:c>
      <x:c r="D839" s="28" t="n">
        <x:v>45962</x:v>
      </x:c>
      <x:c r="E839" s="2" t="str">
        <x:v>2025Q4</x:v>
      </x:c>
      <x:c r="F839" s="20" t="n">
        <x:v>9102</x:v>
      </x:c>
      <x:c r="G839" s="20" t="n">
        <x:f>'Quarterly data'!$E$219</x:f>
        <x:v>9093.1333333333</x:v>
      </x:c>
      <x:c r="H839" s="22" t="n">
        <x:f>100*F839/G839</x:f>
        <x:v>100.09750947601523</x:v>
      </x:c>
      <x:c r="I839" s="24" t="n">
        <x:f>H839/100-1</x:f>
        <x:v>0.0009750947601523396</x:v>
      </x:c>
      <x:c r="J839" s="26" t="n">
        <x:v>3</x:v>
      </x:c>
      <x:c r="K839" s="7" t="b">
        <x:v>0</x:v>
      </x:c>
      <x:c r="L839" s="2" t="str">
        <x:v>May 2026</x:v>
      </x:c>
      <x:c r="M839" s="2" t="str">
        <x:v>https://www.genaiadoptiontracker.com/</x:v>
      </x:c>
    </x:row>
    <x:row r="840" ht="24" customHeight="1">
      <x:c r="A840" s="2" t="str">
        <x:v>RPS</x:v>
      </x:c>
      <x:c r="B840" s="2" t="str">
        <x:v>Quintiles</x:v>
      </x:c>
      <x:c r="C840" s="2" t="str">
        <x:v>Q5</x:v>
      </x:c>
      <x:c r="D840" s="28" t="n">
        <x:v>45962</x:v>
      </x:c>
      <x:c r="E840" s="2" t="str">
        <x:v>2025Q4</x:v>
      </x:c>
      <x:c r="F840" s="20" t="n">
        <x:v>23000.5</x:v>
      </x:c>
      <x:c r="G840" s="20" t="n">
        <x:f>'Quarterly data'!$E$220</x:f>
        <x:v>23079.8333333333</x:v>
      </x:c>
      <x:c r="H840" s="22" t="n">
        <x:f>100*F840/G840</x:f>
        <x:v>99.65626557095314</x:v>
      </x:c>
      <x:c r="I840" s="24" t="n">
        <x:f>H840/100-1</x:f>
        <x:v>-0.0034373442904686025</x:v>
      </x:c>
      <x:c r="J840" s="26" t="n">
        <x:v>4</x:v>
      </x:c>
      <x:c r="K840" s="7" t="b">
        <x:v>0</x:v>
      </x:c>
      <x:c r="L840" s="2" t="str">
        <x:v>May 2026</x:v>
      </x:c>
      <x:c r="M840" s="2" t="str">
        <x:v>https://www.genaiadoptiontracker.com/</x:v>
      </x:c>
    </x:row>
    <x:row r="841" ht="24" customHeight="1">
      <x:c r="A841" s="2" t="str">
        <x:v>RPS</x:v>
      </x:c>
      <x:c r="B841" s="2" t="str">
        <x:v>Quintiles</x:v>
      </x:c>
      <x:c r="C841" s="2" t="str">
        <x:v>Q1</x:v>
      </x:c>
      <x:c r="D841" s="28" t="n">
        <x:v>45992</x:v>
      </x:c>
      <x:c r="E841" s="2" t="str">
        <x:v>2025Q4</x:v>
      </x:c>
      <x:c r="F841" s="20" t="n">
        <x:v>27426.5</x:v>
      </x:c>
      <x:c r="G841" s="20" t="n">
        <x:f>'Quarterly data'!$E$216</x:f>
        <x:v>26934</x:v>
      </x:c>
      <x:c r="H841" s="22" t="n">
        <x:f>100*F841/G841</x:f>
        <x:v>101.82854384792455</x:v>
      </x:c>
      <x:c r="I841" s="24" t="n">
        <x:f>H841/100-1</x:f>
        <x:v>0.018285438479245464</x:v>
      </x:c>
      <x:c r="J841" s="26" t="n">
        <x:v>4</x:v>
      </x:c>
      <x:c r="K841" s="7" t="b">
        <x:v>0</x:v>
      </x:c>
      <x:c r="L841" s="2" t="str">
        <x:v>May 2026</x:v>
      </x:c>
      <x:c r="M841" s="2" t="str">
        <x:v>https://www.genaiadoptiontracker.com/</x:v>
      </x:c>
    </x:row>
    <x:row r="842" ht="24" customHeight="1">
      <x:c r="A842" s="2" t="str">
        <x:v>RPS</x:v>
      </x:c>
      <x:c r="B842" s="2" t="str">
        <x:v>Quintiles</x:v>
      </x:c>
      <x:c r="C842" s="2" t="str">
        <x:v>Q2</x:v>
      </x:c>
      <x:c r="D842" s="28" t="n">
        <x:v>45992</x:v>
      </x:c>
      <x:c r="E842" s="2" t="str">
        <x:v>2025Q4</x:v>
      </x:c>
      <x:c r="F842" s="20" t="n">
        <x:v>41680.5</x:v>
      </x:c>
      <x:c r="G842" s="20" t="n">
        <x:f>'Quarterly data'!$E$217</x:f>
        <x:v>39187.3</x:v>
      </x:c>
      <x:c r="H842" s="22" t="n">
        <x:f>100*F842/G842</x:f>
        <x:v>106.36226532575604</x:v>
      </x:c>
      <x:c r="I842" s="24" t="n">
        <x:f>H842/100-1</x:f>
        <x:v>0.06362265325756034</x:v>
      </x:c>
      <x:c r="J842" s="26" t="n">
        <x:v>3</x:v>
      </x:c>
      <x:c r="K842" s="7" t="b">
        <x:v>0</x:v>
      </x:c>
      <x:c r="L842" s="2" t="str">
        <x:v>May 2026</x:v>
      </x:c>
      <x:c r="M842" s="2" t="str">
        <x:v>https://www.genaiadoptiontracker.com/</x:v>
      </x:c>
    </x:row>
    <x:row r="843" ht="24" customHeight="1">
      <x:c r="A843" s="2" t="str">
        <x:v>RPS</x:v>
      </x:c>
      <x:c r="B843" s="2" t="str">
        <x:v>Quintiles</x:v>
      </x:c>
      <x:c r="C843" s="2" t="str">
        <x:v>Q3</x:v>
      </x:c>
      <x:c r="D843" s="28" t="n">
        <x:v>45992</x:v>
      </x:c>
      <x:c r="E843" s="2" t="str">
        <x:v>2025Q4</x:v>
      </x:c>
      <x:c r="F843" s="20" t="n">
        <x:v>33856.3</x:v>
      </x:c>
      <x:c r="G843" s="20" t="n">
        <x:f>'Quarterly data'!$E$218</x:f>
        <x:v>34118.5666666667</x:v>
      </x:c>
      <x:c r="H843" s="22" t="n">
        <x:f>100*F843/G843</x:f>
        <x:v>99.23130807566154</x:v>
      </x:c>
      <x:c r="I843" s="24" t="n">
        <x:f>H843/100-1</x:f>
        <x:v>-0.0076869192433846045</x:v>
      </x:c>
      <x:c r="J843" s="26" t="n">
        <x:v>4</x:v>
      </x:c>
      <x:c r="K843" s="7" t="b">
        <x:v>0</x:v>
      </x:c>
      <x:c r="L843" s="2" t="str">
        <x:v>May 2026</x:v>
      </x:c>
      <x:c r="M843" s="2" t="str">
        <x:v>https://www.genaiadoptiontracker.com/</x:v>
      </x:c>
    </x:row>
    <x:row r="844" ht="24" customHeight="1">
      <x:c r="A844" s="2" t="str">
        <x:v>RPS</x:v>
      </x:c>
      <x:c r="B844" s="2" t="str">
        <x:v>Quintiles</x:v>
      </x:c>
      <x:c r="C844" s="2" t="str">
        <x:v>Q4</x:v>
      </x:c>
      <x:c r="D844" s="28" t="n">
        <x:v>45992</x:v>
      </x:c>
      <x:c r="E844" s="2" t="str">
        <x:v>2025Q4</x:v>
      </x:c>
      <x:c r="F844" s="20" t="n">
        <x:v>9098.7</x:v>
      </x:c>
      <x:c r="G844" s="20" t="n">
        <x:f>'Quarterly data'!$E$219</x:f>
        <x:v>9093.1333333333</x:v>
      </x:c>
      <x:c r="H844" s="22" t="n">
        <x:f>100*F844/G844</x:f>
        <x:v>100.06121835524279</x:v>
      </x:c>
      <x:c r="I844" s="24" t="n">
        <x:f>H844/100-1</x:f>
        <x:v>0.0006121835524277586</x:v>
      </x:c>
      <x:c r="J844" s="26" t="n">
        <x:v>3</x:v>
      </x:c>
      <x:c r="K844" s="7" t="b">
        <x:v>0</x:v>
      </x:c>
      <x:c r="L844" s="2" t="str">
        <x:v>May 2026</x:v>
      </x:c>
      <x:c r="M844" s="2" t="str">
        <x:v>https://www.genaiadoptiontracker.com/</x:v>
      </x:c>
    </x:row>
    <x:row r="845" ht="24" customHeight="1">
      <x:c r="A845" s="2" t="str">
        <x:v>RPS</x:v>
      </x:c>
      <x:c r="B845" s="2" t="str">
        <x:v>Quintiles</x:v>
      </x:c>
      <x:c r="C845" s="2" t="str">
        <x:v>Q5</x:v>
      </x:c>
      <x:c r="D845" s="28" t="n">
        <x:v>45992</x:v>
      </x:c>
      <x:c r="E845" s="2" t="str">
        <x:v>2025Q4</x:v>
      </x:c>
      <x:c r="F845" s="20" t="n">
        <x:v>22982.8</x:v>
      </x:c>
      <x:c r="G845" s="20" t="n">
        <x:f>'Quarterly data'!$E$220</x:f>
        <x:v>23079.8333333333</x:v>
      </x:c>
      <x:c r="H845" s="22" t="n">
        <x:f>100*F845/G845</x:f>
        <x:v>99.57957524245568</x:v>
      </x:c>
      <x:c r="I845" s="24" t="n">
        <x:f>H845/100-1</x:f>
        <x:v>-0.004204247575443243</x:v>
      </x:c>
      <x:c r="J845" s="26" t="n">
        <x:v>4</x:v>
      </x:c>
      <x:c r="K845" s="7" t="b">
        <x:v>0</x:v>
      </x:c>
      <x:c r="L845" s="2" t="str">
        <x:v>May 2026</x:v>
      </x:c>
      <x:c r="M845" s="2" t="str">
        <x:v>https://www.genaiadoptiontracker.com/</x:v>
      </x:c>
    </x:row>
    <x:row r="846" ht="24" customHeight="1">
      <x:c r="A846" s="2" t="str">
        <x:v>RPS</x:v>
      </x:c>
      <x:c r="B846" s="2" t="str">
        <x:v>Quintiles</x:v>
      </x:c>
      <x:c r="C846" s="2" t="str">
        <x:v>Q1</x:v>
      </x:c>
      <x:c r="D846" s="28" t="n">
        <x:v>46023</x:v>
      </x:c>
      <x:c r="E846" s="2" t="str">
        <x:v>2026Q1</x:v>
      </x:c>
      <x:c r="F846" s="20" t="n">
        <x:v>27465.9</x:v>
      </x:c>
      <x:c r="G846" s="20" t="n">
        <x:f>'Quarterly data'!$E$216</x:f>
        <x:v>26934</x:v>
      </x:c>
      <x:c r="H846" s="22" t="n">
        <x:f>100*F846/G846</x:f>
        <x:v>101.97482735575852</x:v>
      </x:c>
      <x:c r="I846" s="24" t="n">
        <x:f>H846/100-1</x:f>
        <x:v>0.019748273557585128</x:v>
      </x:c>
      <x:c r="J846" s="26" t="n">
        <x:v>4</x:v>
      </x:c>
      <x:c r="K846" s="7" t="b">
        <x:v>0</x:v>
      </x:c>
      <x:c r="L846" s="2" t="str">
        <x:v>May 2026</x:v>
      </x:c>
      <x:c r="M846" s="2" t="str">
        <x:v>https://www.genaiadoptiontracker.com/</x:v>
      </x:c>
    </x:row>
    <x:row r="847" ht="24" customHeight="1">
      <x:c r="A847" s="2" t="str">
        <x:v>RPS</x:v>
      </x:c>
      <x:c r="B847" s="2" t="str">
        <x:v>Quintiles</x:v>
      </x:c>
      <x:c r="C847" s="2" t="str">
        <x:v>Q2</x:v>
      </x:c>
      <x:c r="D847" s="28" t="n">
        <x:v>46023</x:v>
      </x:c>
      <x:c r="E847" s="2" t="str">
        <x:v>2026Q1</x:v>
      </x:c>
      <x:c r="F847" s="20" t="n">
        <x:v>41789.2</x:v>
      </x:c>
      <x:c r="G847" s="20" t="n">
        <x:f>'Quarterly data'!$E$217</x:f>
        <x:v>39187.3</x:v>
      </x:c>
      <x:c r="H847" s="22" t="n">
        <x:f>100*F847/G847</x:f>
        <x:v>106.63965111145701</x:v>
      </x:c>
      <x:c r="I847" s="24" t="n">
        <x:f>H847/100-1</x:f>
        <x:v>0.06639651111457012</x:v>
      </x:c>
      <x:c r="J847" s="26" t="n">
        <x:v>3</x:v>
      </x:c>
      <x:c r="K847" s="7" t="b">
        <x:v>0</x:v>
      </x:c>
      <x:c r="L847" s="2" t="str">
        <x:v>May 2026</x:v>
      </x:c>
      <x:c r="M847" s="2" t="str">
        <x:v>https://www.genaiadoptiontracker.com/</x:v>
      </x:c>
    </x:row>
    <x:row r="848" ht="24" customHeight="1">
      <x:c r="A848" s="2" t="str">
        <x:v>RPS</x:v>
      </x:c>
      <x:c r="B848" s="2" t="str">
        <x:v>Quintiles</x:v>
      </x:c>
      <x:c r="C848" s="2" t="str">
        <x:v>Q3</x:v>
      </x:c>
      <x:c r="D848" s="28" t="n">
        <x:v>46023</x:v>
      </x:c>
      <x:c r="E848" s="2" t="str">
        <x:v>2026Q1</x:v>
      </x:c>
      <x:c r="F848" s="20" t="n">
        <x:v>33949.2</x:v>
      </x:c>
      <x:c r="G848" s="20" t="n">
        <x:f>'Quarterly data'!$E$218</x:f>
        <x:v>34118.5666666667</x:v>
      </x:c>
      <x:c r="H848" s="22" t="n">
        <x:f>100*F848/G848</x:f>
        <x:v>99.50359383991305</x:v>
      </x:c>
      <x:c r="I848" s="24" t="n">
        <x:f>H848/100-1</x:f>
        <x:v>-0.004964061600869485</x:v>
      </x:c>
      <x:c r="J848" s="26" t="n">
        <x:v>4</x:v>
      </x:c>
      <x:c r="K848" s="7" t="b">
        <x:v>0</x:v>
      </x:c>
      <x:c r="L848" s="2" t="str">
        <x:v>May 2026</x:v>
      </x:c>
      <x:c r="M848" s="2" t="str">
        <x:v>https://www.genaiadoptiontracker.com/</x:v>
      </x:c>
    </x:row>
    <x:row r="849" ht="24" customHeight="1">
      <x:c r="A849" s="2" t="str">
        <x:v>RPS</x:v>
      </x:c>
      <x:c r="B849" s="2" t="str">
        <x:v>Quintiles</x:v>
      </x:c>
      <x:c r="C849" s="2" t="str">
        <x:v>Q4</x:v>
      </x:c>
      <x:c r="D849" s="28" t="n">
        <x:v>46023</x:v>
      </x:c>
      <x:c r="E849" s="2" t="str">
        <x:v>2026Q1</x:v>
      </x:c>
      <x:c r="F849" s="20" t="n">
        <x:v>9086.1</x:v>
      </x:c>
      <x:c r="G849" s="20" t="n">
        <x:f>'Quarterly data'!$E$219</x:f>
        <x:v>9093.1333333333</x:v>
      </x:c>
      <x:c r="H849" s="22" t="n">
        <x:f>100*F849/G849</x:f>
        <x:v>99.92265225774797</x:v>
      </x:c>
      <x:c r="I849" s="24" t="n">
        <x:f>H849/100-1</x:f>
        <x:v>-0.0007734774225203189</x:v>
      </x:c>
      <x:c r="J849" s="26" t="n">
        <x:v>3</x:v>
      </x:c>
      <x:c r="K849" s="7" t="b">
        <x:v>0</x:v>
      </x:c>
      <x:c r="L849" s="2" t="str">
        <x:v>May 2026</x:v>
      </x:c>
      <x:c r="M849" s="2" t="str">
        <x:v>https://www.genaiadoptiontracker.com/</x:v>
      </x:c>
    </x:row>
    <x:row r="850" ht="24" customHeight="1">
      <x:c r="A850" s="2" t="str">
        <x:v>RPS</x:v>
      </x:c>
      <x:c r="B850" s="2" t="str">
        <x:v>Quintiles</x:v>
      </x:c>
      <x:c r="C850" s="2" t="str">
        <x:v>Q5</x:v>
      </x:c>
      <x:c r="D850" s="28" t="n">
        <x:v>46023</x:v>
      </x:c>
      <x:c r="E850" s="2" t="str">
        <x:v>2026Q1</x:v>
      </x:c>
      <x:c r="F850" s="20" t="n">
        <x:v>22935.4</x:v>
      </x:c>
      <x:c r="G850" s="20" t="n">
        <x:f>'Quarterly data'!$E$220</x:f>
        <x:v>23079.8333333333</x:v>
      </x:c>
      <x:c r="H850" s="22" t="n">
        <x:f>100*F850/G850</x:f>
        <x:v>99.37420114241164</x:v>
      </x:c>
      <x:c r="I850" s="24" t="n">
        <x:f>H850/100-1</x:f>
        <x:v>-0.006257988575883666</x:v>
      </x:c>
      <x:c r="J850" s="26" t="n">
        <x:v>4</x:v>
      </x:c>
      <x:c r="K850" s="7" t="b">
        <x:v>0</x:v>
      </x:c>
      <x:c r="L850" s="2" t="str">
        <x:v>May 2026</x:v>
      </x:c>
      <x:c r="M850" s="2" t="str">
        <x:v>https://www.genaiadoptiontracker.com/</x:v>
      </x:c>
    </x:row>
    <x:row r="851" ht="24" customHeight="1">
      <x:c r="A851" s="2" t="str">
        <x:v>RPS</x:v>
      </x:c>
      <x:c r="B851" s="2" t="str">
        <x:v>Quintiles</x:v>
      </x:c>
      <x:c r="C851" s="2" t="str">
        <x:v>Q1</x:v>
      </x:c>
      <x:c r="D851" s="28" t="n">
        <x:v>46054</x:v>
      </x:c>
      <x:c r="E851" s="2" t="str">
        <x:v>2026Q1</x:v>
      </x:c>
      <x:c r="F851" s="20" t="n">
        <x:v>27378.7</x:v>
      </x:c>
      <x:c r="G851" s="20" t="n">
        <x:f>'Quarterly data'!$E$216</x:f>
        <x:v>26934</x:v>
      </x:c>
      <x:c r="H851" s="22" t="n">
        <x:f>100*F851/G851</x:f>
        <x:v>101.65107299324274</x:v>
      </x:c>
      <x:c r="I851" s="24" t="n">
        <x:f>H851/100-1</x:f>
        <x:v>0.016510729932427415</x:v>
      </x:c>
      <x:c r="J851" s="26" t="n">
        <x:v>4</x:v>
      </x:c>
      <x:c r="K851" s="7" t="b">
        <x:v>0</x:v>
      </x:c>
      <x:c r="L851" s="2" t="str">
        <x:v>May 2026</x:v>
      </x:c>
      <x:c r="M851" s="2" t="str">
        <x:v>https://www.genaiadoptiontracker.com/</x:v>
      </x:c>
    </x:row>
    <x:row r="852" ht="24" customHeight="1">
      <x:c r="A852" s="2" t="str">
        <x:v>RPS</x:v>
      </x:c>
      <x:c r="B852" s="2" t="str">
        <x:v>Quintiles</x:v>
      </x:c>
      <x:c r="C852" s="2" t="str">
        <x:v>Q2</x:v>
      </x:c>
      <x:c r="D852" s="28" t="n">
        <x:v>46054</x:v>
      </x:c>
      <x:c r="E852" s="2" t="str">
        <x:v>2026Q1</x:v>
      </x:c>
      <x:c r="F852" s="20" t="n">
        <x:v>41775.8</x:v>
      </x:c>
      <x:c r="G852" s="20" t="n">
        <x:f>'Quarterly data'!$E$217</x:f>
        <x:v>39187.3</x:v>
      </x:c>
      <x:c r="H852" s="22" t="n">
        <x:f>100*F852/G852</x:f>
        <x:v>106.60545635958589</x:v>
      </x:c>
      <x:c r="I852" s="24" t="n">
        <x:f>H852/100-1</x:f>
        <x:v>0.06605456359585893</x:v>
      </x:c>
      <x:c r="J852" s="26" t="n">
        <x:v>3</x:v>
      </x:c>
      <x:c r="K852" s="7" t="b">
        <x:v>0</x:v>
      </x:c>
      <x:c r="L852" s="2" t="str">
        <x:v>May 2026</x:v>
      </x:c>
      <x:c r="M852" s="2" t="str">
        <x:v>https://www.genaiadoptiontracker.com/</x:v>
      </x:c>
    </x:row>
    <x:row r="853" ht="24" customHeight="1">
      <x:c r="A853" s="2" t="str">
        <x:v>RPS</x:v>
      </x:c>
      <x:c r="B853" s="2" t="str">
        <x:v>Quintiles</x:v>
      </x:c>
      <x:c r="C853" s="2" t="str">
        <x:v>Q3</x:v>
      </x:c>
      <x:c r="D853" s="28" t="n">
        <x:v>46054</x:v>
      </x:c>
      <x:c r="E853" s="2" t="str">
        <x:v>2026Q1</x:v>
      </x:c>
      <x:c r="F853" s="20" t="n">
        <x:v>33896.2</x:v>
      </x:c>
      <x:c r="G853" s="20" t="n">
        <x:f>'Quarterly data'!$E$218</x:f>
        <x:v>34118.5666666667</x:v>
      </x:c>
      <x:c r="H853" s="22" t="n">
        <x:f>100*F853/G853</x:f>
        <x:v>99.34825319938204</x:v>
      </x:c>
      <x:c r="I853" s="24" t="n">
        <x:f>H853/100-1</x:f>
        <x:v>-0.006517468006179583</x:v>
      </x:c>
      <x:c r="J853" s="26" t="n">
        <x:v>4</x:v>
      </x:c>
      <x:c r="K853" s="7" t="b">
        <x:v>0</x:v>
      </x:c>
      <x:c r="L853" s="2" t="str">
        <x:v>May 2026</x:v>
      </x:c>
      <x:c r="M853" s="2" t="str">
        <x:v>https://www.genaiadoptiontracker.com/</x:v>
      </x:c>
    </x:row>
    <x:row r="854" ht="24" customHeight="1">
      <x:c r="A854" s="2" t="str">
        <x:v>RPS</x:v>
      </x:c>
      <x:c r="B854" s="2" t="str">
        <x:v>Quintiles</x:v>
      </x:c>
      <x:c r="C854" s="2" t="str">
        <x:v>Q4</x:v>
      </x:c>
      <x:c r="D854" s="28" t="n">
        <x:v>46054</x:v>
      </x:c>
      <x:c r="E854" s="2" t="str">
        <x:v>2026Q1</x:v>
      </x:c>
      <x:c r="F854" s="20" t="n">
        <x:v>9100.4</x:v>
      </x:c>
      <x:c r="G854" s="20" t="n">
        <x:f>'Quarterly data'!$E$219</x:f>
        <x:v>9093.1333333333</x:v>
      </x:c>
      <x:c r="H854" s="22" t="n">
        <x:f>100*F854/G854</x:f>
        <x:v>100.07991378109526</x:v>
      </x:c>
      <x:c r="I854" s="24" t="n">
        <x:f>H854/100-1</x:f>
        <x:v>0.0007991378109526437</x:v>
      </x:c>
      <x:c r="J854" s="26" t="n">
        <x:v>3</x:v>
      </x:c>
      <x:c r="K854" s="7" t="b">
        <x:v>0</x:v>
      </x:c>
      <x:c r="L854" s="2" t="str">
        <x:v>May 2026</x:v>
      </x:c>
      <x:c r="M854" s="2" t="str">
        <x:v>https://www.genaiadoptiontracker.com/</x:v>
      </x:c>
    </x:row>
    <x:row r="855" ht="24" customHeight="1">
      <x:c r="A855" s="2" t="str">
        <x:v>RPS</x:v>
      </x:c>
      <x:c r="B855" s="2" t="str">
        <x:v>Quintiles</x:v>
      </x:c>
      <x:c r="C855" s="2" t="str">
        <x:v>Q5</x:v>
      </x:c>
      <x:c r="D855" s="28" t="n">
        <x:v>46054</x:v>
      </x:c>
      <x:c r="E855" s="2" t="str">
        <x:v>2026Q1</x:v>
      </x:c>
      <x:c r="F855" s="20" t="n">
        <x:v>22927.7</x:v>
      </x:c>
      <x:c r="G855" s="20" t="n">
        <x:f>'Quarterly data'!$E$220</x:f>
        <x:v>23079.8333333333</x:v>
      </x:c>
      <x:c r="H855" s="22" t="n">
        <x:f>100*F855/G855</x:f>
        <x:v>99.34083868312177</x:v>
      </x:c>
      <x:c r="I855" s="24" t="n">
        <x:f>H855/100-1</x:f>
        <x:v>-0.006591613168782207</x:v>
      </x:c>
      <x:c r="J855" s="26" t="n">
        <x:v>4</x:v>
      </x:c>
      <x:c r="K855" s="7" t="b">
        <x:v>0</x:v>
      </x:c>
      <x:c r="L855" s="2" t="str">
        <x:v>May 2026</x:v>
      </x:c>
      <x:c r="M855" s="2" t="str">
        <x:v>https://www.genaiadoptiontracker.com/</x:v>
      </x:c>
    </x:row>
    <x:row r="856" ht="24" customHeight="1">
      <x:c r="A856" s="2" t="str">
        <x:v>RPS</x:v>
      </x:c>
      <x:c r="B856" s="2" t="str">
        <x:v>Quintiles</x:v>
      </x:c>
      <x:c r="C856" s="2" t="str">
        <x:v>Q1</x:v>
      </x:c>
      <x:c r="D856" s="28" t="n">
        <x:v>46082</x:v>
      </x:c>
      <x:c r="E856" s="2" t="str">
        <x:v>2026Q1</x:v>
      </x:c>
      <x:c r="F856" s="20" t="n">
        <x:v>27433.3</x:v>
      </x:c>
      <x:c r="G856" s="20" t="n">
        <x:f>'Quarterly data'!$E$216</x:f>
        <x:v>26934</x:v>
      </x:c>
      <x:c r="H856" s="22" t="n">
        <x:f>100*F856/G856</x:f>
        <x:v>101.85379074775376</x:v>
      </x:c>
      <x:c r="I856" s="24" t="n">
        <x:f>H856/100-1</x:f>
        <x:v>0.018537907477537585</x:v>
      </x:c>
      <x:c r="J856" s="26" t="n">
        <x:v>4</x:v>
      </x:c>
      <x:c r="K856" s="7" t="b">
        <x:v>0</x:v>
      </x:c>
      <x:c r="L856" s="2" t="str">
        <x:v>May 2026</x:v>
      </x:c>
      <x:c r="M856" s="2" t="str">
        <x:v>https://www.genaiadoptiontracker.com/</x:v>
      </x:c>
    </x:row>
    <x:row r="857" ht="24" customHeight="1">
      <x:c r="A857" s="2" t="str">
        <x:v>RPS</x:v>
      </x:c>
      <x:c r="B857" s="2" t="str">
        <x:v>Quintiles</x:v>
      </x:c>
      <x:c r="C857" s="2" t="str">
        <x:v>Q2</x:v>
      </x:c>
      <x:c r="D857" s="28" t="n">
        <x:v>46082</x:v>
      </x:c>
      <x:c r="E857" s="2" t="str">
        <x:v>2026Q1</x:v>
      </x:c>
      <x:c r="F857" s="20" t="n">
        <x:v>41879.6</x:v>
      </x:c>
      <x:c r="G857" s="20" t="n">
        <x:f>'Quarterly data'!$E$217</x:f>
        <x:v>39187.3</x:v>
      </x:c>
      <x:c r="H857" s="22" t="n">
        <x:f>100*F857/G857</x:f>
        <x:v>106.8703380942295</x:v>
      </x:c>
      <x:c r="I857" s="24" t="n">
        <x:f>H857/100-1</x:f>
        <x:v>0.068703380942295</x:v>
      </x:c>
      <x:c r="J857" s="26" t="n">
        <x:v>3</x:v>
      </x:c>
      <x:c r="K857" s="7" t="b">
        <x:v>0</x:v>
      </x:c>
      <x:c r="L857" s="2" t="str">
        <x:v>May 2026</x:v>
      </x:c>
      <x:c r="M857" s="2" t="str">
        <x:v>https://www.genaiadoptiontracker.com/</x:v>
      </x:c>
    </x:row>
    <x:row r="858" ht="24" customHeight="1">
      <x:c r="A858" s="2" t="str">
        <x:v>RPS</x:v>
      </x:c>
      <x:c r="B858" s="2" t="str">
        <x:v>Quintiles</x:v>
      </x:c>
      <x:c r="C858" s="2" t="str">
        <x:v>Q3</x:v>
      </x:c>
      <x:c r="D858" s="28" t="n">
        <x:v>46082</x:v>
      </x:c>
      <x:c r="E858" s="2" t="str">
        <x:v>2026Q1</x:v>
      </x:c>
      <x:c r="F858" s="20" t="n">
        <x:v>33973.2</x:v>
      </x:c>
      <x:c r="G858" s="20" t="n">
        <x:f>'Quarterly data'!$E$218</x:f>
        <x:v>34118.5666666667</x:v>
      </x:c>
      <x:c r="H858" s="22" t="n">
        <x:f>100*F858/G858</x:f>
        <x:v>99.57393677147427</x:v>
      </x:c>
      <x:c r="I858" s="24" t="n">
        <x:f>H858/100-1</x:f>
        <x:v>-0.004260632285257304</x:v>
      </x:c>
      <x:c r="J858" s="26" t="n">
        <x:v>4</x:v>
      </x:c>
      <x:c r="K858" s="7" t="b">
        <x:v>0</x:v>
      </x:c>
      <x:c r="L858" s="2" t="str">
        <x:v>May 2026</x:v>
      </x:c>
      <x:c r="M858" s="2" t="str">
        <x:v>https://www.genaiadoptiontracker.com/</x:v>
      </x:c>
    </x:row>
    <x:row r="859" ht="24" customHeight="1">
      <x:c r="A859" s="2" t="str">
        <x:v>RPS</x:v>
      </x:c>
      <x:c r="B859" s="2" t="str">
        <x:v>Quintiles</x:v>
      </x:c>
      <x:c r="C859" s="2" t="str">
        <x:v>Q4</x:v>
      </x:c>
      <x:c r="D859" s="28" t="n">
        <x:v>46082</x:v>
      </x:c>
      <x:c r="E859" s="2" t="str">
        <x:v>2026Q1</x:v>
      </x:c>
      <x:c r="F859" s="20" t="n">
        <x:v>9100.8</x:v>
      </x:c>
      <x:c r="G859" s="20" t="n">
        <x:f>'Quarterly data'!$E$219</x:f>
        <x:v>9093.1333333333</x:v>
      </x:c>
      <x:c r="H859" s="22" t="n">
        <x:f>100*F859/G859</x:f>
        <x:v>100.08431270482524</x:v>
      </x:c>
      <x:c r="I859" s="24" t="n">
        <x:f>H859/100-1</x:f>
        <x:v>0.0008431270482522901</x:v>
      </x:c>
      <x:c r="J859" s="26" t="n">
        <x:v>3</x:v>
      </x:c>
      <x:c r="K859" s="7" t="b">
        <x:v>0</x:v>
      </x:c>
      <x:c r="L859" s="2" t="str">
        <x:v>May 2026</x:v>
      </x:c>
      <x:c r="M859" s="2" t="str">
        <x:v>https://www.genaiadoptiontracker.com/</x:v>
      </x:c>
    </x:row>
    <x:row r="860" ht="24" customHeight="1">
      <x:c r="A860" s="2" t="str">
        <x:v>RPS</x:v>
      </x:c>
      <x:c r="B860" s="2" t="str">
        <x:v>Quintiles</x:v>
      </x:c>
      <x:c r="C860" s="2" t="str">
        <x:v>Q5</x:v>
      </x:c>
      <x:c r="D860" s="28" t="n">
        <x:v>46082</x:v>
      </x:c>
      <x:c r="E860" s="2" t="str">
        <x:v>2026Q1</x:v>
      </x:c>
      <x:c r="F860" s="20" t="n">
        <x:v>22892.8</x:v>
      </x:c>
      <x:c r="G860" s="20" t="n">
        <x:f>'Quarterly data'!$E$220</x:f>
        <x:v>23079.8333333333</x:v>
      </x:c>
      <x:c r="H860" s="22" t="n">
        <x:f>100*F860/G860</x:f>
        <x:v>99.18962441958723</x:v>
      </x:c>
      <x:c r="I860" s="24" t="n">
        <x:f>H860/100-1</x:f>
        <x:v>-0.0081037558041277</x:v>
      </x:c>
      <x:c r="J860" s="26" t="n">
        <x:v>4</x:v>
      </x:c>
      <x:c r="K860" s="7" t="b">
        <x:v>0</x:v>
      </x:c>
      <x:c r="L860" s="2" t="str">
        <x:v>May 2026</x:v>
      </x:c>
      <x:c r="M860" s="2" t="str">
        <x:v>https://www.genaiadoptiontracker.com/</x:v>
      </x:c>
    </x:row>
    <x:row r="861" ht="24" customHeight="1">
      <x:c r="A861" s="2" t="str">
        <x:v>RPS</x:v>
      </x:c>
      <x:c r="B861" s="2" t="str">
        <x:v>Quintiles</x:v>
      </x:c>
      <x:c r="C861" s="2" t="str">
        <x:v>Q1</x:v>
      </x:c>
      <x:c r="D861" s="28" t="n">
        <x:v>46113</x:v>
      </x:c>
      <x:c r="E861" s="2" t="str">
        <x:v>2026Q2</x:v>
      </x:c>
      <x:c r="F861" s="20" t="n">
        <x:v>27478.6</x:v>
      </x:c>
      <x:c r="G861" s="20" t="n">
        <x:f>'Quarterly data'!$E$216</x:f>
        <x:v>26934</x:v>
      </x:c>
      <x:c r="H861" s="22" t="n">
        <x:f>100*F861/G861</x:f>
        <x:v>102.02197965396896</x:v>
      </x:c>
      <x:c r="I861" s="24" t="n">
        <x:f>H861/100-1</x:f>
        <x:v>0.020219796539689527</x:v>
      </x:c>
      <x:c r="J861" s="26" t="n">
        <x:v>4</x:v>
      </x:c>
      <x:c r="K861" s="7" t="b">
        <x:v>0</x:v>
      </x:c>
      <x:c r="L861" s="2" t="str">
        <x:v>May 2026</x:v>
      </x:c>
      <x:c r="M861" s="2" t="str">
        <x:v>https://www.genaiadoptiontracker.com/</x:v>
      </x:c>
    </x:row>
    <x:row r="862" ht="24" customHeight="1">
      <x:c r="A862" s="2" t="str">
        <x:v>RPS</x:v>
      </x:c>
      <x:c r="B862" s="2" t="str">
        <x:v>Quintiles</x:v>
      </x:c>
      <x:c r="C862" s="2" t="str">
        <x:v>Q2</x:v>
      </x:c>
      <x:c r="D862" s="28" t="n">
        <x:v>46113</x:v>
      </x:c>
      <x:c r="E862" s="2" t="str">
        <x:v>2026Q2</x:v>
      </x:c>
      <x:c r="F862" s="20" t="n">
        <x:v>41960.7</x:v>
      </x:c>
      <x:c r="G862" s="20" t="n">
        <x:f>'Quarterly data'!$E$217</x:f>
        <x:v>39187.3</x:v>
      </x:c>
      <x:c r="H862" s="22" t="n">
        <x:f>100*F862/G862</x:f>
        <x:v>107.07729289846455</x:v>
      </x:c>
      <x:c r="I862" s="24" t="n">
        <x:f>H862/100-1</x:f>
        <x:v>0.07077292898464549</x:v>
      </x:c>
      <x:c r="J862" s="26" t="n">
        <x:v>3</x:v>
      </x:c>
      <x:c r="K862" s="7" t="b">
        <x:v>0</x:v>
      </x:c>
      <x:c r="L862" s="2" t="str">
        <x:v>May 2026</x:v>
      </x:c>
      <x:c r="M862" s="2" t="str">
        <x:v>https://www.genaiadoptiontracker.com/</x:v>
      </x:c>
    </x:row>
    <x:row r="863" ht="24" customHeight="1">
      <x:c r="A863" s="2" t="str">
        <x:v>RPS</x:v>
      </x:c>
      <x:c r="B863" s="2" t="str">
        <x:v>Quintiles</x:v>
      </x:c>
      <x:c r="C863" s="2" t="str">
        <x:v>Q3</x:v>
      </x:c>
      <x:c r="D863" s="28" t="n">
        <x:v>46113</x:v>
      </x:c>
      <x:c r="E863" s="2" t="str">
        <x:v>2026Q2</x:v>
      </x:c>
      <x:c r="F863" s="20" t="n">
        <x:v>33993.3</x:v>
      </x:c>
      <x:c r="G863" s="20" t="n">
        <x:f>'Quarterly data'!$E$218</x:f>
        <x:v>34118.5666666667</x:v>
      </x:c>
      <x:c r="H863" s="22" t="n">
        <x:f>100*F863/G863</x:f>
        <x:v>99.6328489766568</x:v>
      </x:c>
      <x:c r="I863" s="24" t="n">
        <x:f>H863/100-1</x:f>
        <x:v>-0.0036715102334319294</x:v>
      </x:c>
      <x:c r="J863" s="26" t="n">
        <x:v>4</x:v>
      </x:c>
      <x:c r="K863" s="7" t="b">
        <x:v>0</x:v>
      </x:c>
      <x:c r="L863" s="2" t="str">
        <x:v>May 2026</x:v>
      </x:c>
      <x:c r="M863" s="2" t="str">
        <x:v>https://www.genaiadoptiontracker.com/</x:v>
      </x:c>
    </x:row>
    <x:row r="864" ht="24" customHeight="1">
      <x:c r="A864" s="2" t="str">
        <x:v>RPS</x:v>
      </x:c>
      <x:c r="B864" s="2" t="str">
        <x:v>Quintiles</x:v>
      </x:c>
      <x:c r="C864" s="2" t="str">
        <x:v>Q4</x:v>
      </x:c>
      <x:c r="D864" s="28" t="n">
        <x:v>46113</x:v>
      </x:c>
      <x:c r="E864" s="2" t="str">
        <x:v>2026Q2</x:v>
      </x:c>
      <x:c r="F864" s="20" t="n">
        <x:v>9100.1</x:v>
      </x:c>
      <x:c r="G864" s="20" t="n">
        <x:f>'Quarterly data'!$E$219</x:f>
        <x:v>9093.1333333333</x:v>
      </x:c>
      <x:c r="H864" s="22" t="n">
        <x:f>100*F864/G864</x:f>
        <x:v>100.07661458829776</x:v>
      </x:c>
      <x:c r="I864" s="24" t="n">
        <x:f>H864/100-1</x:f>
        <x:v>0.0007661458829775203</x:v>
      </x:c>
      <x:c r="J864" s="26" t="n">
        <x:v>3</x:v>
      </x:c>
      <x:c r="K864" s="7" t="b">
        <x:v>0</x:v>
      </x:c>
      <x:c r="L864" s="2" t="str">
        <x:v>May 2026</x:v>
      </x:c>
      <x:c r="M864" s="2" t="str">
        <x:v>https://www.genaiadoptiontracker.com/</x:v>
      </x:c>
    </x:row>
    <x:row r="865" ht="24" customHeight="1">
      <x:c r="A865" s="2" t="str">
        <x:v>RPS</x:v>
      </x:c>
      <x:c r="B865" s="2" t="str">
        <x:v>Quintiles</x:v>
      </x:c>
      <x:c r="C865" s="2" t="str">
        <x:v>Q5</x:v>
      </x:c>
      <x:c r="D865" s="28" t="n">
        <x:v>46113</x:v>
      </x:c>
      <x:c r="E865" s="2" t="str">
        <x:v>2026Q2</x:v>
      </x:c>
      <x:c r="F865" s="20" t="n">
        <x:v>22894.1</x:v>
      </x:c>
      <x:c r="G865" s="20" t="n">
        <x:f>'Quarterly data'!$E$220</x:f>
        <x:v>23079.8333333333</x:v>
      </x:c>
      <x:c r="H865" s="22" t="n">
        <x:f>100*F865/G865</x:f>
        <x:v>99.19525704258422</x:v>
      </x:c>
      <x:c r="I865" s="24" t="n">
        <x:f>H865/100-1</x:f>
        <x:v>-0.008047429574157827</x:v>
      </x:c>
      <x:c r="J865" s="26" t="n">
        <x:v>4</x:v>
      </x:c>
      <x:c r="K865" s="7" t="b">
        <x:v>0</x:v>
      </x:c>
      <x:c r="L865" s="2" t="str">
        <x:v>May 2026</x:v>
      </x:c>
      <x:c r="M865" s="2" t="str">
        <x:v>https://www.genaiadoptiontracker.com/</x:v>
      </x:c>
    </x:row>
    <x:row r="866" ht="24" customHeight="1">
      <x:c r="A866" s="2" t="str">
        <x:v>RPS</x:v>
      </x:c>
      <x:c r="B866" s="2" t="str">
        <x:v>Quintiles</x:v>
      </x:c>
      <x:c r="C866" s="2" t="str">
        <x:v>Q1</x:v>
      </x:c>
      <x:c r="D866" s="28" t="n">
        <x:v>46143</x:v>
      </x:c>
      <x:c r="E866" s="2" t="str">
        <x:v>2026Q2</x:v>
      </x:c>
      <x:c r="F866" s="20" t="n">
        <x:v>27524.6</x:v>
      </x:c>
      <x:c r="G866" s="20" t="n">
        <x:f>'Quarterly data'!$E$216</x:f>
        <x:v>26934</x:v>
      </x:c>
      <x:c r="H866" s="22" t="n">
        <x:f>100*F866/G866</x:f>
        <x:v>102.1927675057548</x:v>
      </x:c>
      <x:c r="I866" s="24" t="n">
        <x:f>H866/100-1</x:f>
        <x:v>0.021927675057548113</x:v>
      </x:c>
      <x:c r="J866" s="26" t="n">
        <x:v>4</x:v>
      </x:c>
      <x:c r="K866" s="7" t="b">
        <x:v>0</x:v>
      </x:c>
      <x:c r="L866" s="2" t="str">
        <x:v>May 2026</x:v>
      </x:c>
      <x:c r="M866" s="2" t="str">
        <x:v>https://www.genaiadoptiontracker.com/</x:v>
      </x:c>
    </x:row>
    <x:row r="867" ht="24" customHeight="1">
      <x:c r="A867" s="2" t="str">
        <x:v>RPS</x:v>
      </x:c>
      <x:c r="B867" s="2" t="str">
        <x:v>Quintiles</x:v>
      </x:c>
      <x:c r="C867" s="2" t="str">
        <x:v>Q2</x:v>
      </x:c>
      <x:c r="D867" s="28" t="n">
        <x:v>46143</x:v>
      </x:c>
      <x:c r="E867" s="2" t="str">
        <x:v>2026Q2</x:v>
      </x:c>
      <x:c r="F867" s="20" t="n">
        <x:v>42002.9</x:v>
      </x:c>
      <x:c r="G867" s="20" t="n">
        <x:f>'Quarterly data'!$E$217</x:f>
        <x:v>39187.3</x:v>
      </x:c>
      <x:c r="H867" s="22" t="n">
        <x:f>100*F867/G867</x:f>
        <x:v>107.1849808483871</x:v>
      </x:c>
      <x:c r="I867" s="24" t="n">
        <x:f>H867/100-1</x:f>
        <x:v>0.07184980848387101</x:v>
      </x:c>
      <x:c r="J867" s="26" t="n">
        <x:v>3</x:v>
      </x:c>
      <x:c r="K867" s="7" t="b">
        <x:v>0</x:v>
      </x:c>
      <x:c r="L867" s="2" t="str">
        <x:v>May 2026</x:v>
      </x:c>
      <x:c r="M867" s="2" t="str">
        <x:v>https://www.genaiadoptiontracker.com/</x:v>
      </x:c>
    </x:row>
    <x:row r="868" ht="24" customHeight="1">
      <x:c r="A868" s="2" t="str">
        <x:v>RPS</x:v>
      </x:c>
      <x:c r="B868" s="2" t="str">
        <x:v>Quintiles</x:v>
      </x:c>
      <x:c r="C868" s="2" t="str">
        <x:v>Q3</x:v>
      </x:c>
      <x:c r="D868" s="28" t="n">
        <x:v>46143</x:v>
      </x:c>
      <x:c r="E868" s="2" t="str">
        <x:v>2026Q2</x:v>
      </x:c>
      <x:c r="F868" s="20" t="n">
        <x:v>33978</x:v>
      </x:c>
      <x:c r="G868" s="20" t="n">
        <x:f>'Quarterly data'!$E$218</x:f>
        <x:v>34118.5666666667</x:v>
      </x:c>
      <x:c r="H868" s="22" t="n">
        <x:f>100*F868/G868</x:f>
        <x:v>99.58800535778651</x:v>
      </x:c>
      <x:c r="I868" s="24" t="n">
        <x:f>H868/100-1</x:f>
        <x:v>-0.004119946422134868</x:v>
      </x:c>
      <x:c r="J868" s="26" t="n">
        <x:v>4</x:v>
      </x:c>
      <x:c r="K868" s="7" t="b">
        <x:v>0</x:v>
      </x:c>
      <x:c r="L868" s="2" t="str">
        <x:v>May 2026</x:v>
      </x:c>
      <x:c r="M868" s="2" t="str">
        <x:v>https://www.genaiadoptiontracker.com/</x:v>
      </x:c>
    </x:row>
    <x:row r="869" ht="24" customHeight="1">
      <x:c r="A869" s="2" t="str">
        <x:v>RPS</x:v>
      </x:c>
      <x:c r="B869" s="2" t="str">
        <x:v>Quintiles</x:v>
      </x:c>
      <x:c r="C869" s="2" t="str">
        <x:v>Q4</x:v>
      </x:c>
      <x:c r="D869" s="28" t="n">
        <x:v>46143</x:v>
      </x:c>
      <x:c r="E869" s="2" t="str">
        <x:v>2026Q2</x:v>
      </x:c>
      <x:c r="F869" s="20" t="n">
        <x:v>9101.1</x:v>
      </x:c>
      <x:c r="G869" s="20" t="n">
        <x:f>'Quarterly data'!$E$219</x:f>
        <x:v>9093.1333333333</x:v>
      </x:c>
      <x:c r="H869" s="22" t="n">
        <x:f>100*F869/G869</x:f>
        <x:v>100.08761189762275</x:v>
      </x:c>
      <x:c r="I869" s="24" t="n">
        <x:f>H869/100-1</x:f>
        <x:v>0.0008761189762274135</x:v>
      </x:c>
      <x:c r="J869" s="26" t="n">
        <x:v>3</x:v>
      </x:c>
      <x:c r="K869" s="7" t="b">
        <x:v>0</x:v>
      </x:c>
      <x:c r="L869" s="2" t="str">
        <x:v>May 2026</x:v>
      </x:c>
      <x:c r="M869" s="2" t="str">
        <x:v>https://www.genaiadoptiontracker.com/</x:v>
      </x:c>
    </x:row>
    <x:row r="870" ht="24" customHeight="1">
      <x:c r="A870" s="2" t="str">
        <x:v>RPS</x:v>
      </x:c>
      <x:c r="B870" s="2" t="str">
        <x:v>Quintiles</x:v>
      </x:c>
      <x:c r="C870" s="2" t="str">
        <x:v>Q5</x:v>
      </x:c>
      <x:c r="D870" s="28" t="n">
        <x:v>46143</x:v>
      </x:c>
      <x:c r="E870" s="2" t="str">
        <x:v>2026Q2</x:v>
      </x:c>
      <x:c r="F870" s="20" t="n">
        <x:v>22881.9</x:v>
      </x:c>
      <x:c r="G870" s="20" t="n">
        <x:f>'Quarterly data'!$E$220</x:f>
        <x:v>23079.8333333333</x:v>
      </x:c>
      <x:c r="H870" s="22" t="n">
        <x:f>100*F870/G870</x:f>
        <x:v>99.14239704215095</x:v>
      </x:c>
      <x:c r="I870" s="24" t="n">
        <x:f>H870/100-1</x:f>
        <x:v>-0.008576029578490574</x:v>
      </x:c>
      <x:c r="J870" s="26" t="n">
        <x:v>4</x:v>
      </x:c>
      <x:c r="K870" s="7" t="b">
        <x:v>0</x:v>
      </x:c>
      <x:c r="L870" s="2" t="str">
        <x:v>May 2026</x:v>
      </x:c>
      <x:c r="M870" s="2" t="str">
        <x:v>https://www.genaiadoptiontracker.com/</x:v>
      </x:c>
    </x:row>
    <x:row r="871" ht="24" customHeight="1">
      <x:c r="A871" s="2" t="str">
        <x:v>RPS</x:v>
      </x:c>
      <x:c r="B871" s="2" t="str">
        <x:v>Quintiles</x:v>
      </x:c>
      <x:c r="C871" s="2" t="str">
        <x:v>Q1</x:v>
      </x:c>
      <x:c r="D871" s="28" t="n">
        <x:v>46174</x:v>
      </x:c>
      <x:c r="E871" s="2" t="str">
        <x:v>2026Q2</x:v>
      </x:c>
      <x:c r="F871" s="20" t="n">
        <x:v>27476.1</x:v>
      </x:c>
      <x:c r="G871" s="20" t="n">
        <x:f>'Quarterly data'!$E$216</x:f>
        <x:v>26934</x:v>
      </x:c>
      <x:c r="H871" s="22" t="n">
        <x:f>100*F871/G871</x:f>
        <x:v>102.01269770550233</x:v>
      </x:c>
      <x:c r="I871" s="24" t="n">
        <x:f>H871/100-1</x:f>
        <x:v>0.02012697705502342</x:v>
      </x:c>
      <x:c r="J871" s="26" t="n">
        <x:v>4</x:v>
      </x:c>
      <x:c r="K871" s="7" t="b">
        <x:v>0</x:v>
      </x:c>
      <x:c r="L871" s="2" t="str">
        <x:v>May 2026</x:v>
      </x:c>
      <x:c r="M871" s="2" t="str">
        <x:v>https://www.genaiadoptiontracker.com/</x:v>
      </x:c>
    </x:row>
    <x:row r="872" ht="24" customHeight="1">
      <x:c r="A872" s="2" t="str">
        <x:v>RPS</x:v>
      </x:c>
      <x:c r="B872" s="2" t="str">
        <x:v>Quintiles</x:v>
      </x:c>
      <x:c r="C872" s="2" t="str">
        <x:v>Q2</x:v>
      </x:c>
      <x:c r="D872" s="28" t="n">
        <x:v>46174</x:v>
      </x:c>
      <x:c r="E872" s="2" t="str">
        <x:v>2026Q2</x:v>
      </x:c>
      <x:c r="F872" s="20" t="n">
        <x:v>42026.5</x:v>
      </x:c>
      <x:c r="G872" s="20" t="n">
        <x:f>'Quarterly data'!$E$217</x:f>
        <x:v>39187.3</x:v>
      </x:c>
      <x:c r="H872" s="22" t="n">
        <x:f>100*F872/G872</x:f>
        <x:v>107.24520444123478</x:v>
      </x:c>
      <x:c r="I872" s="24" t="n">
        <x:f>H872/100-1</x:f>
        <x:v>0.07245204441234776</x:v>
      </x:c>
      <x:c r="J872" s="26" t="n">
        <x:v>3</x:v>
      </x:c>
      <x:c r="K872" s="7" t="b">
        <x:v>0</x:v>
      </x:c>
      <x:c r="L872" s="2" t="str">
        <x:v>May 2026</x:v>
      </x:c>
      <x:c r="M872" s="2" t="str">
        <x:v>https://www.genaiadoptiontracker.com/</x:v>
      </x:c>
    </x:row>
    <x:row r="873" ht="24" customHeight="1">
      <x:c r="A873" s="2" t="str">
        <x:v>RPS</x:v>
      </x:c>
      <x:c r="B873" s="2" t="str">
        <x:v>Quintiles</x:v>
      </x:c>
      <x:c r="C873" s="2" t="str">
        <x:v>Q3</x:v>
      </x:c>
      <x:c r="D873" s="28" t="n">
        <x:v>46174</x:v>
      </x:c>
      <x:c r="E873" s="2" t="str">
        <x:v>2026Q2</x:v>
      </x:c>
      <x:c r="F873" s="20" t="n">
        <x:v>34024.4</x:v>
      </x:c>
      <x:c r="G873" s="20" t="n">
        <x:f>'Quarterly data'!$E$218</x:f>
        <x:v>34118.5666666667</x:v>
      </x:c>
      <x:c r="H873" s="22" t="n">
        <x:f>100*F873/G873</x:f>
        <x:v>99.72400169213819</x:v>
      </x:c>
      <x:c r="I873" s="24" t="n">
        <x:f>H873/100-1</x:f>
        <x:v>-0.0027599830786181334</x:v>
      </x:c>
      <x:c r="J873" s="26" t="n">
        <x:v>4</x:v>
      </x:c>
      <x:c r="K873" s="7" t="b">
        <x:v>0</x:v>
      </x:c>
      <x:c r="L873" s="2" t="str">
        <x:v>May 2026</x:v>
      </x:c>
      <x:c r="M873" s="2" t="str">
        <x:v>https://www.genaiadoptiontracker.com/</x:v>
      </x:c>
    </x:row>
    <x:row r="874" ht="24" customHeight="1">
      <x:c r="A874" s="2" t="str">
        <x:v>RPS</x:v>
      </x:c>
      <x:c r="B874" s="2" t="str">
        <x:v>Quintiles</x:v>
      </x:c>
      <x:c r="C874" s="2" t="str">
        <x:v>Q4</x:v>
      </x:c>
      <x:c r="D874" s="28" t="n">
        <x:v>46174</x:v>
      </x:c>
      <x:c r="E874" s="2" t="str">
        <x:v>2026Q2</x:v>
      </x:c>
      <x:c r="F874" s="20" t="n">
        <x:v>9103.6</x:v>
      </x:c>
      <x:c r="G874" s="20" t="n">
        <x:f>'Quarterly data'!$E$219</x:f>
        <x:v>9093.1333333333</x:v>
      </x:c>
      <x:c r="H874" s="22" t="n">
        <x:f>100*F874/G874</x:f>
        <x:v>100.11510517093521</x:v>
      </x:c>
      <x:c r="I874" s="24" t="n">
        <x:f>H874/100-1</x:f>
        <x:v>0.0011510517093520356</x:v>
      </x:c>
      <x:c r="J874" s="26" t="n">
        <x:v>3</x:v>
      </x:c>
      <x:c r="K874" s="7" t="b">
        <x:v>0</x:v>
      </x:c>
      <x:c r="L874" s="2" t="str">
        <x:v>May 2026</x:v>
      </x:c>
      <x:c r="M874" s="2" t="str">
        <x:v>https://www.genaiadoptiontracker.com/</x:v>
      </x:c>
    </x:row>
    <x:row r="875" ht="24" customHeight="1">
      <x:c r="A875" s="2" t="str">
        <x:v>RPS</x:v>
      </x:c>
      <x:c r="B875" s="2" t="str">
        <x:v>Quintiles</x:v>
      </x:c>
      <x:c r="C875" s="2" t="str">
        <x:v>Q5</x:v>
      </x:c>
      <x:c r="D875" s="28" t="n">
        <x:v>46174</x:v>
      </x:c>
      <x:c r="E875" s="2" t="str">
        <x:v>2026Q2</x:v>
      </x:c>
      <x:c r="F875" s="20" t="n">
        <x:v>22884.9</x:v>
      </x:c>
      <x:c r="G875" s="20" t="n">
        <x:f>'Quarterly data'!$E$220</x:f>
        <x:v>23079.8333333333</x:v>
      </x:c>
      <x:c r="H875" s="22" t="n">
        <x:f>100*F875/G875</x:f>
        <x:v>99.15539540291323</x:v>
      </x:c>
      <x:c r="I875" s="24" t="n">
        <x:f>H875/100-1</x:f>
        <x:v>-0.008446045970867733</x:v>
      </x:c>
      <x:c r="J875" s="26" t="n">
        <x:v>4</x:v>
      </x:c>
      <x:c r="K875" s="7" t="b">
        <x:v>0</x:v>
      </x:c>
      <x:c r="L875" s="2" t="str">
        <x:v>May 2026</x:v>
      </x:c>
      <x:c r="M875" s="2" t="str">
        <x:v>https://www.genaiadoptiontracker.com/</x:v>
      </x:c>
    </x:row>
    <x:row r="876" ht="24" customHeight="1">
      <x:c r="A876" s="2" t="str">
        <x:v>RPS</x:v>
      </x:c>
      <x:c r="B876" s="2" t="str">
        <x:v>Quintiles</x:v>
      </x:c>
      <x:c r="C876" s="2" t="str">
        <x:v>Q1</x:v>
      </x:c>
      <x:c r="D876" s="28" t="n">
        <x:v>46204</x:v>
      </x:c>
      <x:c r="E876" s="2" t="str">
        <x:v>2026Q3</x:v>
      </x:c>
      <x:c r="F876" s="20" t="n">
        <x:v>27485.8</x:v>
      </x:c>
      <x:c r="G876" s="20" t="n">
        <x:f>'Quarterly data'!$E$216</x:f>
        <x:v>26934</x:v>
      </x:c>
      <x:c r="H876" s="22" t="n">
        <x:f>100*F876/G876</x:f>
        <x:v>102.04871166555283</x:v>
      </x:c>
      <x:c r="I876" s="24" t="n">
        <x:f>H876/100-1</x:f>
        <x:v>0.02048711665552827</x:v>
      </x:c>
      <x:c r="J876" s="26" t="n">
        <x:v>4</x:v>
      </x:c>
      <x:c r="K876" s="7" t="b">
        <x:v>1</x:v>
      </x:c>
      <x:c r="L876" s="2" t="str">
        <x:v>May 2026</x:v>
      </x:c>
      <x:c r="M876" s="2" t="str">
        <x:v>https://www.genaiadoptiontracker.com/</x:v>
      </x:c>
    </x:row>
    <x:row r="877" ht="24" customHeight="1">
      <x:c r="A877" s="2" t="str">
        <x:v>RPS</x:v>
      </x:c>
      <x:c r="B877" s="2" t="str">
        <x:v>Quintiles</x:v>
      </x:c>
      <x:c r="C877" s="2" t="str">
        <x:v>Q2</x:v>
      </x:c>
      <x:c r="D877" s="28" t="n">
        <x:v>46204</x:v>
      </x:c>
      <x:c r="E877" s="2" t="str">
        <x:v>2026Q3</x:v>
      </x:c>
      <x:c r="F877" s="20" t="n">
        <x:v>42040.8</x:v>
      </x:c>
      <x:c r="G877" s="20" t="n">
        <x:f>'Quarterly data'!$E$217</x:f>
        <x:v>39187.3</x:v>
      </x:c>
      <x:c r="H877" s="22" t="n">
        <x:f>100*F877/G877</x:f>
        <x:v>107.28169585554502</x:v>
      </x:c>
      <x:c r="I877" s="24" t="n">
        <x:f>H877/100-1</x:f>
        <x:v>0.07281695855545034</x:v>
      </x:c>
      <x:c r="J877" s="26" t="n">
        <x:v>3</x:v>
      </x:c>
      <x:c r="K877" s="7" t="b">
        <x:v>1</x:v>
      </x:c>
      <x:c r="L877" s="2" t="str">
        <x:v>May 2026</x:v>
      </x:c>
      <x:c r="M877" s="2" t="str">
        <x:v>https://www.genaiadoptiontracker.com/</x:v>
      </x:c>
    </x:row>
    <x:row r="878" ht="24" customHeight="1">
      <x:c r="A878" s="2" t="str">
        <x:v>RPS</x:v>
      </x:c>
      <x:c r="B878" s="2" t="str">
        <x:v>Quintiles</x:v>
      </x:c>
      <x:c r="C878" s="2" t="str">
        <x:v>Q3</x:v>
      </x:c>
      <x:c r="D878" s="28" t="n">
        <x:v>46204</x:v>
      </x:c>
      <x:c r="E878" s="2" t="str">
        <x:v>2026Q3</x:v>
      </x:c>
      <x:c r="F878" s="20" t="n">
        <x:v>34061.6</x:v>
      </x:c>
      <x:c r="G878" s="20" t="n">
        <x:f>'Quarterly data'!$E$218</x:f>
        <x:v>34118.5666666667</x:v>
      </x:c>
      <x:c r="H878" s="22" t="n">
        <x:f>100*F878/G878</x:f>
        <x:v>99.83303323605807</x:v>
      </x:c>
      <x:c r="I878" s="24" t="n">
        <x:f>H878/100-1</x:f>
        <x:v>-0.0016696676394193366</x:v>
      </x:c>
      <x:c r="J878" s="26" t="n">
        <x:v>4</x:v>
      </x:c>
      <x:c r="K878" s="7" t="b">
        <x:v>1</x:v>
      </x:c>
      <x:c r="L878" s="2" t="str">
        <x:v>May 2026</x:v>
      </x:c>
      <x:c r="M878" s="2" t="str">
        <x:v>https://www.genaiadoptiontracker.com/</x:v>
      </x:c>
    </x:row>
    <x:row r="879" ht="24" customHeight="1">
      <x:c r="A879" s="2" t="str">
        <x:v>RPS</x:v>
      </x:c>
      <x:c r="B879" s="2" t="str">
        <x:v>Quintiles</x:v>
      </x:c>
      <x:c r="C879" s="2" t="str">
        <x:v>Q4</x:v>
      </x:c>
      <x:c r="D879" s="28" t="n">
        <x:v>46204</x:v>
      </x:c>
      <x:c r="E879" s="2" t="str">
        <x:v>2026Q3</x:v>
      </x:c>
      <x:c r="F879" s="20" t="n">
        <x:v>9112.1</x:v>
      </x:c>
      <x:c r="G879" s="20" t="n">
        <x:f>'Quarterly data'!$E$219</x:f>
        <x:v>9093.1333333333</x:v>
      </x:c>
      <x:c r="H879" s="22" t="n">
        <x:f>100*F879/G879</x:f>
        <x:v>100.20858230019758</x:v>
      </x:c>
      <x:c r="I879" s="24" t="n">
        <x:f>H879/100-1</x:f>
        <x:v>0.002085823001975795</x:v>
      </x:c>
      <x:c r="J879" s="26" t="n">
        <x:v>3</x:v>
      </x:c>
      <x:c r="K879" s="7" t="b">
        <x:v>1</x:v>
      </x:c>
      <x:c r="L879" s="2" t="str">
        <x:v>May 2026</x:v>
      </x:c>
      <x:c r="M879" s="2" t="str">
        <x:v>https://www.genaiadoptiontracker.com/</x:v>
      </x:c>
    </x:row>
    <x:row r="880" ht="24" customHeight="1">
      <x:c r="A880" s="2" t="str">
        <x:v>RPS</x:v>
      </x:c>
      <x:c r="B880" s="2" t="str">
        <x:v>Quintiles</x:v>
      </x:c>
      <x:c r="C880" s="2" t="str">
        <x:v>Q5</x:v>
      </x:c>
      <x:c r="D880" s="28" t="n">
        <x:v>46204</x:v>
      </x:c>
      <x:c r="E880" s="2" t="str">
        <x:v>2026Q3</x:v>
      </x:c>
      <x:c r="F880" s="20" t="n">
        <x:v>22885.1</x:v>
      </x:c>
      <x:c r="G880" s="20" t="n">
        <x:f>'Quarterly data'!$E$220</x:f>
        <x:v>23079.8333333333</x:v>
      </x:c>
      <x:c r="H880" s="22" t="n">
        <x:f>100*F880/G880</x:f>
        <x:v>99.15626196029737</x:v>
      </x:c>
      <x:c r="I880" s="24" t="n">
        <x:f>H880/100-1</x:f>
        <x:v>-0.00843738039702624</x:v>
      </x:c>
      <x:c r="J880" s="26" t="n">
        <x:v>4</x:v>
      </x:c>
      <x:c r="K880" s="7" t="b">
        <x:v>1</x:v>
      </x:c>
      <x:c r="L880" s="2" t="str">
        <x:v>May 2026</x:v>
      </x:c>
      <x:c r="M880" s="2" t="str">
        <x:v>https://www.genaiadoptiontracker.com/</x:v>
      </x:c>
    </x:row>
    <x:row r="881" ht="24" customHeight="1">
      <x:c r="A881" s="2" t="str">
        <x:v>RPS</x:v>
      </x:c>
      <x:c r="B881" s="2" t="str">
        <x:v>Quintiles</x:v>
      </x:c>
      <x:c r="C881" s="2" t="str">
        <x:v>Q1</x:v>
      </x:c>
      <x:c r="D881" s="28" t="n">
        <x:v>46235</x:v>
      </x:c>
      <x:c r="E881" s="2" t="str">
        <x:v>2026Q3</x:v>
      </x:c>
      <x:c r="F881" s="20" t="n">
        <x:v>27564.6</x:v>
      </x:c>
      <x:c r="G881" s="20" t="n">
        <x:f>'Quarterly data'!$E$216</x:f>
        <x:v>26934</x:v>
      </x:c>
      <x:c r="H881" s="22" t="n">
        <x:f>100*F881/G881</x:f>
        <x:v>102.34127868122076</x:v>
      </x:c>
      <x:c r="I881" s="24" t="n">
        <x:f>H881/100-1</x:f>
        <x:v>0.023412786812207598</x:v>
      </x:c>
      <x:c r="J881" s="26" t="n">
        <x:v>4</x:v>
      </x:c>
      <x:c r="K881" s="7" t="b">
        <x:v>1</x:v>
      </x:c>
      <x:c r="L881" s="2" t="str">
        <x:v>May 2026</x:v>
      </x:c>
      <x:c r="M881" s="2" t="str">
        <x:v>https://www.genaiadoptiontracker.com/</x:v>
      </x:c>
    </x:row>
    <x:row r="882" ht="24" customHeight="1">
      <x:c r="A882" s="2" t="str">
        <x:v>RPS</x:v>
      </x:c>
      <x:c r="B882" s="2" t="str">
        <x:v>Quintiles</x:v>
      </x:c>
      <x:c r="C882" s="2" t="str">
        <x:v>Q2</x:v>
      </x:c>
      <x:c r="D882" s="28" t="n">
        <x:v>46235</x:v>
      </x:c>
      <x:c r="E882" s="2" t="str">
        <x:v>2026Q3</x:v>
      </x:c>
      <x:c r="F882" s="20" t="n">
        <x:v>42064.3</x:v>
      </x:c>
      <x:c r="G882" s="20" t="n">
        <x:f>'Quarterly data'!$E$217</x:f>
        <x:v>39187.3</x:v>
      </x:c>
      <x:c r="H882" s="22" t="n">
        <x:f>100*F882/G882</x:f>
        <x:v>107.34166426367726</x:v>
      </x:c>
      <x:c r="I882" s="24" t="n">
        <x:f>H882/100-1</x:f>
        <x:v>0.07341664263677261</x:v>
      </x:c>
      <x:c r="J882" s="26" t="n">
        <x:v>3</x:v>
      </x:c>
      <x:c r="K882" s="7" t="b">
        <x:v>1</x:v>
      </x:c>
      <x:c r="L882" s="2" t="str">
        <x:v>May 2026</x:v>
      </x:c>
      <x:c r="M882" s="2" t="str">
        <x:v>https://www.genaiadoptiontracker.com/</x:v>
      </x:c>
    </x:row>
    <x:row r="883" ht="24" customHeight="1">
      <x:c r="A883" s="2" t="str">
        <x:v>RPS</x:v>
      </x:c>
      <x:c r="B883" s="2" t="str">
        <x:v>Quintiles</x:v>
      </x:c>
      <x:c r="C883" s="2" t="str">
        <x:v>Q3</x:v>
      </x:c>
      <x:c r="D883" s="28" t="n">
        <x:v>46235</x:v>
      </x:c>
      <x:c r="E883" s="2" t="str">
        <x:v>2026Q3</x:v>
      </x:c>
      <x:c r="F883" s="20" t="n">
        <x:v>34105.1</x:v>
      </x:c>
      <x:c r="G883" s="20" t="n">
        <x:f>'Quarterly data'!$E$218</x:f>
        <x:v>34118.5666666667</x:v>
      </x:c>
      <x:c r="H883" s="22" t="n">
        <x:f>100*F883/G883</x:f>
        <x:v>99.96052979951277</x:v>
      </x:c>
      <x:c r="I883" s="24" t="n">
        <x:f>H883/100-1</x:f>
        <x:v>-0.0003947020048723493</x:v>
      </x:c>
      <x:c r="J883" s="26" t="n">
        <x:v>4</x:v>
      </x:c>
      <x:c r="K883" s="7" t="b">
        <x:v>1</x:v>
      </x:c>
      <x:c r="L883" s="2" t="str">
        <x:v>May 2026</x:v>
      </x:c>
      <x:c r="M883" s="2" t="str">
        <x:v>https://www.genaiadoptiontracker.com/</x:v>
      </x:c>
    </x:row>
    <x:row r="884" ht="24" customHeight="1">
      <x:c r="A884" s="2" t="str">
        <x:v>RPS</x:v>
      </x:c>
      <x:c r="B884" s="2" t="str">
        <x:v>Quintiles</x:v>
      </x:c>
      <x:c r="C884" s="2" t="str">
        <x:v>Q4</x:v>
      </x:c>
      <x:c r="D884" s="28" t="n">
        <x:v>46235</x:v>
      </x:c>
      <x:c r="E884" s="2" t="str">
        <x:v>2026Q3</x:v>
      </x:c>
      <x:c r="F884" s="20" t="n">
        <x:v>9118.9</x:v>
      </x:c>
      <x:c r="G884" s="20" t="n">
        <x:f>'Quarterly data'!$E$219</x:f>
        <x:v>9093.1333333333</x:v>
      </x:c>
      <x:c r="H884" s="22" t="n">
        <x:f>100*F884/G884</x:f>
        <x:v>100.28336400360747</x:v>
      </x:c>
      <x:c r="I884" s="24" t="n">
        <x:f>H884/100-1</x:f>
        <x:v>0.0028336400360746694</x:v>
      </x:c>
      <x:c r="J884" s="26" t="n">
        <x:v>3</x:v>
      </x:c>
      <x:c r="K884" s="7" t="b">
        <x:v>1</x:v>
      </x:c>
      <x:c r="L884" s="2" t="str">
        <x:v>May 2026</x:v>
      </x:c>
      <x:c r="M884" s="2" t="str">
        <x:v>https://www.genaiadoptiontracker.com/</x:v>
      </x:c>
    </x:row>
    <x:row r="885" ht="24" customHeight="1">
      <x:c r="A885" s="2" t="str">
        <x:v>RPS</x:v>
      </x:c>
      <x:c r="B885" s="2" t="str">
        <x:v>Quintiles</x:v>
      </x:c>
      <x:c r="C885" s="2" t="str">
        <x:v>Q5</x:v>
      </x:c>
      <x:c r="D885" s="28" t="n">
        <x:v>46235</x:v>
      </x:c>
      <x:c r="E885" s="2" t="str">
        <x:v>2026Q3</x:v>
      </x:c>
      <x:c r="F885" s="20" t="n">
        <x:v>22860.3</x:v>
      </x:c>
      <x:c r="G885" s="20" t="n">
        <x:f>'Quarterly data'!$E$220</x:f>
        <x:v>23079.8333333333</x:v>
      </x:c>
      <x:c r="H885" s="22" t="n">
        <x:f>100*F885/G885</x:f>
        <x:v>99.04880884466252</x:v>
      </x:c>
      <x:c r="I885" s="24" t="n">
        <x:f>H885/100-1</x:f>
        <x:v>-0.00951191155337483</x:v>
      </x:c>
      <x:c r="J885" s="26" t="n">
        <x:v>4</x:v>
      </x:c>
      <x:c r="K885" s="7" t="b">
        <x:v>1</x:v>
      </x:c>
      <x:c r="L885" s="2" t="str">
        <x:v>May 2026</x:v>
      </x:c>
      <x:c r="M885" s="2" t="str">
        <x:v>https://www.genaiadoptiontracker.com/</x:v>
      </x:c>
    </x:row>
    <x:row r="886" ht="24" customHeight="1">
      <x:c r="A886" s="2" t="str">
        <x:v>RPS</x:v>
      </x:c>
      <x:c r="B886" s="2" t="str">
        <x:v>Halves</x:v>
      </x:c>
      <x:c r="C886" s="2" t="str">
        <x:v>Lower half</x:v>
      </x:c>
      <x:c r="D886" s="28" t="n">
        <x:v>44927</x:v>
      </x:c>
      <x:c r="E886" s="2" t="str">
        <x:v>2023Q1</x:v>
      </x:c>
      <x:c r="F886" s="20" t="n">
        <x:v>83429.4</x:v>
      </x:c>
      <x:c r="G886" s="20" t="n">
        <x:f>'Quarterly data'!$E$286</x:f>
        <x:v>83557.8</x:v>
      </x:c>
      <x:c r="H886" s="22" t="n">
        <x:f>100*F886/G886</x:f>
        <x:v>99.84633391496664</x:v>
      </x:c>
      <x:c r="I886" s="24" t="n">
        <x:f>H886/100-1</x:f>
        <x:v>-0.0015366608503336598</x:v>
      </x:c>
      <x:c r="J886" s="26" t="n">
        <x:v>9</x:v>
      </x:c>
      <x:c r="K886" s="7" t="b">
        <x:v>0</x:v>
      </x:c>
      <x:c r="L886" s="2" t="str">
        <x:v>May 2026</x:v>
      </x:c>
      <x:c r="M886" s="2" t="str">
        <x:v>https://www.genaiadoptiontracker.com/</x:v>
      </x:c>
    </x:row>
    <x:row r="887" ht="24" customHeight="1">
      <x:c r="A887" s="2" t="str">
        <x:v>RPS</x:v>
      </x:c>
      <x:c r="B887" s="2" t="str">
        <x:v>Halves</x:v>
      </x:c>
      <x:c r="C887" s="2" t="str">
        <x:v>Higher half</x:v>
      </x:c>
      <x:c r="D887" s="28" t="n">
        <x:v>44927</x:v>
      </x:c>
      <x:c r="E887" s="2" t="str">
        <x:v>2023Q1</x:v>
      </x:c>
      <x:c r="F887" s="20" t="n">
        <x:v>48816.1</x:v>
      </x:c>
      <x:c r="G887" s="20" t="n">
        <x:f>'Quarterly data'!$E$287</x:f>
        <x:v>48855.0333333333</x:v>
      </x:c>
      <x:c r="H887" s="22" t="n">
        <x:f>100*F887/G887</x:f>
        <x:v>99.92030844996532</x:v>
      </x:c>
      <x:c r="I887" s="24" t="n">
        <x:f>H887/100-1</x:f>
        <x:v>-0.0007969155003467732</x:v>
      </x:c>
      <x:c r="J887" s="26" t="n">
        <x:v>9</x:v>
      </x:c>
      <x:c r="K887" s="7" t="b">
        <x:v>0</x:v>
      </x:c>
      <x:c r="L887" s="2" t="str">
        <x:v>May 2026</x:v>
      </x:c>
      <x:c r="M887" s="2" t="str">
        <x:v>https://www.genaiadoptiontracker.com/</x:v>
      </x:c>
    </x:row>
    <x:row r="888" ht="24" customHeight="1">
      <x:c r="A888" s="2" t="str">
        <x:v>RPS</x:v>
      </x:c>
      <x:c r="B888" s="2" t="str">
        <x:v>Halves</x:v>
      </x:c>
      <x:c r="C888" s="2" t="str">
        <x:v>Lower half</x:v>
      </x:c>
      <x:c r="D888" s="28" t="n">
        <x:v>44958</x:v>
      </x:c>
      <x:c r="E888" s="2" t="str">
        <x:v>2023Q1</x:v>
      </x:c>
      <x:c r="F888" s="20" t="n">
        <x:v>83619.1</x:v>
      </x:c>
      <x:c r="G888" s="20" t="n">
        <x:f>'Quarterly data'!$E$286</x:f>
        <x:v>83557.8</x:v>
      </x:c>
      <x:c r="H888" s="22" t="n">
        <x:f>100*F888/G888</x:f>
        <x:v>100.07336239106344</x:v>
      </x:c>
      <x:c r="I888" s="24" t="n">
        <x:f>H888/100-1</x:f>
        <x:v>0.0007336239106343623</x:v>
      </x:c>
      <x:c r="J888" s="26" t="n">
        <x:v>9</x:v>
      </x:c>
      <x:c r="K888" s="7" t="b">
        <x:v>0</x:v>
      </x:c>
      <x:c r="L888" s="2" t="str">
        <x:v>May 2026</x:v>
      </x:c>
      <x:c r="M888" s="2" t="str">
        <x:v>https://www.genaiadoptiontracker.com/</x:v>
      </x:c>
    </x:row>
    <x:row r="889" ht="24" customHeight="1">
      <x:c r="A889" s="2" t="str">
        <x:v>RPS</x:v>
      </x:c>
      <x:c r="B889" s="2" t="str">
        <x:v>Halves</x:v>
      </x:c>
      <x:c r="C889" s="2" t="str">
        <x:v>Higher half</x:v>
      </x:c>
      <x:c r="D889" s="28" t="n">
        <x:v>44958</x:v>
      </x:c>
      <x:c r="E889" s="2" t="str">
        <x:v>2023Q1</x:v>
      </x:c>
      <x:c r="F889" s="20" t="n">
        <x:v>48864.4</x:v>
      </x:c>
      <x:c r="G889" s="20" t="n">
        <x:f>'Quarterly data'!$E$287</x:f>
        <x:v>48855.0333333333</x:v>
      </x:c>
      <x:c r="H889" s="22" t="n">
        <x:f>100*F889/G889</x:f>
        <x:v>100.01917236777385</x:v>
      </x:c>
      <x:c r="I889" s="24" t="n">
        <x:f>H889/100-1</x:f>
        <x:v>0.00019172367773845345</x:v>
      </x:c>
      <x:c r="J889" s="26" t="n">
        <x:v>9</x:v>
      </x:c>
      <x:c r="K889" s="7" t="b">
        <x:v>0</x:v>
      </x:c>
      <x:c r="L889" s="2" t="str">
        <x:v>May 2026</x:v>
      </x:c>
      <x:c r="M889" s="2" t="str">
        <x:v>https://www.genaiadoptiontracker.com/</x:v>
      </x:c>
    </x:row>
    <x:row r="890" ht="24" customHeight="1">
      <x:c r="A890" s="2" t="str">
        <x:v>RPS</x:v>
      </x:c>
      <x:c r="B890" s="2" t="str">
        <x:v>Halves</x:v>
      </x:c>
      <x:c r="C890" s="2" t="str">
        <x:v>Lower half</x:v>
      </x:c>
      <x:c r="D890" s="28" t="n">
        <x:v>44986</x:v>
      </x:c>
      <x:c r="E890" s="2" t="str">
        <x:v>2023Q1</x:v>
      </x:c>
      <x:c r="F890" s="20" t="n">
        <x:v>83624.9</x:v>
      </x:c>
      <x:c r="G890" s="20" t="n">
        <x:f>'Quarterly data'!$E$286</x:f>
        <x:v>83557.8</x:v>
      </x:c>
      <x:c r="H890" s="22" t="n">
        <x:f>100*F890/G890</x:f>
        <x:v>100.08030369396991</x:v>
      </x:c>
      <x:c r="I890" s="24" t="n">
        <x:f>H890/100-1</x:f>
        <x:v>0.0008030369396991865</x:v>
      </x:c>
      <x:c r="J890" s="26" t="n">
        <x:v>9</x:v>
      </x:c>
      <x:c r="K890" s="7" t="b">
        <x:v>0</x:v>
      </x:c>
      <x:c r="L890" s="2" t="str">
        <x:v>May 2026</x:v>
      </x:c>
      <x:c r="M890" s="2" t="str">
        <x:v>https://www.genaiadoptiontracker.com/</x:v>
      </x:c>
    </x:row>
    <x:row r="891" ht="24" customHeight="1">
      <x:c r="A891" s="2" t="str">
        <x:v>RPS</x:v>
      </x:c>
      <x:c r="B891" s="2" t="str">
        <x:v>Halves</x:v>
      </x:c>
      <x:c r="C891" s="2" t="str">
        <x:v>Higher half</x:v>
      </x:c>
      <x:c r="D891" s="28" t="n">
        <x:v>44986</x:v>
      </x:c>
      <x:c r="E891" s="2" t="str">
        <x:v>2023Q1</x:v>
      </x:c>
      <x:c r="F891" s="20" t="n">
        <x:v>48884.6</x:v>
      </x:c>
      <x:c r="G891" s="20" t="n">
        <x:f>'Quarterly data'!$E$287</x:f>
        <x:v>48855.0333333333</x:v>
      </x:c>
      <x:c r="H891" s="22" t="n">
        <x:f>100*F891/G891</x:f>
        <x:v>100.06051918226106</x:v>
      </x:c>
      <x:c r="I891" s="24" t="n">
        <x:f>H891/100-1</x:f>
        <x:v>0.0006051918226106512</x:v>
      </x:c>
      <x:c r="J891" s="26" t="n">
        <x:v>9</x:v>
      </x:c>
      <x:c r="K891" s="7" t="b">
        <x:v>0</x:v>
      </x:c>
      <x:c r="L891" s="2" t="str">
        <x:v>May 2026</x:v>
      </x:c>
      <x:c r="M891" s="2" t="str">
        <x:v>https://www.genaiadoptiontracker.com/</x:v>
      </x:c>
    </x:row>
    <x:row r="892" ht="24" customHeight="1">
      <x:c r="A892" s="2" t="str">
        <x:v>RPS</x:v>
      </x:c>
      <x:c r="B892" s="2" t="str">
        <x:v>Halves</x:v>
      </x:c>
      <x:c r="C892" s="2" t="str">
        <x:v>Lower half</x:v>
      </x:c>
      <x:c r="D892" s="28" t="n">
        <x:v>45017</x:v>
      </x:c>
      <x:c r="E892" s="2" t="str">
        <x:v>2023Q2</x:v>
      </x:c>
      <x:c r="F892" s="20" t="n">
        <x:v>83749.8</x:v>
      </x:c>
      <x:c r="G892" s="20" t="n">
        <x:f>'Quarterly data'!$E$286</x:f>
        <x:v>83557.8</x:v>
      </x:c>
      <x:c r="H892" s="22" t="n">
        <x:f>100*F892/G892</x:f>
        <x:v>100.22978106173211</x:v>
      </x:c>
      <x:c r="I892" s="24" t="n">
        <x:f>H892/100-1</x:f>
        <x:v>0.002297810617321039</x:v>
      </x:c>
      <x:c r="J892" s="26" t="n">
        <x:v>9</x:v>
      </x:c>
      <x:c r="K892" s="7" t="b">
        <x:v>0</x:v>
      </x:c>
      <x:c r="L892" s="2" t="str">
        <x:v>May 2026</x:v>
      </x:c>
      <x:c r="M892" s="2" t="str">
        <x:v>https://www.genaiadoptiontracker.com/</x:v>
      </x:c>
    </x:row>
    <x:row r="893" ht="24" customHeight="1">
      <x:c r="A893" s="2" t="str">
        <x:v>RPS</x:v>
      </x:c>
      <x:c r="B893" s="2" t="str">
        <x:v>Halves</x:v>
      </x:c>
      <x:c r="C893" s="2" t="str">
        <x:v>Higher half</x:v>
      </x:c>
      <x:c r="D893" s="28" t="n">
        <x:v>45017</x:v>
      </x:c>
      <x:c r="E893" s="2" t="str">
        <x:v>2023Q2</x:v>
      </x:c>
      <x:c r="F893" s="20" t="n">
        <x:v>48937.2</x:v>
      </x:c>
      <x:c r="G893" s="20" t="n">
        <x:f>'Quarterly data'!$E$287</x:f>
        <x:v>48855.0333333333</x:v>
      </x:c>
      <x:c r="H893" s="22" t="n">
        <x:f>100*F893/G893</x:f>
        <x:v>100.16818464968817</x:v>
      </x:c>
      <x:c r="I893" s="24" t="n">
        <x:f>H893/100-1</x:f>
        <x:v>0.0016818464968817448</x:v>
      </x:c>
      <x:c r="J893" s="26" t="n">
        <x:v>9</x:v>
      </x:c>
      <x:c r="K893" s="7" t="b">
        <x:v>0</x:v>
      </x:c>
      <x:c r="L893" s="2" t="str">
        <x:v>May 2026</x:v>
      </x:c>
      <x:c r="M893" s="2" t="str">
        <x:v>https://www.genaiadoptiontracker.com/</x:v>
      </x:c>
    </x:row>
    <x:row r="894" ht="24" customHeight="1">
      <x:c r="A894" s="2" t="str">
        <x:v>RPS</x:v>
      </x:c>
      <x:c r="B894" s="2" t="str">
        <x:v>Halves</x:v>
      </x:c>
      <x:c r="C894" s="2" t="str">
        <x:v>Lower half</x:v>
      </x:c>
      <x:c r="D894" s="28" t="n">
        <x:v>45047</x:v>
      </x:c>
      <x:c r="E894" s="2" t="str">
        <x:v>2023Q2</x:v>
      </x:c>
      <x:c r="F894" s="20" t="n">
        <x:v>83912.5</x:v>
      </x:c>
      <x:c r="G894" s="20" t="n">
        <x:f>'Quarterly data'!$E$286</x:f>
        <x:v>83557.8</x:v>
      </x:c>
      <x:c r="H894" s="22" t="n">
        <x:f>100*F894/G894</x:f>
        <x:v>100.42449657602282</x:v>
      </x:c>
      <x:c r="I894" s="24" t="n">
        <x:f>H894/100-1</x:f>
        <x:v>0.004244965760228148</x:v>
      </x:c>
      <x:c r="J894" s="26" t="n">
        <x:v>9</x:v>
      </x:c>
      <x:c r="K894" s="7" t="b">
        <x:v>0</x:v>
      </x:c>
      <x:c r="L894" s="2" t="str">
        <x:v>May 2026</x:v>
      </x:c>
      <x:c r="M894" s="2" t="str">
        <x:v>https://www.genaiadoptiontracker.com/</x:v>
      </x:c>
    </x:row>
    <x:row r="895" ht="24" customHeight="1">
      <x:c r="A895" s="2" t="str">
        <x:v>RPS</x:v>
      </x:c>
      <x:c r="B895" s="2" t="str">
        <x:v>Halves</x:v>
      </x:c>
      <x:c r="C895" s="2" t="str">
        <x:v>Higher half</x:v>
      </x:c>
      <x:c r="D895" s="28" t="n">
        <x:v>45047</x:v>
      </x:c>
      <x:c r="E895" s="2" t="str">
        <x:v>2023Q2</x:v>
      </x:c>
      <x:c r="F895" s="20" t="n">
        <x:v>48974.6</x:v>
      </x:c>
      <x:c r="G895" s="20" t="n">
        <x:f>'Quarterly data'!$E$287</x:f>
        <x:v>48855.0333333333</x:v>
      </x:c>
      <x:c r="H895" s="22" t="n">
        <x:f>100*F895/G895</x:f>
        <x:v>100.24473766264964</x:v>
      </x:c>
      <x:c r="I895" s="24" t="n">
        <x:f>H895/100-1</x:f>
        <x:v>0.0024473766264963004</x:v>
      </x:c>
      <x:c r="J895" s="26" t="n">
        <x:v>9</x:v>
      </x:c>
      <x:c r="K895" s="7" t="b">
        <x:v>0</x:v>
      </x:c>
      <x:c r="L895" s="2" t="str">
        <x:v>May 2026</x:v>
      </x:c>
      <x:c r="M895" s="2" t="str">
        <x:v>https://www.genaiadoptiontracker.com/</x:v>
      </x:c>
    </x:row>
    <x:row r="896" ht="24" customHeight="1">
      <x:c r="A896" s="2" t="str">
        <x:v>RPS</x:v>
      </x:c>
      <x:c r="B896" s="2" t="str">
        <x:v>Halves</x:v>
      </x:c>
      <x:c r="C896" s="2" t="str">
        <x:v>Lower half</x:v>
      </x:c>
      <x:c r="D896" s="28" t="n">
        <x:v>45078</x:v>
      </x:c>
      <x:c r="E896" s="2" t="str">
        <x:v>2023Q2</x:v>
      </x:c>
      <x:c r="F896" s="20" t="n">
        <x:v>84052.9</x:v>
      </x:c>
      <x:c r="G896" s="20" t="n">
        <x:f>'Quarterly data'!$E$286</x:f>
        <x:v>83557.8</x:v>
      </x:c>
      <x:c r="H896" s="22" t="n">
        <x:f>100*F896/G896</x:f>
        <x:v>100.59252397741443</x:v>
      </x:c>
      <x:c r="I896" s="24" t="n">
        <x:f>H896/100-1</x:f>
        <x:v>0.005925239774144275</x:v>
      </x:c>
      <x:c r="J896" s="26" t="n">
        <x:v>9</x:v>
      </x:c>
      <x:c r="K896" s="7" t="b">
        <x:v>0</x:v>
      </x:c>
      <x:c r="L896" s="2" t="str">
        <x:v>May 2026</x:v>
      </x:c>
      <x:c r="M896" s="2" t="str">
        <x:v>https://www.genaiadoptiontracker.com/</x:v>
      </x:c>
    </x:row>
    <x:row r="897" ht="24" customHeight="1">
      <x:c r="A897" s="2" t="str">
        <x:v>RPS</x:v>
      </x:c>
      <x:c r="B897" s="2" t="str">
        <x:v>Halves</x:v>
      </x:c>
      <x:c r="C897" s="2" t="str">
        <x:v>Higher half</x:v>
      </x:c>
      <x:c r="D897" s="28" t="n">
        <x:v>45078</x:v>
      </x:c>
      <x:c r="E897" s="2" t="str">
        <x:v>2023Q2</x:v>
      </x:c>
      <x:c r="F897" s="20" t="n">
        <x:v>48990.2</x:v>
      </x:c>
      <x:c r="G897" s="20" t="n">
        <x:f>'Quarterly data'!$E$287</x:f>
        <x:v>48855.0333333333</x:v>
      </x:c>
      <x:c r="H897" s="22" t="n">
        <x:f>100*F897/G897</x:f>
        <x:v>100.276668865917</x:v>
      </x:c>
      <x:c r="I897" s="24" t="n">
        <x:f>H897/100-1</x:f>
        <x:v>0.002766688659169958</x:v>
      </x:c>
      <x:c r="J897" s="26" t="n">
        <x:v>9</x:v>
      </x:c>
      <x:c r="K897" s="7" t="b">
        <x:v>0</x:v>
      </x:c>
      <x:c r="L897" s="2" t="str">
        <x:v>May 2026</x:v>
      </x:c>
      <x:c r="M897" s="2" t="str">
        <x:v>https://www.genaiadoptiontracker.com/</x:v>
      </x:c>
    </x:row>
    <x:row r="898" ht="24" customHeight="1">
      <x:c r="A898" s="2" t="str">
        <x:v>RPS</x:v>
      </x:c>
      <x:c r="B898" s="2" t="str">
        <x:v>Halves</x:v>
      </x:c>
      <x:c r="C898" s="2" t="str">
        <x:v>Lower half</x:v>
      </x:c>
      <x:c r="D898" s="28" t="n">
        <x:v>45108</x:v>
      </x:c>
      <x:c r="E898" s="2" t="str">
        <x:v>2023Q3</x:v>
      </x:c>
      <x:c r="F898" s="20" t="n">
        <x:v>84169</x:v>
      </x:c>
      <x:c r="G898" s="20" t="n">
        <x:f>'Quarterly data'!$E$286</x:f>
        <x:v>83557.8</x:v>
      </x:c>
      <x:c r="H898" s="22" t="n">
        <x:f>100*F898/G898</x:f>
        <x:v>100.73146971318057</x:v>
      </x:c>
      <x:c r="I898" s="24" t="n">
        <x:f>H898/100-1</x:f>
        <x:v>0.007314697131805659</x:v>
      </x:c>
      <x:c r="J898" s="26" t="n">
        <x:v>9</x:v>
      </x:c>
      <x:c r="K898" s="7" t="b">
        <x:v>0</x:v>
      </x:c>
      <x:c r="L898" s="2" t="str">
        <x:v>May 2026</x:v>
      </x:c>
      <x:c r="M898" s="2" t="str">
        <x:v>https://www.genaiadoptiontracker.com/</x:v>
      </x:c>
    </x:row>
    <x:row r="899" ht="24" customHeight="1">
      <x:c r="A899" s="2" t="str">
        <x:v>RPS</x:v>
      </x:c>
      <x:c r="B899" s="2" t="str">
        <x:v>Halves</x:v>
      </x:c>
      <x:c r="C899" s="2" t="str">
        <x:v>Higher half</x:v>
      </x:c>
      <x:c r="D899" s="28" t="n">
        <x:v>45108</x:v>
      </x:c>
      <x:c r="E899" s="2" t="str">
        <x:v>2023Q3</x:v>
      </x:c>
      <x:c r="F899" s="20" t="n">
        <x:v>48990.2</x:v>
      </x:c>
      <x:c r="G899" s="20" t="n">
        <x:f>'Quarterly data'!$E$287</x:f>
        <x:v>48855.0333333333</x:v>
      </x:c>
      <x:c r="H899" s="22" t="n">
        <x:f>100*F899/G899</x:f>
        <x:v>100.276668865917</x:v>
      </x:c>
      <x:c r="I899" s="24" t="n">
        <x:f>H899/100-1</x:f>
        <x:v>0.002766688659169958</x:v>
      </x:c>
      <x:c r="J899" s="26" t="n">
        <x:v>9</x:v>
      </x:c>
      <x:c r="K899" s="7" t="b">
        <x:v>0</x:v>
      </x:c>
      <x:c r="L899" s="2" t="str">
        <x:v>May 2026</x:v>
      </x:c>
      <x:c r="M899" s="2" t="str">
        <x:v>https://www.genaiadoptiontracker.com/</x:v>
      </x:c>
    </x:row>
    <x:row r="900" ht="24" customHeight="1">
      <x:c r="A900" s="2" t="str">
        <x:v>RPS</x:v>
      </x:c>
      <x:c r="B900" s="2" t="str">
        <x:v>Halves</x:v>
      </x:c>
      <x:c r="C900" s="2" t="str">
        <x:v>Lower half</x:v>
      </x:c>
      <x:c r="D900" s="28" t="n">
        <x:v>45139</x:v>
      </x:c>
      <x:c r="E900" s="2" t="str">
        <x:v>2023Q3</x:v>
      </x:c>
      <x:c r="F900" s="20" t="n">
        <x:v>84308.8</x:v>
      </x:c>
      <x:c r="G900" s="20" t="n">
        <x:f>'Quarterly data'!$E$286</x:f>
        <x:v>83557.8</x:v>
      </x:c>
      <x:c r="H900" s="22" t="n">
        <x:f>100*F900/G900</x:f>
        <x:v>100.89877904875428</x:v>
      </x:c>
      <x:c r="I900" s="24" t="n">
        <x:f>H900/100-1</x:f>
        <x:v>0.008987790487542835</x:v>
      </x:c>
      <x:c r="J900" s="26" t="n">
        <x:v>9</x:v>
      </x:c>
      <x:c r="K900" s="7" t="b">
        <x:v>0</x:v>
      </x:c>
      <x:c r="L900" s="2" t="str">
        <x:v>May 2026</x:v>
      </x:c>
      <x:c r="M900" s="2" t="str">
        <x:v>https://www.genaiadoptiontracker.com/</x:v>
      </x:c>
    </x:row>
    <x:row r="901" ht="24" customHeight="1">
      <x:c r="A901" s="2" t="str">
        <x:v>RPS</x:v>
      </x:c>
      <x:c r="B901" s="2" t="str">
        <x:v>Halves</x:v>
      </x:c>
      <x:c r="C901" s="2" t="str">
        <x:v>Higher half</x:v>
      </x:c>
      <x:c r="D901" s="28" t="n">
        <x:v>45139</x:v>
      </x:c>
      <x:c r="E901" s="2" t="str">
        <x:v>2023Q3</x:v>
      </x:c>
      <x:c r="F901" s="20" t="n">
        <x:v>49000</x:v>
      </x:c>
      <x:c r="G901" s="20" t="n">
        <x:f>'Quarterly data'!$E$287</x:f>
        <x:v>48855.0333333333</x:v>
      </x:c>
      <x:c r="H901" s="22" t="n">
        <x:f>100*F901/G901</x:f>
        <x:v>100.29672821155931</x:v>
      </x:c>
      <x:c r="I901" s="24" t="n">
        <x:f>H901/100-1</x:f>
        <x:v>0.0029672821155930507</x:v>
      </x:c>
      <x:c r="J901" s="26" t="n">
        <x:v>9</x:v>
      </x:c>
      <x:c r="K901" s="7" t="b">
        <x:v>0</x:v>
      </x:c>
      <x:c r="L901" s="2" t="str">
        <x:v>May 2026</x:v>
      </x:c>
      <x:c r="M901" s="2" t="str">
        <x:v>https://www.genaiadoptiontracker.com/</x:v>
      </x:c>
    </x:row>
    <x:row r="902" ht="24" customHeight="1">
      <x:c r="A902" s="2" t="str">
        <x:v>RPS</x:v>
      </x:c>
      <x:c r="B902" s="2" t="str">
        <x:v>Halves</x:v>
      </x:c>
      <x:c r="C902" s="2" t="str">
        <x:v>Lower half</x:v>
      </x:c>
      <x:c r="D902" s="28" t="n">
        <x:v>45170</x:v>
      </x:c>
      <x:c r="E902" s="2" t="str">
        <x:v>2023Q3</x:v>
      </x:c>
      <x:c r="F902" s="20" t="n">
        <x:v>84403.9</x:v>
      </x:c>
      <x:c r="G902" s="20" t="n">
        <x:f>'Quarterly data'!$E$286</x:f>
        <x:v>83557.8</x:v>
      </x:c>
      <x:c r="H902" s="22" t="n">
        <x:f>100*F902/G902</x:f>
        <x:v>101.01259248089346</x:v>
      </x:c>
      <x:c r="I902" s="24" t="n">
        <x:f>H902/100-1</x:f>
        <x:v>0.010125924808934705</x:v>
      </x:c>
      <x:c r="J902" s="26" t="n">
        <x:v>9</x:v>
      </x:c>
      <x:c r="K902" s="7" t="b">
        <x:v>0</x:v>
      </x:c>
      <x:c r="L902" s="2" t="str">
        <x:v>May 2026</x:v>
      </x:c>
      <x:c r="M902" s="2" t="str">
        <x:v>https://www.genaiadoptiontracker.com/</x:v>
      </x:c>
    </x:row>
    <x:row r="903" ht="24" customHeight="1">
      <x:c r="A903" s="2" t="str">
        <x:v>RPS</x:v>
      </x:c>
      <x:c r="B903" s="2" t="str">
        <x:v>Halves</x:v>
      </x:c>
      <x:c r="C903" s="2" t="str">
        <x:v>Higher half</x:v>
      </x:c>
      <x:c r="D903" s="28" t="n">
        <x:v>45170</x:v>
      </x:c>
      <x:c r="E903" s="2" t="str">
        <x:v>2023Q3</x:v>
      </x:c>
      <x:c r="F903" s="20" t="n">
        <x:v>49018.8</x:v>
      </x:c>
      <x:c r="G903" s="20" t="n">
        <x:f>'Quarterly data'!$E$287</x:f>
        <x:v>48855.0333333333</x:v>
      </x:c>
      <x:c r="H903" s="22" t="n">
        <x:f>100*F903/G903</x:f>
        <x:v>100.33520940524048</x:v>
      </x:c>
      <x:c r="I903" s="24" t="n">
        <x:f>H903/100-1</x:f>
        <x:v>0.003352094052404775</x:v>
      </x:c>
      <x:c r="J903" s="26" t="n">
        <x:v>9</x:v>
      </x:c>
      <x:c r="K903" s="7" t="b">
        <x:v>0</x:v>
      </x:c>
      <x:c r="L903" s="2" t="str">
        <x:v>May 2026</x:v>
      </x:c>
      <x:c r="M903" s="2" t="str">
        <x:v>https://www.genaiadoptiontracker.com/</x:v>
      </x:c>
    </x:row>
    <x:row r="904" ht="24" customHeight="1">
      <x:c r="A904" s="2" t="str">
        <x:v>RPS</x:v>
      </x:c>
      <x:c r="B904" s="2" t="str">
        <x:v>Halves</x:v>
      </x:c>
      <x:c r="C904" s="2" t="str">
        <x:v>Lower half</x:v>
      </x:c>
      <x:c r="D904" s="28" t="n">
        <x:v>45200</x:v>
      </x:c>
      <x:c r="E904" s="2" t="str">
        <x:v>2023Q4</x:v>
      </x:c>
      <x:c r="F904" s="20" t="n">
        <x:v>84568.5</x:v>
      </x:c>
      <x:c r="G904" s="20" t="n">
        <x:f>'Quarterly data'!$E$286</x:f>
        <x:v>83557.8</x:v>
      </x:c>
      <x:c r="H904" s="22" t="n">
        <x:f>100*F904/G904</x:f>
        <x:v>101.20958187027422</x:v>
      </x:c>
      <x:c r="I904" s="24" t="n">
        <x:f>H904/100-1</x:f>
        <x:v>0.012095818702742234</x:v>
      </x:c>
      <x:c r="J904" s="26" t="n">
        <x:v>9</x:v>
      </x:c>
      <x:c r="K904" s="7" t="b">
        <x:v>0</x:v>
      </x:c>
      <x:c r="L904" s="2" t="str">
        <x:v>May 2026</x:v>
      </x:c>
      <x:c r="M904" s="2" t="str">
        <x:v>https://www.genaiadoptiontracker.com/</x:v>
      </x:c>
    </x:row>
    <x:row r="905" ht="24" customHeight="1">
      <x:c r="A905" s="2" t="str">
        <x:v>RPS</x:v>
      </x:c>
      <x:c r="B905" s="2" t="str">
        <x:v>Halves</x:v>
      </x:c>
      <x:c r="C905" s="2" t="str">
        <x:v>Higher half</x:v>
      </x:c>
      <x:c r="D905" s="28" t="n">
        <x:v>45200</x:v>
      </x:c>
      <x:c r="E905" s="2" t="str">
        <x:v>2023Q4</x:v>
      </x:c>
      <x:c r="F905" s="20" t="n">
        <x:v>48967.8</x:v>
      </x:c>
      <x:c r="G905" s="20" t="n">
        <x:f>'Quarterly data'!$E$287</x:f>
        <x:v>48855.0333333333</x:v>
      </x:c>
      <x:c r="H905" s="22" t="n">
        <x:f>100*F905/G905</x:f>
        <x:v>100.23081893302029</x:v>
      </x:c>
      <x:c r="I905" s="24" t="n">
        <x:f>H905/100-1</x:f>
        <x:v>0.0023081893302028256</x:v>
      </x:c>
      <x:c r="J905" s="26" t="n">
        <x:v>9</x:v>
      </x:c>
      <x:c r="K905" s="7" t="b">
        <x:v>0</x:v>
      </x:c>
      <x:c r="L905" s="2" t="str">
        <x:v>May 2026</x:v>
      </x:c>
      <x:c r="M905" s="2" t="str">
        <x:v>https://www.genaiadoptiontracker.com/</x:v>
      </x:c>
    </x:row>
    <x:row r="906" ht="24" customHeight="1">
      <x:c r="A906" s="2" t="str">
        <x:v>RPS</x:v>
      </x:c>
      <x:c r="B906" s="2" t="str">
        <x:v>Halves</x:v>
      </x:c>
      <x:c r="C906" s="2" t="str">
        <x:v>Lower half</x:v>
      </x:c>
      <x:c r="D906" s="28" t="n">
        <x:v>45231</x:v>
      </x:c>
      <x:c r="E906" s="2" t="str">
        <x:v>2023Q4</x:v>
      </x:c>
      <x:c r="F906" s="20" t="n">
        <x:v>84614.3</x:v>
      </x:c>
      <x:c r="G906" s="20" t="n">
        <x:f>'Quarterly data'!$E$286</x:f>
        <x:v>83557.8</x:v>
      </x:c>
      <x:c r="H906" s="22" t="n">
        <x:f>100*F906/G906</x:f>
        <x:v>101.26439422770824</x:v>
      </x:c>
      <x:c r="I906" s="24" t="n">
        <x:f>H906/100-1</x:f>
        <x:v>0.01264394227708232</x:v>
      </x:c>
      <x:c r="J906" s="26" t="n">
        <x:v>9</x:v>
      </x:c>
      <x:c r="K906" s="7" t="b">
        <x:v>0</x:v>
      </x:c>
      <x:c r="L906" s="2" t="str">
        <x:v>May 2026</x:v>
      </x:c>
      <x:c r="M906" s="2" t="str">
        <x:v>https://www.genaiadoptiontracker.com/</x:v>
      </x:c>
    </x:row>
    <x:row r="907" ht="24" customHeight="1">
      <x:c r="A907" s="2" t="str">
        <x:v>RPS</x:v>
      </x:c>
      <x:c r="B907" s="2" t="str">
        <x:v>Halves</x:v>
      </x:c>
      <x:c r="C907" s="2" t="str">
        <x:v>Higher half</x:v>
      </x:c>
      <x:c r="D907" s="28" t="n">
        <x:v>45231</x:v>
      </x:c>
      <x:c r="E907" s="2" t="str">
        <x:v>2023Q4</x:v>
      </x:c>
      <x:c r="F907" s="20" t="n">
        <x:v>49009</x:v>
      </x:c>
      <x:c r="G907" s="20" t="n">
        <x:f>'Quarterly data'!$E$287</x:f>
        <x:v>48855.0333333333</x:v>
      </x:c>
      <x:c r="H907" s="22" t="n">
        <x:f>100*F907/G907</x:f>
        <x:v>100.31515005959817</x:v>
      </x:c>
      <x:c r="I907" s="24" t="n">
        <x:f>H907/100-1</x:f>
        <x:v>0.003151500595981682</x:v>
      </x:c>
      <x:c r="J907" s="26" t="n">
        <x:v>9</x:v>
      </x:c>
      <x:c r="K907" s="7" t="b">
        <x:v>0</x:v>
      </x:c>
      <x:c r="L907" s="2" t="str">
        <x:v>May 2026</x:v>
      </x:c>
      <x:c r="M907" s="2" t="str">
        <x:v>https://www.genaiadoptiontracker.com/</x:v>
      </x:c>
    </x:row>
    <x:row r="908" ht="24" customHeight="1">
      <x:c r="A908" s="2" t="str">
        <x:v>RPS</x:v>
      </x:c>
      <x:c r="B908" s="2" t="str">
        <x:v>Halves</x:v>
      </x:c>
      <x:c r="C908" s="2" t="str">
        <x:v>Lower half</x:v>
      </x:c>
      <x:c r="D908" s="28" t="n">
        <x:v>45261</x:v>
      </x:c>
      <x:c r="E908" s="2" t="str">
        <x:v>2023Q4</x:v>
      </x:c>
      <x:c r="F908" s="20" t="n">
        <x:v>84663.4</x:v>
      </x:c>
      <x:c r="G908" s="20" t="n">
        <x:f>'Quarterly data'!$E$286</x:f>
        <x:v>83557.8</x:v>
      </x:c>
      <x:c r="H908" s="22" t="n">
        <x:f>100*F908/G908</x:f>
        <x:v>101.32315594714078</x:v>
      </x:c>
      <x:c r="I908" s="24" t="n">
        <x:f>H908/100-1</x:f>
        <x:v>0.013231559471407861</x:v>
      </x:c>
      <x:c r="J908" s="26" t="n">
        <x:v>9</x:v>
      </x:c>
      <x:c r="K908" s="7" t="b">
        <x:v>0</x:v>
      </x:c>
      <x:c r="L908" s="2" t="str">
        <x:v>May 2026</x:v>
      </x:c>
      <x:c r="M908" s="2" t="str">
        <x:v>https://www.genaiadoptiontracker.com/</x:v>
      </x:c>
    </x:row>
    <x:row r="909" ht="24" customHeight="1">
      <x:c r="A909" s="2" t="str">
        <x:v>RPS</x:v>
      </x:c>
      <x:c r="B909" s="2" t="str">
        <x:v>Halves</x:v>
      </x:c>
      <x:c r="C909" s="2" t="str">
        <x:v>Higher half</x:v>
      </x:c>
      <x:c r="D909" s="28" t="n">
        <x:v>45261</x:v>
      </x:c>
      <x:c r="E909" s="2" t="str">
        <x:v>2023Q4</x:v>
      </x:c>
      <x:c r="F909" s="20" t="n">
        <x:v>49059.1</x:v>
      </x:c>
      <x:c r="G909" s="20" t="n">
        <x:f>'Quarterly data'!$E$287</x:f>
        <x:v>48855.0333333333</x:v>
      </x:c>
      <x:c r="H909" s="22" t="n">
        <x:f>100*F909/G909</x:f>
        <x:v>100.41769834701448</x:v>
      </x:c>
      <x:c r="I909" s="24" t="n">
        <x:f>H909/100-1</x:f>
        <x:v>0.004176983470144835</x:v>
      </x:c>
      <x:c r="J909" s="26" t="n">
        <x:v>9</x:v>
      </x:c>
      <x:c r="K909" s="7" t="b">
        <x:v>0</x:v>
      </x:c>
      <x:c r="L909" s="2" t="str">
        <x:v>May 2026</x:v>
      </x:c>
      <x:c r="M909" s="2" t="str">
        <x:v>https://www.genaiadoptiontracker.com/</x:v>
      </x:c>
    </x:row>
    <x:row r="910" ht="24" customHeight="1">
      <x:c r="A910" s="2" t="str">
        <x:v>RPS</x:v>
      </x:c>
      <x:c r="B910" s="2" t="str">
        <x:v>Halves</x:v>
      </x:c>
      <x:c r="C910" s="2" t="str">
        <x:v>Lower half</x:v>
      </x:c>
      <x:c r="D910" s="28" t="n">
        <x:v>45292</x:v>
      </x:c>
      <x:c r="E910" s="2" t="str">
        <x:v>2024Q1</x:v>
      </x:c>
      <x:c r="F910" s="20" t="n">
        <x:v>84773.2</x:v>
      </x:c>
      <x:c r="G910" s="20" t="n">
        <x:f>'Quarterly data'!$E$286</x:f>
        <x:v>83557.8</x:v>
      </x:c>
      <x:c r="H910" s="22" t="n">
        <x:f>100*F910/G910</x:f>
        <x:v>101.45456199181884</x:v>
      </x:c>
      <x:c r="I910" s="24" t="n">
        <x:f>H910/100-1</x:f>
        <x:v>0.014545619918188368</x:v>
      </x:c>
      <x:c r="J910" s="26" t="n">
        <x:v>9</x:v>
      </x:c>
      <x:c r="K910" s="7" t="b">
        <x:v>0</x:v>
      </x:c>
      <x:c r="L910" s="2" t="str">
        <x:v>May 2026</x:v>
      </x:c>
      <x:c r="M910" s="2" t="str">
        <x:v>https://www.genaiadoptiontracker.com/</x:v>
      </x:c>
    </x:row>
    <x:row r="911" ht="24" customHeight="1">
      <x:c r="A911" s="2" t="str">
        <x:v>RPS</x:v>
      </x:c>
      <x:c r="B911" s="2" t="str">
        <x:v>Halves</x:v>
      </x:c>
      <x:c r="C911" s="2" t="str">
        <x:v>Higher half</x:v>
      </x:c>
      <x:c r="D911" s="28" t="n">
        <x:v>45292</x:v>
      </x:c>
      <x:c r="E911" s="2" t="str">
        <x:v>2024Q1</x:v>
      </x:c>
      <x:c r="F911" s="20" t="n">
        <x:v>49075.5</x:v>
      </x:c>
      <x:c r="G911" s="20" t="n">
        <x:f>'Quarterly data'!$E$287</x:f>
        <x:v>48855.0333333333</x:v>
      </x:c>
      <x:c r="H911" s="22" t="n">
        <x:f>100*F911/G911</x:f>
        <x:v>100.45126704788528</x:v>
      </x:c>
      <x:c r="I911" s="24" t="n">
        <x:f>H911/100-1</x:f>
        <x:v>0.004512670478852732</x:v>
      </x:c>
      <x:c r="J911" s="26" t="n">
        <x:v>9</x:v>
      </x:c>
      <x:c r="K911" s="7" t="b">
        <x:v>0</x:v>
      </x:c>
      <x:c r="L911" s="2" t="str">
        <x:v>May 2026</x:v>
      </x:c>
      <x:c r="M911" s="2" t="str">
        <x:v>https://www.genaiadoptiontracker.com/</x:v>
      </x:c>
    </x:row>
    <x:row r="912" ht="24" customHeight="1">
      <x:c r="A912" s="2" t="str">
        <x:v>RPS</x:v>
      </x:c>
      <x:c r="B912" s="2" t="str">
        <x:v>Halves</x:v>
      </x:c>
      <x:c r="C912" s="2" t="str">
        <x:v>Lower half</x:v>
      </x:c>
      <x:c r="D912" s="28" t="n">
        <x:v>45323</x:v>
      </x:c>
      <x:c r="E912" s="2" t="str">
        <x:v>2024Q1</x:v>
      </x:c>
      <x:c r="F912" s="20" t="n">
        <x:v>84943.5</x:v>
      </x:c>
      <x:c r="G912" s="20" t="n">
        <x:f>'Quarterly data'!$E$286</x:f>
        <x:v>83557.8</x:v>
      </x:c>
      <x:c r="H912" s="22" t="n">
        <x:f>100*F912/G912</x:f>
        <x:v>101.65837300646977</x:v>
      </x:c>
      <x:c r="I912" s="24" t="n">
        <x:f>H912/100-1</x:f>
        <x:v>0.01658373006469782</x:v>
      </x:c>
      <x:c r="J912" s="26" t="n">
        <x:v>9</x:v>
      </x:c>
      <x:c r="K912" s="7" t="b">
        <x:v>0</x:v>
      </x:c>
      <x:c r="L912" s="2" t="str">
        <x:v>May 2026</x:v>
      </x:c>
      <x:c r="M912" s="2" t="str">
        <x:v>https://www.genaiadoptiontracker.com/</x:v>
      </x:c>
    </x:row>
    <x:row r="913" ht="24" customHeight="1">
      <x:c r="A913" s="2" t="str">
        <x:v>RPS</x:v>
      </x:c>
      <x:c r="B913" s="2" t="str">
        <x:v>Halves</x:v>
      </x:c>
      <x:c r="C913" s="2" t="str">
        <x:v>Higher half</x:v>
      </x:c>
      <x:c r="D913" s="28" t="n">
        <x:v>45323</x:v>
      </x:c>
      <x:c r="E913" s="2" t="str">
        <x:v>2024Q1</x:v>
      </x:c>
      <x:c r="F913" s="20" t="n">
        <x:v>49040.8</x:v>
      </x:c>
      <x:c r="G913" s="20" t="n">
        <x:f>'Quarterly data'!$E$287</x:f>
        <x:v>48855.0333333333</x:v>
      </x:c>
      <x:c r="H913" s="22" t="n">
        <x:f>100*F913/G913</x:f>
        <x:v>100.38024058933546</x:v>
      </x:c>
      <x:c r="I913" s="24" t="n">
        <x:f>H913/100-1</x:f>
        <x:v>0.0038024058933545657</x:v>
      </x:c>
      <x:c r="J913" s="26" t="n">
        <x:v>9</x:v>
      </x:c>
      <x:c r="K913" s="7" t="b">
        <x:v>0</x:v>
      </x:c>
      <x:c r="L913" s="2" t="str">
        <x:v>May 2026</x:v>
      </x:c>
      <x:c r="M913" s="2" t="str">
        <x:v>https://www.genaiadoptiontracker.com/</x:v>
      </x:c>
    </x:row>
    <x:row r="914" ht="24" customHeight="1">
      <x:c r="A914" s="2" t="str">
        <x:v>RPS</x:v>
      </x:c>
      <x:c r="B914" s="2" t="str">
        <x:v>Halves</x:v>
      </x:c>
      <x:c r="C914" s="2" t="str">
        <x:v>Lower half</x:v>
      </x:c>
      <x:c r="D914" s="28" t="n">
        <x:v>45352</x:v>
      </x:c>
      <x:c r="E914" s="2" t="str">
        <x:v>2024Q1</x:v>
      </x:c>
      <x:c r="F914" s="20" t="n">
        <x:v>85121.1</x:v>
      </x:c>
      <x:c r="G914" s="20" t="n">
        <x:f>'Quarterly data'!$E$286</x:f>
        <x:v>83557.8</x:v>
      </x:c>
      <x:c r="H914" s="22" t="n">
        <x:f>100*F914/G914</x:f>
        <x:v>101.87092048857198</x:v>
      </x:c>
      <x:c r="I914" s="24" t="n">
        <x:f>H914/100-1</x:f>
        <x:v>0.01870920488571981</x:v>
      </x:c>
      <x:c r="J914" s="26" t="n">
        <x:v>9</x:v>
      </x:c>
      <x:c r="K914" s="7" t="b">
        <x:v>0</x:v>
      </x:c>
      <x:c r="L914" s="2" t="str">
        <x:v>May 2026</x:v>
      </x:c>
      <x:c r="M914" s="2" t="str">
        <x:v>https://www.genaiadoptiontracker.com/</x:v>
      </x:c>
    </x:row>
    <x:row r="915" ht="24" customHeight="1">
      <x:c r="A915" s="2" t="str">
        <x:v>RPS</x:v>
      </x:c>
      <x:c r="B915" s="2" t="str">
        <x:v>Halves</x:v>
      </x:c>
      <x:c r="C915" s="2" t="str">
        <x:v>Higher half</x:v>
      </x:c>
      <x:c r="D915" s="28" t="n">
        <x:v>45352</x:v>
      </x:c>
      <x:c r="E915" s="2" t="str">
        <x:v>2024Q1</x:v>
      </x:c>
      <x:c r="F915" s="20" t="n">
        <x:v>49006.9</x:v>
      </x:c>
      <x:c r="G915" s="20" t="n">
        <x:f>'Quarterly data'!$E$287</x:f>
        <x:v>48855.0333333333</x:v>
      </x:c>
      <x:c r="H915" s="22" t="n">
        <x:f>100*F915/G915</x:f>
        <x:v>100.3108516283891</x:v>
      </x:c>
      <x:c r="I915" s="24" t="n">
        <x:f>H915/100-1</x:f>
        <x:v>0.003108516283891083</x:v>
      </x:c>
      <x:c r="J915" s="26" t="n">
        <x:v>9</x:v>
      </x:c>
      <x:c r="K915" s="7" t="b">
        <x:v>0</x:v>
      </x:c>
      <x:c r="L915" s="2" t="str">
        <x:v>May 2026</x:v>
      </x:c>
      <x:c r="M915" s="2" t="str">
        <x:v>https://www.genaiadoptiontracker.com/</x:v>
      </x:c>
    </x:row>
    <x:row r="916" ht="24" customHeight="1">
      <x:c r="A916" s="2" t="str">
        <x:v>RPS</x:v>
      </x:c>
      <x:c r="B916" s="2" t="str">
        <x:v>Halves</x:v>
      </x:c>
      <x:c r="C916" s="2" t="str">
        <x:v>Lower half</x:v>
      </x:c>
      <x:c r="D916" s="28" t="n">
        <x:v>45383</x:v>
      </x:c>
      <x:c r="E916" s="2" t="str">
        <x:v>2024Q2</x:v>
      </x:c>
      <x:c r="F916" s="20" t="n">
        <x:v>85197.4</x:v>
      </x:c>
      <x:c r="G916" s="20" t="n">
        <x:f>'Quarterly data'!$E$286</x:f>
        <x:v>83557.8</x:v>
      </x:c>
      <x:c r="H916" s="22" t="n">
        <x:f>100*F916/G916</x:f>
        <x:v>101.96223452508323</x:v>
      </x:c>
      <x:c r="I916" s="24" t="n">
        <x:f>H916/100-1</x:f>
        <x:v>0.019622345250832396</x:v>
      </x:c>
      <x:c r="J916" s="26" t="n">
        <x:v>9</x:v>
      </x:c>
      <x:c r="K916" s="7" t="b">
        <x:v>0</x:v>
      </x:c>
      <x:c r="L916" s="2" t="str">
        <x:v>May 2026</x:v>
      </x:c>
      <x:c r="M916" s="2" t="str">
        <x:v>https://www.genaiadoptiontracker.com/</x:v>
      </x:c>
    </x:row>
    <x:row r="917" ht="24" customHeight="1">
      <x:c r="A917" s="2" t="str">
        <x:v>RPS</x:v>
      </x:c>
      <x:c r="B917" s="2" t="str">
        <x:v>Halves</x:v>
      </x:c>
      <x:c r="C917" s="2" t="str">
        <x:v>Higher half</x:v>
      </x:c>
      <x:c r="D917" s="28" t="n">
        <x:v>45383</x:v>
      </x:c>
      <x:c r="E917" s="2" t="str">
        <x:v>2024Q2</x:v>
      </x:c>
      <x:c r="F917" s="20" t="n">
        <x:v>48994.5</x:v>
      </x:c>
      <x:c r="G917" s="20" t="n">
        <x:f>'Quarterly data'!$E$287</x:f>
        <x:v>48855.0333333333</x:v>
      </x:c>
      <x:c r="H917" s="22" t="n">
        <x:f>100*F917/G917</x:f>
        <x:v>100.28547041553556</x:v>
      </x:c>
      <x:c r="I917" s="24" t="n">
        <x:f>H917/100-1</x:f>
        <x:v>0.002854704155355492</x:v>
      </x:c>
      <x:c r="J917" s="26" t="n">
        <x:v>9</x:v>
      </x:c>
      <x:c r="K917" s="7" t="b">
        <x:v>0</x:v>
      </x:c>
      <x:c r="L917" s="2" t="str">
        <x:v>May 2026</x:v>
      </x:c>
      <x:c r="M917" s="2" t="str">
        <x:v>https://www.genaiadoptiontracker.com/</x:v>
      </x:c>
    </x:row>
    <x:row r="918" ht="24" customHeight="1">
      <x:c r="A918" s="2" t="str">
        <x:v>RPS</x:v>
      </x:c>
      <x:c r="B918" s="2" t="str">
        <x:v>Halves</x:v>
      </x:c>
      <x:c r="C918" s="2" t="str">
        <x:v>Lower half</x:v>
      </x:c>
      <x:c r="D918" s="28" t="n">
        <x:v>45413</x:v>
      </x:c>
      <x:c r="E918" s="2" t="str">
        <x:v>2024Q2</x:v>
      </x:c>
      <x:c r="F918" s="20" t="n">
        <x:v>85250.3</x:v>
      </x:c>
      <x:c r="G918" s="20" t="n">
        <x:f>'Quarterly data'!$E$286</x:f>
        <x:v>83557.8</x:v>
      </x:c>
      <x:c r="H918" s="22" t="n">
        <x:f>100*F918/G918</x:f>
        <x:v>102.02554399469588</x:v>
      </x:c>
      <x:c r="I918" s="24" t="n">
        <x:f>H918/100-1</x:f>
        <x:v>0.020255439946958775</x:v>
      </x:c>
      <x:c r="J918" s="26" t="n">
        <x:v>9</x:v>
      </x:c>
      <x:c r="K918" s="7" t="b">
        <x:v>0</x:v>
      </x:c>
      <x:c r="L918" s="2" t="str">
        <x:v>May 2026</x:v>
      </x:c>
      <x:c r="M918" s="2" t="str">
        <x:v>https://www.genaiadoptiontracker.com/</x:v>
      </x:c>
    </x:row>
    <x:row r="919" ht="24" customHeight="1">
      <x:c r="A919" s="2" t="str">
        <x:v>RPS</x:v>
      </x:c>
      <x:c r="B919" s="2" t="str">
        <x:v>Halves</x:v>
      </x:c>
      <x:c r="C919" s="2" t="str">
        <x:v>Higher half</x:v>
      </x:c>
      <x:c r="D919" s="28" t="n">
        <x:v>45413</x:v>
      </x:c>
      <x:c r="E919" s="2" t="str">
        <x:v>2024Q2</x:v>
      </x:c>
      <x:c r="F919" s="20" t="n">
        <x:v>48988.2</x:v>
      </x:c>
      <x:c r="G919" s="20" t="n">
        <x:f>'Quarterly data'!$E$287</x:f>
        <x:v>48855.0333333333</x:v>
      </x:c>
      <x:c r="H919" s="22" t="n">
        <x:f>100*F919/G919</x:f>
        <x:v>100.27257512190836</x:v>
      </x:c>
      <x:c r="I919" s="24" t="n">
        <x:f>H919/100-1</x:f>
        <x:v>0.002725751219083694</x:v>
      </x:c>
      <x:c r="J919" s="26" t="n">
        <x:v>9</x:v>
      </x:c>
      <x:c r="K919" s="7" t="b">
        <x:v>0</x:v>
      </x:c>
      <x:c r="L919" s="2" t="str">
        <x:v>May 2026</x:v>
      </x:c>
      <x:c r="M919" s="2" t="str">
        <x:v>https://www.genaiadoptiontracker.com/</x:v>
      </x:c>
    </x:row>
    <x:row r="920" ht="24" customHeight="1">
      <x:c r="A920" s="2" t="str">
        <x:v>RPS</x:v>
      </x:c>
      <x:c r="B920" s="2" t="str">
        <x:v>Halves</x:v>
      </x:c>
      <x:c r="C920" s="2" t="str">
        <x:v>Lower half</x:v>
      </x:c>
      <x:c r="D920" s="28" t="n">
        <x:v>45444</x:v>
      </x:c>
      <x:c r="E920" s="2" t="str">
        <x:v>2024Q2</x:v>
      </x:c>
      <x:c r="F920" s="20" t="n">
        <x:v>85296.1</x:v>
      </x:c>
      <x:c r="G920" s="20" t="n">
        <x:f>'Quarterly data'!$E$286</x:f>
        <x:v>83557.8</x:v>
      </x:c>
      <x:c r="H920" s="22" t="n">
        <x:f>100*F920/G920</x:f>
        <x:v>102.0803563521299</x:v>
      </x:c>
      <x:c r="I920" s="24" t="n">
        <x:f>H920/100-1</x:f>
        <x:v>0.020803563521298862</x:v>
      </x:c>
      <x:c r="J920" s="26" t="n">
        <x:v>9</x:v>
      </x:c>
      <x:c r="K920" s="7" t="b">
        <x:v>0</x:v>
      </x:c>
      <x:c r="L920" s="2" t="str">
        <x:v>May 2026</x:v>
      </x:c>
      <x:c r="M920" s="2" t="str">
        <x:v>https://www.genaiadoptiontracker.com/</x:v>
      </x:c>
    </x:row>
    <x:row r="921" ht="24" customHeight="1">
      <x:c r="A921" s="2" t="str">
        <x:v>RPS</x:v>
      </x:c>
      <x:c r="B921" s="2" t="str">
        <x:v>Halves</x:v>
      </x:c>
      <x:c r="C921" s="2" t="str">
        <x:v>Higher half</x:v>
      </x:c>
      <x:c r="D921" s="28" t="n">
        <x:v>45444</x:v>
      </x:c>
      <x:c r="E921" s="2" t="str">
        <x:v>2024Q2</x:v>
      </x:c>
      <x:c r="F921" s="20" t="n">
        <x:v>49021.1</x:v>
      </x:c>
      <x:c r="G921" s="20" t="n">
        <x:f>'Quarterly data'!$E$287</x:f>
        <x:v>48855.0333333333</x:v>
      </x:c>
      <x:c r="H921" s="22" t="n">
        <x:f>100*F921/G921</x:f>
        <x:v>100.3399172108504</x:v>
      </x:c>
      <x:c r="I921" s="24" t="n">
        <x:f>H921/100-1</x:f>
        <x:v>0.003399172108504045</x:v>
      </x:c>
      <x:c r="J921" s="26" t="n">
        <x:v>9</x:v>
      </x:c>
      <x:c r="K921" s="7" t="b">
        <x:v>0</x:v>
      </x:c>
      <x:c r="L921" s="2" t="str">
        <x:v>May 2026</x:v>
      </x:c>
      <x:c r="M921" s="2" t="str">
        <x:v>https://www.genaiadoptiontracker.com/</x:v>
      </x:c>
    </x:row>
    <x:row r="922" ht="24" customHeight="1">
      <x:c r="A922" s="2" t="str">
        <x:v>RPS</x:v>
      </x:c>
      <x:c r="B922" s="2" t="str">
        <x:v>Halves</x:v>
      </x:c>
      <x:c r="C922" s="2" t="str">
        <x:v>Lower half</x:v>
      </x:c>
      <x:c r="D922" s="28" t="n">
        <x:v>45474</x:v>
      </x:c>
      <x:c r="E922" s="2" t="str">
        <x:v>2024Q3</x:v>
      </x:c>
      <x:c r="F922" s="20" t="n">
        <x:v>85332.9</x:v>
      </x:c>
      <x:c r="G922" s="20" t="n">
        <x:f>'Quarterly data'!$E$286</x:f>
        <x:v>83557.8</x:v>
      </x:c>
      <x:c r="H922" s="22" t="n">
        <x:f>100*F922/G922</x:f>
        <x:v>102.12439772229523</x:v>
      </x:c>
      <x:c r="I922" s="24" t="n">
        <x:f>H922/100-1</x:f>
        <x:v>0.021243977222952237</x:v>
      </x:c>
      <x:c r="J922" s="26" t="n">
        <x:v>9</x:v>
      </x:c>
      <x:c r="K922" s="7" t="b">
        <x:v>0</x:v>
      </x:c>
      <x:c r="L922" s="2" t="str">
        <x:v>May 2026</x:v>
      </x:c>
      <x:c r="M922" s="2" t="str">
        <x:v>https://www.genaiadoptiontracker.com/</x:v>
      </x:c>
    </x:row>
    <x:row r="923" ht="24" customHeight="1">
      <x:c r="A923" s="2" t="str">
        <x:v>RPS</x:v>
      </x:c>
      <x:c r="B923" s="2" t="str">
        <x:v>Halves</x:v>
      </x:c>
      <x:c r="C923" s="2" t="str">
        <x:v>Higher half</x:v>
      </x:c>
      <x:c r="D923" s="28" t="n">
        <x:v>45474</x:v>
      </x:c>
      <x:c r="E923" s="2" t="str">
        <x:v>2024Q3</x:v>
      </x:c>
      <x:c r="F923" s="20" t="n">
        <x:v>48975.1</x:v>
      </x:c>
      <x:c r="G923" s="20" t="n">
        <x:f>'Quarterly data'!$E$287</x:f>
        <x:v>48855.0333333333</x:v>
      </x:c>
      <x:c r="H923" s="22" t="n">
        <x:f>100*F923/G923</x:f>
        <x:v>100.2457610986518</x:v>
      </x:c>
      <x:c r="I923" s="24" t="n">
        <x:f>H923/100-1</x:f>
        <x:v>0.0024576109865179774</x:v>
      </x:c>
      <x:c r="J923" s="26" t="n">
        <x:v>9</x:v>
      </x:c>
      <x:c r="K923" s="7" t="b">
        <x:v>0</x:v>
      </x:c>
      <x:c r="L923" s="2" t="str">
        <x:v>May 2026</x:v>
      </x:c>
      <x:c r="M923" s="2" t="str">
        <x:v>https://www.genaiadoptiontracker.com/</x:v>
      </x:c>
    </x:row>
    <x:row r="924" ht="24" customHeight="1">
      <x:c r="A924" s="2" t="str">
        <x:v>RPS</x:v>
      </x:c>
      <x:c r="B924" s="2" t="str">
        <x:v>Halves</x:v>
      </x:c>
      <x:c r="C924" s="2" t="str">
        <x:v>Lower half</x:v>
      </x:c>
      <x:c r="D924" s="28" t="n">
        <x:v>45505</x:v>
      </x:c>
      <x:c r="E924" s="2" t="str">
        <x:v>2024Q3</x:v>
      </x:c>
      <x:c r="F924" s="20" t="n">
        <x:v>85345.2</x:v>
      </x:c>
      <x:c r="G924" s="20" t="n">
        <x:f>'Quarterly data'!$E$286</x:f>
        <x:v>83557.8</x:v>
      </x:c>
      <x:c r="H924" s="22" t="n">
        <x:f>100*F924/G924</x:f>
        <x:v>102.13911807156244</x:v>
      </x:c>
      <x:c r="I924" s="24" t="n">
        <x:f>H924/100-1</x:f>
        <x:v>0.021391180715624403</x:v>
      </x:c>
      <x:c r="J924" s="26" t="n">
        <x:v>9</x:v>
      </x:c>
      <x:c r="K924" s="7" t="b">
        <x:v>0</x:v>
      </x:c>
      <x:c r="L924" s="2" t="str">
        <x:v>May 2026</x:v>
      </x:c>
      <x:c r="M924" s="2" t="str">
        <x:v>https://www.genaiadoptiontracker.com/</x:v>
      </x:c>
    </x:row>
    <x:row r="925" ht="24" customHeight="1">
      <x:c r="A925" s="2" t="str">
        <x:v>RPS</x:v>
      </x:c>
      <x:c r="B925" s="2" t="str">
        <x:v>Halves</x:v>
      </x:c>
      <x:c r="C925" s="2" t="str">
        <x:v>Higher half</x:v>
      </x:c>
      <x:c r="D925" s="28" t="n">
        <x:v>45505</x:v>
      </x:c>
      <x:c r="E925" s="2" t="str">
        <x:v>2024Q3</x:v>
      </x:c>
      <x:c r="F925" s="20" t="n">
        <x:v>48936.3</x:v>
      </x:c>
      <x:c r="G925" s="20" t="n">
        <x:f>'Quarterly data'!$E$287</x:f>
        <x:v>48855.0333333333</x:v>
      </x:c>
      <x:c r="H925" s="22" t="n">
        <x:f>100*F925/G925</x:f>
        <x:v>100.16634246488428</x:v>
      </x:c>
      <x:c r="I925" s="24" t="n">
        <x:f>H925/100-1</x:f>
        <x:v>0.0016634246488427262</x:v>
      </x:c>
      <x:c r="J925" s="26" t="n">
        <x:v>9</x:v>
      </x:c>
      <x:c r="K925" s="7" t="b">
        <x:v>0</x:v>
      </x:c>
      <x:c r="L925" s="2" t="str">
        <x:v>May 2026</x:v>
      </x:c>
      <x:c r="M925" s="2" t="str">
        <x:v>https://www.genaiadoptiontracker.com/</x:v>
      </x:c>
    </x:row>
    <x:row r="926" ht="24" customHeight="1">
      <x:c r="A926" s="2" t="str">
        <x:v>RPS</x:v>
      </x:c>
      <x:c r="B926" s="2" t="str">
        <x:v>Halves</x:v>
      </x:c>
      <x:c r="C926" s="2" t="str">
        <x:v>Lower half</x:v>
      </x:c>
      <x:c r="D926" s="28" t="n">
        <x:v>45536</x:v>
      </x:c>
      <x:c r="E926" s="2" t="str">
        <x:v>2024Q3</x:v>
      </x:c>
      <x:c r="F926" s="20" t="n">
        <x:v>85476.8</x:v>
      </x:c>
      <x:c r="G926" s="20" t="n">
        <x:f>'Quarterly data'!$E$286</x:f>
        <x:v>83557.8</x:v>
      </x:c>
      <x:c r="H926" s="22" t="n">
        <x:f>100*F926/G926</x:f>
        <x:v>102.29661384095799</x:v>
      </x:c>
      <x:c r="I926" s="24" t="n">
        <x:f>H926/100-1</x:f>
        <x:v>0.02296613840957984</x:v>
      </x:c>
      <x:c r="J926" s="26" t="n">
        <x:v>9</x:v>
      </x:c>
      <x:c r="K926" s="7" t="b">
        <x:v>0</x:v>
      </x:c>
      <x:c r="L926" s="2" t="str">
        <x:v>May 2026</x:v>
      </x:c>
      <x:c r="M926" s="2" t="str">
        <x:v>https://www.genaiadoptiontracker.com/</x:v>
      </x:c>
    </x:row>
    <x:row r="927" ht="24" customHeight="1">
      <x:c r="A927" s="2" t="str">
        <x:v>RPS</x:v>
      </x:c>
      <x:c r="B927" s="2" t="str">
        <x:v>Halves</x:v>
      </x:c>
      <x:c r="C927" s="2" t="str">
        <x:v>Higher half</x:v>
      </x:c>
      <x:c r="D927" s="28" t="n">
        <x:v>45536</x:v>
      </x:c>
      <x:c r="E927" s="2" t="str">
        <x:v>2024Q3</x:v>
      </x:c>
      <x:c r="F927" s="20" t="n">
        <x:v>48945.5</x:v>
      </x:c>
      <x:c r="G927" s="20" t="n">
        <x:f>'Quarterly data'!$E$287</x:f>
        <x:v>48855.0333333333</x:v>
      </x:c>
      <x:c r="H927" s="22" t="n">
        <x:f>100*F927/G927</x:f>
        <x:v>100.185173687324</x:v>
      </x:c>
      <x:c r="I927" s="24" t="n">
        <x:f>H927/100-1</x:f>
        <x:v>0.0018517368732400286</x:v>
      </x:c>
      <x:c r="J927" s="26" t="n">
        <x:v>9</x:v>
      </x:c>
      <x:c r="K927" s="7" t="b">
        <x:v>0</x:v>
      </x:c>
      <x:c r="L927" s="2" t="str">
        <x:v>May 2026</x:v>
      </x:c>
      <x:c r="M927" s="2" t="str">
        <x:v>https://www.genaiadoptiontracker.com/</x:v>
      </x:c>
    </x:row>
    <x:row r="928" ht="24" customHeight="1">
      <x:c r="A928" s="2" t="str">
        <x:v>RPS</x:v>
      </x:c>
      <x:c r="B928" s="2" t="str">
        <x:v>Halves</x:v>
      </x:c>
      <x:c r="C928" s="2" t="str">
        <x:v>Lower half</x:v>
      </x:c>
      <x:c r="D928" s="28" t="n">
        <x:v>45566</x:v>
      </x:c>
      <x:c r="E928" s="2" t="str">
        <x:v>2024Q4</x:v>
      </x:c>
      <x:c r="F928" s="20" t="n">
        <x:v>85548.9</x:v>
      </x:c>
      <x:c r="G928" s="20" t="n">
        <x:f>'Quarterly data'!$E$286</x:f>
        <x:v>83557.8</x:v>
      </x:c>
      <x:c r="H928" s="22" t="n">
        <x:f>100*F928/G928</x:f>
        <x:v>102.38290141674385</x:v>
      </x:c>
      <x:c r="I928" s="24" t="n">
        <x:f>H928/100-1</x:f>
        <x:v>0.023829014167438434</x:v>
      </x:c>
      <x:c r="J928" s="26" t="n">
        <x:v>9</x:v>
      </x:c>
      <x:c r="K928" s="7" t="b">
        <x:v>0</x:v>
      </x:c>
      <x:c r="L928" s="2" t="str">
        <x:v>May 2026</x:v>
      </x:c>
      <x:c r="M928" s="2" t="str">
        <x:v>https://www.genaiadoptiontracker.com/</x:v>
      </x:c>
    </x:row>
    <x:row r="929" ht="24" customHeight="1">
      <x:c r="A929" s="2" t="str">
        <x:v>RPS</x:v>
      </x:c>
      <x:c r="B929" s="2" t="str">
        <x:v>Halves</x:v>
      </x:c>
      <x:c r="C929" s="2" t="str">
        <x:v>Higher half</x:v>
      </x:c>
      <x:c r="D929" s="28" t="n">
        <x:v>45566</x:v>
      </x:c>
      <x:c r="E929" s="2" t="str">
        <x:v>2024Q4</x:v>
      </x:c>
      <x:c r="F929" s="20" t="n">
        <x:v>48867.9</x:v>
      </x:c>
      <x:c r="G929" s="20" t="n">
        <x:f>'Quarterly data'!$E$287</x:f>
        <x:v>48855.0333333333</x:v>
      </x:c>
      <x:c r="H929" s="22" t="n">
        <x:f>100*F929/G929</x:f>
        <x:v>100.02633641978896</x:v>
      </x:c>
      <x:c r="I929" s="24" t="n">
        <x:f>H929/100-1</x:f>
        <x:v>0.00026336419788952625</x:v>
      </x:c>
      <x:c r="J929" s="26" t="n">
        <x:v>9</x:v>
      </x:c>
      <x:c r="K929" s="7" t="b">
        <x:v>0</x:v>
      </x:c>
      <x:c r="L929" s="2" t="str">
        <x:v>May 2026</x:v>
      </x:c>
      <x:c r="M929" s="2" t="str">
        <x:v>https://www.genaiadoptiontracker.com/</x:v>
      </x:c>
    </x:row>
    <x:row r="930" ht="24" customHeight="1">
      <x:c r="A930" s="2" t="str">
        <x:v>RPS</x:v>
      </x:c>
      <x:c r="B930" s="2" t="str">
        <x:v>Halves</x:v>
      </x:c>
      <x:c r="C930" s="2" t="str">
        <x:v>Lower half</x:v>
      </x:c>
      <x:c r="D930" s="28" t="n">
        <x:v>45597</x:v>
      </x:c>
      <x:c r="E930" s="2" t="str">
        <x:v>2024Q4</x:v>
      </x:c>
      <x:c r="F930" s="20" t="n">
        <x:v>85638.9</x:v>
      </x:c>
      <x:c r="G930" s="20" t="n">
        <x:f>'Quarterly data'!$E$286</x:f>
        <x:v>83557.8</x:v>
      </x:c>
      <x:c r="H930" s="22" t="n">
        <x:f>100*F930/G930</x:f>
        <x:v>102.49061128943079</x:v>
      </x:c>
      <x:c r="I930" s="24" t="n">
        <x:f>H930/100-1</x:f>
        <x:v>0.024906112894307775</x:v>
      </x:c>
      <x:c r="J930" s="26" t="n">
        <x:v>9</x:v>
      </x:c>
      <x:c r="K930" s="7" t="b">
        <x:v>0</x:v>
      </x:c>
      <x:c r="L930" s="2" t="str">
        <x:v>May 2026</x:v>
      </x:c>
      <x:c r="M930" s="2" t="str">
        <x:v>https://www.genaiadoptiontracker.com/</x:v>
      </x:c>
    </x:row>
    <x:row r="931" ht="24" customHeight="1">
      <x:c r="A931" s="2" t="str">
        <x:v>RPS</x:v>
      </x:c>
      <x:c r="B931" s="2" t="str">
        <x:v>Halves</x:v>
      </x:c>
      <x:c r="C931" s="2" t="str">
        <x:v>Higher half</x:v>
      </x:c>
      <x:c r="D931" s="28" t="n">
        <x:v>45597</x:v>
      </x:c>
      <x:c r="E931" s="2" t="str">
        <x:v>2024Q4</x:v>
      </x:c>
      <x:c r="F931" s="20" t="n">
        <x:v>48895.8</x:v>
      </x:c>
      <x:c r="G931" s="20" t="n">
        <x:f>'Quarterly data'!$E$287</x:f>
        <x:v>48855.0333333333</x:v>
      </x:c>
      <x:c r="H931" s="22" t="n">
        <x:f>100*F931/G931</x:f>
        <x:v>100.08344414870942</x:v>
      </x:c>
      <x:c r="I931" s="24" t="n">
        <x:f>H931/100-1</x:f>
        <x:v>0.0008344414870942174</x:v>
      </x:c>
      <x:c r="J931" s="26" t="n">
        <x:v>9</x:v>
      </x:c>
      <x:c r="K931" s="7" t="b">
        <x:v>0</x:v>
      </x:c>
      <x:c r="L931" s="2" t="str">
        <x:v>May 2026</x:v>
      </x:c>
      <x:c r="M931" s="2" t="str">
        <x:v>https://www.genaiadoptiontracker.com/</x:v>
      </x:c>
    </x:row>
    <x:row r="932" ht="24" customHeight="1">
      <x:c r="A932" s="2" t="str">
        <x:v>RPS</x:v>
      </x:c>
      <x:c r="B932" s="2" t="str">
        <x:v>Halves</x:v>
      </x:c>
      <x:c r="C932" s="2" t="str">
        <x:v>Lower half</x:v>
      </x:c>
      <x:c r="D932" s="28" t="n">
        <x:v>45627</x:v>
      </x:c>
      <x:c r="E932" s="2" t="str">
        <x:v>2024Q4</x:v>
      </x:c>
      <x:c r="F932" s="20" t="n">
        <x:v>85814.7</x:v>
      </x:c>
      <x:c r="G932" s="20" t="n">
        <x:f>'Quarterly data'!$E$286</x:f>
        <x:v>83557.8</x:v>
      </x:c>
      <x:c r="H932" s="22" t="n">
        <x:f>100*F932/G932</x:f>
        <x:v>102.70100457407926</x:v>
      </x:c>
      <x:c r="I932" s="24" t="n">
        <x:f>H932/100-1</x:f>
        <x:v>0.027010045740792687</x:v>
      </x:c>
      <x:c r="J932" s="26" t="n">
        <x:v>9</x:v>
      </x:c>
      <x:c r="K932" s="7" t="b">
        <x:v>0</x:v>
      </x:c>
      <x:c r="L932" s="2" t="str">
        <x:v>May 2026</x:v>
      </x:c>
      <x:c r="M932" s="2" t="str">
        <x:v>https://www.genaiadoptiontracker.com/</x:v>
      </x:c>
    </x:row>
    <x:row r="933" ht="24" customHeight="1">
      <x:c r="A933" s="2" t="str">
        <x:v>RPS</x:v>
      </x:c>
      <x:c r="B933" s="2" t="str">
        <x:v>Halves</x:v>
      </x:c>
      <x:c r="C933" s="2" t="str">
        <x:v>Higher half</x:v>
      </x:c>
      <x:c r="D933" s="28" t="n">
        <x:v>45627</x:v>
      </x:c>
      <x:c r="E933" s="2" t="str">
        <x:v>2024Q4</x:v>
      </x:c>
      <x:c r="F933" s="20" t="n">
        <x:v>48932.3</x:v>
      </x:c>
      <x:c r="G933" s="20" t="n">
        <x:f>'Quarterly data'!$E$287</x:f>
        <x:v>48855.0333333333</x:v>
      </x:c>
      <x:c r="H933" s="22" t="n">
        <x:f>100*F933/G933</x:f>
        <x:v>100.15815497686701</x:v>
      </x:c>
      <x:c r="I933" s="24" t="n">
        <x:f>H933/100-1</x:f>
        <x:v>0.0015815497686701985</x:v>
      </x:c>
      <x:c r="J933" s="26" t="n">
        <x:v>9</x:v>
      </x:c>
      <x:c r="K933" s="7" t="b">
        <x:v>0</x:v>
      </x:c>
      <x:c r="L933" s="2" t="str">
        <x:v>May 2026</x:v>
      </x:c>
      <x:c r="M933" s="2" t="str">
        <x:v>https://www.genaiadoptiontracker.com/</x:v>
      </x:c>
    </x:row>
    <x:row r="934" ht="24" customHeight="1">
      <x:c r="A934" s="2" t="str">
        <x:v>RPS</x:v>
      </x:c>
      <x:c r="B934" s="2" t="str">
        <x:v>Halves</x:v>
      </x:c>
      <x:c r="C934" s="2" t="str">
        <x:v>Lower half</x:v>
      </x:c>
      <x:c r="D934" s="28" t="n">
        <x:v>45658</x:v>
      </x:c>
      <x:c r="E934" s="2" t="str">
        <x:v>2025Q1</x:v>
      </x:c>
      <x:c r="F934" s="20" t="n">
        <x:v>85808.7</x:v>
      </x:c>
      <x:c r="G934" s="20" t="n">
        <x:f>'Quarterly data'!$E$286</x:f>
        <x:v>83557.8</x:v>
      </x:c>
      <x:c r="H934" s="22" t="n">
        <x:f>100*F934/G934</x:f>
        <x:v>102.69382391590013</x:v>
      </x:c>
      <x:c r="I934" s="24" t="n">
        <x:f>H934/100-1</x:f>
        <x:v>0.026938239159001176</x:v>
      </x:c>
      <x:c r="J934" s="26" t="n">
        <x:v>9</x:v>
      </x:c>
      <x:c r="K934" s="7" t="b">
        <x:v>0</x:v>
      </x:c>
      <x:c r="L934" s="2" t="str">
        <x:v>May 2026</x:v>
      </x:c>
      <x:c r="M934" s="2" t="str">
        <x:v>https://www.genaiadoptiontracker.com/</x:v>
      </x:c>
    </x:row>
    <x:row r="935" ht="24" customHeight="1">
      <x:c r="A935" s="2" t="str">
        <x:v>RPS</x:v>
      </x:c>
      <x:c r="B935" s="2" t="str">
        <x:v>Halves</x:v>
      </x:c>
      <x:c r="C935" s="2" t="str">
        <x:v>Higher half</x:v>
      </x:c>
      <x:c r="D935" s="28" t="n">
        <x:v>45658</x:v>
      </x:c>
      <x:c r="E935" s="2" t="str">
        <x:v>2025Q1</x:v>
      </x:c>
      <x:c r="F935" s="20" t="n">
        <x:v>48861.3</x:v>
      </x:c>
      <x:c r="G935" s="20" t="n">
        <x:f>'Quarterly data'!$E$287</x:f>
        <x:v>48855.0333333333</x:v>
      </x:c>
      <x:c r="H935" s="22" t="n">
        <x:f>100*F935/G935</x:f>
        <x:v>100.01282706456047</x:v>
      </x:c>
      <x:c r="I935" s="24" t="n">
        <x:f>H935/100-1</x:f>
        <x:v>0.00012827064560472223</x:v>
      </x:c>
      <x:c r="J935" s="26" t="n">
        <x:v>9</x:v>
      </x:c>
      <x:c r="K935" s="7" t="b">
        <x:v>0</x:v>
      </x:c>
      <x:c r="L935" s="2" t="str">
        <x:v>May 2026</x:v>
      </x:c>
      <x:c r="M935" s="2" t="str">
        <x:v>https://www.genaiadoptiontracker.com/</x:v>
      </x:c>
    </x:row>
    <x:row r="936" ht="24" customHeight="1">
      <x:c r="A936" s="2" t="str">
        <x:v>RPS</x:v>
      </x:c>
      <x:c r="B936" s="2" t="str">
        <x:v>Halves</x:v>
      </x:c>
      <x:c r="C936" s="2" t="str">
        <x:v>Lower half</x:v>
      </x:c>
      <x:c r="D936" s="28" t="n">
        <x:v>45689</x:v>
      </x:c>
      <x:c r="E936" s="2" t="str">
        <x:v>2025Q1</x:v>
      </x:c>
      <x:c r="F936" s="20" t="n">
        <x:v>85837.6</x:v>
      </x:c>
      <x:c r="G936" s="20" t="n">
        <x:f>'Quarterly data'!$E$286</x:f>
        <x:v>83557.8</x:v>
      </x:c>
      <x:c r="H936" s="22" t="n">
        <x:f>100*F936/G936</x:f>
        <x:v>102.72841075279626</x:v>
      </x:c>
      <x:c r="I936" s="24" t="n">
        <x:f>H936/100-1</x:f>
        <x:v>0.02728410752796262</x:v>
      </x:c>
      <x:c r="J936" s="26" t="n">
        <x:v>9</x:v>
      </x:c>
      <x:c r="K936" s="7" t="b">
        <x:v>0</x:v>
      </x:c>
      <x:c r="L936" s="2" t="str">
        <x:v>May 2026</x:v>
      </x:c>
      <x:c r="M936" s="2" t="str">
        <x:v>https://www.genaiadoptiontracker.com/</x:v>
      </x:c>
    </x:row>
    <x:row r="937" ht="24" customHeight="1">
      <x:c r="A937" s="2" t="str">
        <x:v>RPS</x:v>
      </x:c>
      <x:c r="B937" s="2" t="str">
        <x:v>Halves</x:v>
      </x:c>
      <x:c r="C937" s="2" t="str">
        <x:v>Higher half</x:v>
      </x:c>
      <x:c r="D937" s="28" t="n">
        <x:v>45689</x:v>
      </x:c>
      <x:c r="E937" s="2" t="str">
        <x:v>2025Q1</x:v>
      </x:c>
      <x:c r="F937" s="20" t="n">
        <x:v>48871.2</x:v>
      </x:c>
      <x:c r="G937" s="20" t="n">
        <x:f>'Quarterly data'!$E$287</x:f>
        <x:v>48855.0333333333</x:v>
      </x:c>
      <x:c r="H937" s="22" t="n">
        <x:f>100*F937/G937</x:f>
        <x:v>100.03309109740322</x:v>
      </x:c>
      <x:c r="I937" s="24" t="n">
        <x:f>H937/100-1</x:f>
        <x:v>0.0003309109740321503</x:v>
      </x:c>
      <x:c r="J937" s="26" t="n">
        <x:v>9</x:v>
      </x:c>
      <x:c r="K937" s="7" t="b">
        <x:v>0</x:v>
      </x:c>
      <x:c r="L937" s="2" t="str">
        <x:v>May 2026</x:v>
      </x:c>
      <x:c r="M937" s="2" t="str">
        <x:v>https://www.genaiadoptiontracker.com/</x:v>
      </x:c>
    </x:row>
    <x:row r="938" ht="24" customHeight="1">
      <x:c r="A938" s="2" t="str">
        <x:v>RPS</x:v>
      </x:c>
      <x:c r="B938" s="2" t="str">
        <x:v>Halves</x:v>
      </x:c>
      <x:c r="C938" s="2" t="str">
        <x:v>Lower half</x:v>
      </x:c>
      <x:c r="D938" s="28" t="n">
        <x:v>45717</x:v>
      </x:c>
      <x:c r="E938" s="2" t="str">
        <x:v>2025Q1</x:v>
      </x:c>
      <x:c r="F938" s="20" t="n">
        <x:v>85920.7</x:v>
      </x:c>
      <x:c r="G938" s="20" t="n">
        <x:f>'Quarterly data'!$E$286</x:f>
        <x:v>83557.8</x:v>
      </x:c>
      <x:c r="H938" s="22" t="n">
        <x:f>100*F938/G938</x:f>
        <x:v>102.8278628685772</x:v>
      </x:c>
      <x:c r="I938" s="24" t="n">
        <x:f>H938/100-1</x:f>
        <x:v>0.02827862868577191</x:v>
      </x:c>
      <x:c r="J938" s="26" t="n">
        <x:v>9</x:v>
      </x:c>
      <x:c r="K938" s="7" t="b">
        <x:v>0</x:v>
      </x:c>
      <x:c r="L938" s="2" t="str">
        <x:v>May 2026</x:v>
      </x:c>
      <x:c r="M938" s="2" t="str">
        <x:v>https://www.genaiadoptiontracker.com/</x:v>
      </x:c>
    </x:row>
    <x:row r="939" ht="24" customHeight="1">
      <x:c r="A939" s="2" t="str">
        <x:v>RPS</x:v>
      </x:c>
      <x:c r="B939" s="2" t="str">
        <x:v>Halves</x:v>
      </x:c>
      <x:c r="C939" s="2" t="str">
        <x:v>Higher half</x:v>
      </x:c>
      <x:c r="D939" s="28" t="n">
        <x:v>45717</x:v>
      </x:c>
      <x:c r="E939" s="2" t="str">
        <x:v>2025Q1</x:v>
      </x:c>
      <x:c r="F939" s="20" t="n">
        <x:v>48855.2</x:v>
      </x:c>
      <x:c r="G939" s="20" t="n">
        <x:f>'Quarterly data'!$E$287</x:f>
        <x:v>48855.0333333333</x:v>
      </x:c>
      <x:c r="H939" s="22" t="n">
        <x:f>100*F939/G939</x:f>
        <x:v>100.00034114533413</x:v>
      </x:c>
      <x:c r="I939" s="24" t="n">
        <x:f>H939/100-1</x:f>
        <x:v>0.0000034114533413731607</x:v>
      </x:c>
      <x:c r="J939" s="26" t="n">
        <x:v>9</x:v>
      </x:c>
      <x:c r="K939" s="7" t="b">
        <x:v>0</x:v>
      </x:c>
      <x:c r="L939" s="2" t="str">
        <x:v>May 2026</x:v>
      </x:c>
      <x:c r="M939" s="2" t="str">
        <x:v>https://www.genaiadoptiontracker.com/</x:v>
      </x:c>
    </x:row>
    <x:row r="940" ht="24" customHeight="1">
      <x:c r="A940" s="2" t="str">
        <x:v>RPS</x:v>
      </x:c>
      <x:c r="B940" s="2" t="str">
        <x:v>Halves</x:v>
      </x:c>
      <x:c r="C940" s="2" t="str">
        <x:v>Lower half</x:v>
      </x:c>
      <x:c r="D940" s="28" t="n">
        <x:v>45748</x:v>
      </x:c>
      <x:c r="E940" s="2" t="str">
        <x:v>2025Q2</x:v>
      </x:c>
      <x:c r="F940" s="20" t="n">
        <x:v>86002.5</x:v>
      </x:c>
      <x:c r="G940" s="20" t="n">
        <x:f>'Quarterly data'!$E$286</x:f>
        <x:v>83557.8</x:v>
      </x:c>
      <x:c r="H940" s="22" t="n">
        <x:f>100*F940/G940</x:f>
        <x:v>102.92575917508599</x:v>
      </x:c>
      <x:c r="I940" s="24" t="n">
        <x:f>H940/100-1</x:f>
        <x:v>0.029257591750859957</x:v>
      </x:c>
      <x:c r="J940" s="26" t="n">
        <x:v>9</x:v>
      </x:c>
      <x:c r="K940" s="7" t="b">
        <x:v>0</x:v>
      </x:c>
      <x:c r="L940" s="2" t="str">
        <x:v>May 2026</x:v>
      </x:c>
      <x:c r="M940" s="2" t="str">
        <x:v>https://www.genaiadoptiontracker.com/</x:v>
      </x:c>
    </x:row>
    <x:row r="941" ht="24" customHeight="1">
      <x:c r="A941" s="2" t="str">
        <x:v>RPS</x:v>
      </x:c>
      <x:c r="B941" s="2" t="str">
        <x:v>Halves</x:v>
      </x:c>
      <x:c r="C941" s="2" t="str">
        <x:v>Higher half</x:v>
      </x:c>
      <x:c r="D941" s="28" t="n">
        <x:v>45748</x:v>
      </x:c>
      <x:c r="E941" s="2" t="str">
        <x:v>2025Q2</x:v>
      </x:c>
      <x:c r="F941" s="20" t="n">
        <x:v>48871.8</x:v>
      </x:c>
      <x:c r="G941" s="20" t="n">
        <x:f>'Quarterly data'!$E$287</x:f>
        <x:v>48855.0333333333</x:v>
      </x:c>
      <x:c r="H941" s="22" t="n">
        <x:f>100*F941/G941</x:f>
        <x:v>100.0343192206058</x:v>
      </x:c>
      <x:c r="I941" s="24" t="n">
        <x:f>H941/100-1</x:f>
        <x:v>0.00034319220605794065</x:v>
      </x:c>
      <x:c r="J941" s="26" t="n">
        <x:v>9</x:v>
      </x:c>
      <x:c r="K941" s="7" t="b">
        <x:v>0</x:v>
      </x:c>
      <x:c r="L941" s="2" t="str">
        <x:v>May 2026</x:v>
      </x:c>
      <x:c r="M941" s="2" t="str">
        <x:v>https://www.genaiadoptiontracker.com/</x:v>
      </x:c>
    </x:row>
    <x:row r="942" ht="24" customHeight="1">
      <x:c r="A942" s="2" t="str">
        <x:v>RPS</x:v>
      </x:c>
      <x:c r="B942" s="2" t="str">
        <x:v>Halves</x:v>
      </x:c>
      <x:c r="C942" s="2" t="str">
        <x:v>Lower half</x:v>
      </x:c>
      <x:c r="D942" s="28" t="n">
        <x:v>45778</x:v>
      </x:c>
      <x:c r="E942" s="2" t="str">
        <x:v>2025Q2</x:v>
      </x:c>
      <x:c r="F942" s="20" t="n">
        <x:v>86032</x:v>
      </x:c>
      <x:c r="G942" s="20" t="n">
        <x:f>'Quarterly data'!$E$286</x:f>
        <x:v>83557.8</x:v>
      </x:c>
      <x:c r="H942" s="22" t="n">
        <x:f>100*F942/G942</x:f>
        <x:v>102.96106407780003</x:v>
      </x:c>
      <x:c r="I942" s="24" t="n">
        <x:f>H942/100-1</x:f>
        <x:v>0.029610640778000352</x:v>
      </x:c>
      <x:c r="J942" s="26" t="n">
        <x:v>9</x:v>
      </x:c>
      <x:c r="K942" s="7" t="b">
        <x:v>0</x:v>
      </x:c>
      <x:c r="L942" s="2" t="str">
        <x:v>May 2026</x:v>
      </x:c>
      <x:c r="M942" s="2" t="str">
        <x:v>https://www.genaiadoptiontracker.com/</x:v>
      </x:c>
    </x:row>
    <x:row r="943" ht="24" customHeight="1">
      <x:c r="A943" s="2" t="str">
        <x:v>RPS</x:v>
      </x:c>
      <x:c r="B943" s="2" t="str">
        <x:v>Halves</x:v>
      </x:c>
      <x:c r="C943" s="2" t="str">
        <x:v>Higher half</x:v>
      </x:c>
      <x:c r="D943" s="28" t="n">
        <x:v>45778</x:v>
      </x:c>
      <x:c r="E943" s="2" t="str">
        <x:v>2025Q2</x:v>
      </x:c>
      <x:c r="F943" s="20" t="n">
        <x:v>48862.9</x:v>
      </x:c>
      <x:c r="G943" s="20" t="n">
        <x:f>'Quarterly data'!$E$287</x:f>
        <x:v>48855.0333333333</x:v>
      </x:c>
      <x:c r="H943" s="22" t="n">
        <x:f>100*F943/G943</x:f>
        <x:v>100.01610205976738</x:v>
      </x:c>
      <x:c r="I943" s="24" t="n">
        <x:f>H943/100-1</x:f>
        <x:v>0.00016102059767386656</x:v>
      </x:c>
      <x:c r="J943" s="26" t="n">
        <x:v>9</x:v>
      </x:c>
      <x:c r="K943" s="7" t="b">
        <x:v>0</x:v>
      </x:c>
      <x:c r="L943" s="2" t="str">
        <x:v>May 2026</x:v>
      </x:c>
      <x:c r="M943" s="2" t="str">
        <x:v>https://www.genaiadoptiontracker.com/</x:v>
      </x:c>
    </x:row>
    <x:row r="944" ht="24" customHeight="1">
      <x:c r="A944" s="2" t="str">
        <x:v>RPS</x:v>
      </x:c>
      <x:c r="B944" s="2" t="str">
        <x:v>Halves</x:v>
      </x:c>
      <x:c r="C944" s="2" t="str">
        <x:v>Lower half</x:v>
      </x:c>
      <x:c r="D944" s="28" t="n">
        <x:v>45809</x:v>
      </x:c>
      <x:c r="E944" s="2" t="str">
        <x:v>2025Q2</x:v>
      </x:c>
      <x:c r="F944" s="20" t="n">
        <x:v>86046</x:v>
      </x:c>
      <x:c r="G944" s="20" t="n">
        <x:f>'Quarterly data'!$E$286</x:f>
        <x:v>83557.8</x:v>
      </x:c>
      <x:c r="H944" s="22" t="n">
        <x:f>100*F944/G944</x:f>
        <x:v>102.97781894688467</x:v>
      </x:c>
      <x:c r="I944" s="24" t="n">
        <x:f>H944/100-1</x:f>
        <x:v>0.029778189468846694</x:v>
      </x:c>
      <x:c r="J944" s="26" t="n">
        <x:v>9</x:v>
      </x:c>
      <x:c r="K944" s="7" t="b">
        <x:v>0</x:v>
      </x:c>
      <x:c r="L944" s="2" t="str">
        <x:v>May 2026</x:v>
      </x:c>
      <x:c r="M944" s="2" t="str">
        <x:v>https://www.genaiadoptiontracker.com/</x:v>
      </x:c>
    </x:row>
    <x:row r="945" ht="24" customHeight="1">
      <x:c r="A945" s="2" t="str">
        <x:v>RPS</x:v>
      </x:c>
      <x:c r="B945" s="2" t="str">
        <x:v>Halves</x:v>
      </x:c>
      <x:c r="C945" s="2" t="str">
        <x:v>Higher half</x:v>
      </x:c>
      <x:c r="D945" s="28" t="n">
        <x:v>45809</x:v>
      </x:c>
      <x:c r="E945" s="2" t="str">
        <x:v>2025Q2</x:v>
      </x:c>
      <x:c r="F945" s="20" t="n">
        <x:v>48804</x:v>
      </x:c>
      <x:c r="G945" s="20" t="n">
        <x:f>'Quarterly data'!$E$287</x:f>
        <x:v>48855.0333333333</x:v>
      </x:c>
      <x:c r="H945" s="22" t="n">
        <x:f>100*F945/G945</x:f>
        <x:v>99.89554129871307</x:v>
      </x:c>
      <x:c r="I945" s="24" t="n">
        <x:f>H945/100-1</x:f>
        <x:v>-0.001044587012869247</x:v>
      </x:c>
      <x:c r="J945" s="26" t="n">
        <x:v>9</x:v>
      </x:c>
      <x:c r="K945" s="7" t="b">
        <x:v>0</x:v>
      </x:c>
      <x:c r="L945" s="2" t="str">
        <x:v>May 2026</x:v>
      </x:c>
      <x:c r="M945" s="2" t="str">
        <x:v>https://www.genaiadoptiontracker.com/</x:v>
      </x:c>
    </x:row>
    <x:row r="946" ht="24" customHeight="1">
      <x:c r="A946" s="2" t="str">
        <x:v>RPS</x:v>
      </x:c>
      <x:c r="B946" s="2" t="str">
        <x:v>Halves</x:v>
      </x:c>
      <x:c r="C946" s="2" t="str">
        <x:v>Lower half</x:v>
      </x:c>
      <x:c r="D946" s="28" t="n">
        <x:v>45839</x:v>
      </x:c>
      <x:c r="E946" s="2" t="str">
        <x:v>2025Q3</x:v>
      </x:c>
      <x:c r="F946" s="20" t="n">
        <x:v>86122.4</x:v>
      </x:c>
      <x:c r="G946" s="20" t="n">
        <x:f>'Quarterly data'!$E$286</x:f>
        <x:v>83557.8</x:v>
      </x:c>
      <x:c r="H946" s="22" t="n">
        <x:f>100*F946/G946</x:f>
        <x:v>103.06925266103224</x:v>
      </x:c>
      <x:c r="I946" s="24" t="n">
        <x:f>H946/100-1</x:f>
        <x:v>0.0306925266103224</x:v>
      </x:c>
      <x:c r="J946" s="26" t="n">
        <x:v>9</x:v>
      </x:c>
      <x:c r="K946" s="7" t="b">
        <x:v>0</x:v>
      </x:c>
      <x:c r="L946" s="2" t="str">
        <x:v>May 2026</x:v>
      </x:c>
      <x:c r="M946" s="2" t="str">
        <x:v>https://www.genaiadoptiontracker.com/</x:v>
      </x:c>
    </x:row>
    <x:row r="947" ht="24" customHeight="1">
      <x:c r="A947" s="2" t="str">
        <x:v>RPS</x:v>
      </x:c>
      <x:c r="B947" s="2" t="str">
        <x:v>Halves</x:v>
      </x:c>
      <x:c r="C947" s="2" t="str">
        <x:v>Higher half</x:v>
      </x:c>
      <x:c r="D947" s="28" t="n">
        <x:v>45839</x:v>
      </x:c>
      <x:c r="E947" s="2" t="str">
        <x:v>2025Q3</x:v>
      </x:c>
      <x:c r="F947" s="20" t="n">
        <x:v>48793.5</x:v>
      </x:c>
      <x:c r="G947" s="20" t="n">
        <x:f>'Quarterly data'!$E$287</x:f>
        <x:v>48855.0333333333</x:v>
      </x:c>
      <x:c r="H947" s="22" t="n">
        <x:f>100*F947/G947</x:f>
        <x:v>99.87404914266773</x:v>
      </x:c>
      <x:c r="I947" s="24" t="n">
        <x:f>H947/100-1</x:f>
        <x:v>-0.0012595085733226874</x:v>
      </x:c>
      <x:c r="J947" s="26" t="n">
        <x:v>9</x:v>
      </x:c>
      <x:c r="K947" s="7" t="b">
        <x:v>0</x:v>
      </x:c>
      <x:c r="L947" s="2" t="str">
        <x:v>May 2026</x:v>
      </x:c>
      <x:c r="M947" s="2" t="str">
        <x:v>https://www.genaiadoptiontracker.com/</x:v>
      </x:c>
    </x:row>
    <x:row r="948" ht="24" customHeight="1">
      <x:c r="A948" s="2" t="str">
        <x:v>RPS</x:v>
      </x:c>
      <x:c r="B948" s="2" t="str">
        <x:v>Halves</x:v>
      </x:c>
      <x:c r="C948" s="2" t="str">
        <x:v>Lower half</x:v>
      </x:c>
      <x:c r="D948" s="28" t="n">
        <x:v>45870</x:v>
      </x:c>
      <x:c r="E948" s="2" t="str">
        <x:v>2025Q3</x:v>
      </x:c>
      <x:c r="F948" s="20" t="n">
        <x:v>86148.6</x:v>
      </x:c>
      <x:c r="G948" s="20" t="n">
        <x:f>'Quarterly data'!$E$286</x:f>
        <x:v>83557.8</x:v>
      </x:c>
      <x:c r="H948" s="22" t="n">
        <x:f>100*F948/G948</x:f>
        <x:v>103.10060820174778</x:v>
      </x:c>
      <x:c r="I948" s="24" t="n">
        <x:f>H948/100-1</x:f>
        <x:v>0.031006082017477787</x:v>
      </x:c>
      <x:c r="J948" s="26" t="n">
        <x:v>9</x:v>
      </x:c>
      <x:c r="K948" s="7" t="b">
        <x:v>0</x:v>
      </x:c>
      <x:c r="L948" s="2" t="str">
        <x:v>May 2026</x:v>
      </x:c>
      <x:c r="M948" s="2" t="str">
        <x:v>https://www.genaiadoptiontracker.com/</x:v>
      </x:c>
    </x:row>
    <x:row r="949" ht="24" customHeight="1">
      <x:c r="A949" s="2" t="str">
        <x:v>RPS</x:v>
      </x:c>
      <x:c r="B949" s="2" t="str">
        <x:v>Halves</x:v>
      </x:c>
      <x:c r="C949" s="2" t="str">
        <x:v>Higher half</x:v>
      </x:c>
      <x:c r="D949" s="28" t="n">
        <x:v>45870</x:v>
      </x:c>
      <x:c r="E949" s="2" t="str">
        <x:v>2025Q3</x:v>
      </x:c>
      <x:c r="F949" s="20" t="n">
        <x:v>48748</x:v>
      </x:c>
      <x:c r="G949" s="20" t="n">
        <x:f>'Quarterly data'!$E$287</x:f>
        <x:v>48855.0333333333</x:v>
      </x:c>
      <x:c r="H949" s="22" t="n">
        <x:f>100*F949/G949</x:f>
        <x:v>99.78091646647128</x:v>
      </x:c>
      <x:c r="I949" s="24" t="n">
        <x:f>H949/100-1</x:f>
        <x:v>-0.002190835335287189</x:v>
      </x:c>
      <x:c r="J949" s="26" t="n">
        <x:v>9</x:v>
      </x:c>
      <x:c r="K949" s="7" t="b">
        <x:v>0</x:v>
      </x:c>
      <x:c r="L949" s="2" t="str">
        <x:v>May 2026</x:v>
      </x:c>
      <x:c r="M949" s="2" t="str">
        <x:v>https://www.genaiadoptiontracker.com/</x:v>
      </x:c>
    </x:row>
    <x:row r="950" ht="24" customHeight="1">
      <x:c r="A950" s="2" t="str">
        <x:v>RPS</x:v>
      </x:c>
      <x:c r="B950" s="2" t="str">
        <x:v>Halves</x:v>
      </x:c>
      <x:c r="C950" s="2" t="str">
        <x:v>Lower half</x:v>
      </x:c>
      <x:c r="D950" s="28" t="n">
        <x:v>45901</x:v>
      </x:c>
      <x:c r="E950" s="2" t="str">
        <x:v>2025Q3</x:v>
      </x:c>
      <x:c r="F950" s="20" t="n">
        <x:v>86213.3</x:v>
      </x:c>
      <x:c r="G950" s="20" t="n">
        <x:f>'Quarterly data'!$E$286</x:f>
        <x:v>83557.8</x:v>
      </x:c>
      <x:c r="H950" s="22" t="n">
        <x:f>100*F950/G950</x:f>
        <x:v>103.17803963244604</x:v>
      </x:c>
      <x:c r="I950" s="24" t="n">
        <x:f>H950/100-1</x:f>
        <x:v>0.0317803963244605</x:v>
      </x:c>
      <x:c r="J950" s="26" t="n">
        <x:v>9</x:v>
      </x:c>
      <x:c r="K950" s="7" t="b">
        <x:v>0</x:v>
      </x:c>
      <x:c r="L950" s="2" t="str">
        <x:v>May 2026</x:v>
      </x:c>
      <x:c r="M950" s="2" t="str">
        <x:v>https://www.genaiadoptiontracker.com/</x:v>
      </x:c>
    </x:row>
    <x:row r="951" ht="24" customHeight="1">
      <x:c r="A951" s="2" t="str">
        <x:v>RPS</x:v>
      </x:c>
      <x:c r="B951" s="2" t="str">
        <x:v>Halves</x:v>
      </x:c>
      <x:c r="C951" s="2" t="str">
        <x:v>Higher half</x:v>
      </x:c>
      <x:c r="D951" s="28" t="n">
        <x:v>45901</x:v>
      </x:c>
      <x:c r="E951" s="2" t="str">
        <x:v>2025Q3</x:v>
      </x:c>
      <x:c r="F951" s="20" t="n">
        <x:v>48752.1</x:v>
      </x:c>
      <x:c r="G951" s="20" t="n">
        <x:f>'Quarterly data'!$E$287</x:f>
        <x:v>48855.0333333333</x:v>
      </x:c>
      <x:c r="H951" s="22" t="n">
        <x:f>100*F951/G951</x:f>
        <x:v>99.78930864168899</x:v>
      </x:c>
      <x:c r="I951" s="24" t="n">
        <x:f>H951/100-1</x:f>
        <x:v>-0.002106913583110104</x:v>
      </x:c>
      <x:c r="J951" s="26" t="n">
        <x:v>9</x:v>
      </x:c>
      <x:c r="K951" s="7" t="b">
        <x:v>0</x:v>
      </x:c>
      <x:c r="L951" s="2" t="str">
        <x:v>May 2026</x:v>
      </x:c>
      <x:c r="M951" s="2" t="str">
        <x:v>https://www.genaiadoptiontracker.com/</x:v>
      </x:c>
    </x:row>
    <x:row r="952" ht="24" customHeight="1">
      <x:c r="A952" s="2" t="str">
        <x:v>RPS</x:v>
      </x:c>
      <x:c r="B952" s="2" t="str">
        <x:v>Halves</x:v>
      </x:c>
      <x:c r="C952" s="2" t="str">
        <x:v>Lower half</x:v>
      </x:c>
      <x:c r="D952" s="28" t="n">
        <x:v>45931</x:v>
      </x:c>
      <x:c r="E952" s="2" t="str">
        <x:v>2025Q4</x:v>
      </x:c>
      <x:c r="F952" s="20" t="n">
        <x:v>86256.4</x:v>
      </x:c>
      <x:c r="G952" s="20" t="n">
        <x:f>'Quarterly data'!$E$286</x:f>
        <x:v>83557.8</x:v>
      </x:c>
      <x:c r="H952" s="22" t="n">
        <x:f>100*F952/G952</x:f>
        <x:v>103.22962069369945</x:v>
      </x:c>
      <x:c r="I952" s="24" t="n">
        <x:f>H952/100-1</x:f>
        <x:v>0.03229620693699453</x:v>
      </x:c>
      <x:c r="J952" s="26" t="n">
        <x:v>9</x:v>
      </x:c>
      <x:c r="K952" s="7" t="b">
        <x:v>0</x:v>
      </x:c>
      <x:c r="L952" s="2" t="str">
        <x:v>May 2026</x:v>
      </x:c>
      <x:c r="M952" s="2" t="str">
        <x:v>https://www.genaiadoptiontracker.com/</x:v>
      </x:c>
    </x:row>
    <x:row r="953" ht="24" customHeight="1">
      <x:c r="A953" s="2" t="str">
        <x:v>RPS</x:v>
      </x:c>
      <x:c r="B953" s="2" t="str">
        <x:v>Halves</x:v>
      </x:c>
      <x:c r="C953" s="2" t="str">
        <x:v>Higher half</x:v>
      </x:c>
      <x:c r="D953" s="28" t="n">
        <x:v>45931</x:v>
      </x:c>
      <x:c r="E953" s="2" t="str">
        <x:v>2025Q4</x:v>
      </x:c>
      <x:c r="F953" s="20" t="n">
        <x:v>48722.6</x:v>
      </x:c>
      <x:c r="G953" s="20" t="n">
        <x:f>'Quarterly data'!$E$287</x:f>
        <x:v>48855.0333333333</x:v>
      </x:c>
      <x:c r="H953" s="22" t="n">
        <x:f>100*F953/G953</x:f>
        <x:v>99.72892591756163</x:v>
      </x:c>
      <x:c r="I953" s="24" t="n">
        <x:f>H953/100-1</x:f>
        <x:v>-0.0027107408243837172</x:v>
      </x:c>
      <x:c r="J953" s="26" t="n">
        <x:v>9</x:v>
      </x:c>
      <x:c r="K953" s="7" t="b">
        <x:v>0</x:v>
      </x:c>
      <x:c r="L953" s="2" t="str">
        <x:v>May 2026</x:v>
      </x:c>
      <x:c r="M953" s="2" t="str">
        <x:v>https://www.genaiadoptiontracker.com/</x:v>
      </x:c>
    </x:row>
    <x:row r="954" ht="24" customHeight="1">
      <x:c r="A954" s="2" t="str">
        <x:v>RPS</x:v>
      </x:c>
      <x:c r="B954" s="2" t="str">
        <x:v>Halves</x:v>
      </x:c>
      <x:c r="C954" s="2" t="str">
        <x:v>Lower half</x:v>
      </x:c>
      <x:c r="D954" s="28" t="n">
        <x:v>45962</x:v>
      </x:c>
      <x:c r="E954" s="2" t="str">
        <x:v>2025Q4</x:v>
      </x:c>
      <x:c r="F954" s="20" t="n">
        <x:v>86313.9</x:v>
      </x:c>
      <x:c r="G954" s="20" t="n">
        <x:f>'Quarterly data'!$E$286</x:f>
        <x:v>83557.8</x:v>
      </x:c>
      <x:c r="H954" s="22" t="n">
        <x:f>100*F954/G954</x:f>
        <x:v>103.29843533458276</x:v>
      </x:c>
      <x:c r="I954" s="24" t="n">
        <x:f>H954/100-1</x:f>
        <x:v>0.03298435334582761</x:v>
      </x:c>
      <x:c r="J954" s="26" t="n">
        <x:v>9</x:v>
      </x:c>
      <x:c r="K954" s="7" t="b">
        <x:v>0</x:v>
      </x:c>
      <x:c r="L954" s="2" t="str">
        <x:v>May 2026</x:v>
      </x:c>
      <x:c r="M954" s="2" t="str">
        <x:v>https://www.genaiadoptiontracker.com/</x:v>
      </x:c>
    </x:row>
    <x:row r="955" ht="24" customHeight="1">
      <x:c r="A955" s="2" t="str">
        <x:v>RPS</x:v>
      </x:c>
      <x:c r="B955" s="2" t="str">
        <x:v>Halves</x:v>
      </x:c>
      <x:c r="C955" s="2" t="str">
        <x:v>Higher half</x:v>
      </x:c>
      <x:c r="D955" s="28" t="n">
        <x:v>45962</x:v>
      </x:c>
      <x:c r="E955" s="2" t="str">
        <x:v>2025Q4</x:v>
      </x:c>
      <x:c r="F955" s="20" t="n">
        <x:v>48738.8</x:v>
      </x:c>
      <x:c r="G955" s="20" t="n">
        <x:f>'Quarterly data'!$E$287</x:f>
        <x:v>48855.0333333333</x:v>
      </x:c>
      <x:c r="H955" s="22" t="n">
        <x:f>100*F955/G955</x:f>
        <x:v>99.76208524403157</x:v>
      </x:c>
      <x:c r="I955" s="24" t="n">
        <x:f>H955/100-1</x:f>
        <x:v>-0.0023791475596843803</x:v>
      </x:c>
      <x:c r="J955" s="26" t="n">
        <x:v>9</x:v>
      </x:c>
      <x:c r="K955" s="7" t="b">
        <x:v>0</x:v>
      </x:c>
      <x:c r="L955" s="2" t="str">
        <x:v>May 2026</x:v>
      </x:c>
      <x:c r="M955" s="2" t="str">
        <x:v>https://www.genaiadoptiontracker.com/</x:v>
      </x:c>
    </x:row>
    <x:row r="956" ht="24" customHeight="1">
      <x:c r="A956" s="2" t="str">
        <x:v>RPS</x:v>
      </x:c>
      <x:c r="B956" s="2" t="str">
        <x:v>Halves</x:v>
      </x:c>
      <x:c r="C956" s="2" t="str">
        <x:v>Lower half</x:v>
      </x:c>
      <x:c r="D956" s="28" t="n">
        <x:v>45992</x:v>
      </x:c>
      <x:c r="E956" s="2" t="str">
        <x:v>2025Q4</x:v>
      </x:c>
      <x:c r="F956" s="20" t="n">
        <x:v>86344</x:v>
      </x:c>
      <x:c r="G956" s="20" t="n">
        <x:f>'Quarterly data'!$E$286</x:f>
        <x:v>83557.8</x:v>
      </x:c>
      <x:c r="H956" s="22" t="n">
        <x:f>100*F956/G956</x:f>
        <x:v>103.33445830311473</x:v>
      </x:c>
      <x:c r="I956" s="24" t="n">
        <x:f>H956/100-1</x:f>
        <x:v>0.0333445830311474</x:v>
      </x:c>
      <x:c r="J956" s="26" t="n">
        <x:v>9</x:v>
      </x:c>
      <x:c r="K956" s="7" t="b">
        <x:v>0</x:v>
      </x:c>
      <x:c r="L956" s="2" t="str">
        <x:v>May 2026</x:v>
      </x:c>
      <x:c r="M956" s="2" t="str">
        <x:v>https://www.genaiadoptiontracker.com/</x:v>
      </x:c>
    </x:row>
    <x:row r="957" ht="24" customHeight="1">
      <x:c r="A957" s="2" t="str">
        <x:v>RPS</x:v>
      </x:c>
      <x:c r="B957" s="2" t="str">
        <x:v>Halves</x:v>
      </x:c>
      <x:c r="C957" s="2" t="str">
        <x:v>Higher half</x:v>
      </x:c>
      <x:c r="D957" s="28" t="n">
        <x:v>45992</x:v>
      </x:c>
      <x:c r="E957" s="2" t="str">
        <x:v>2025Q4</x:v>
      </x:c>
      <x:c r="F957" s="20" t="n">
        <x:v>48700.8</x:v>
      </x:c>
      <x:c r="G957" s="20" t="n">
        <x:f>'Quarterly data'!$E$287</x:f>
        <x:v>48855.0333333333</x:v>
      </x:c>
      <x:c r="H957" s="22" t="n">
        <x:f>100*F957/G957</x:f>
        <x:v>99.6843041078675</x:v>
      </x:c>
      <x:c r="I957" s="24" t="n">
        <x:f>H957/100-1</x:f>
        <x:v>-0.0031569589213249483</x:v>
      </x:c>
      <x:c r="J957" s="26" t="n">
        <x:v>9</x:v>
      </x:c>
      <x:c r="K957" s="7" t="b">
        <x:v>0</x:v>
      </x:c>
      <x:c r="L957" s="2" t="str">
        <x:v>May 2026</x:v>
      </x:c>
      <x:c r="M957" s="2" t="str">
        <x:v>https://www.genaiadoptiontracker.com/</x:v>
      </x:c>
    </x:row>
    <x:row r="958" ht="24" customHeight="1">
      <x:c r="A958" s="2" t="str">
        <x:v>RPS</x:v>
      </x:c>
      <x:c r="B958" s="2" t="str">
        <x:v>Halves</x:v>
      </x:c>
      <x:c r="C958" s="2" t="str">
        <x:v>Lower half</x:v>
      </x:c>
      <x:c r="D958" s="28" t="n">
        <x:v>46023</x:v>
      </x:c>
      <x:c r="E958" s="2" t="str">
        <x:v>2026Q1</x:v>
      </x:c>
      <x:c r="F958" s="20" t="n">
        <x:v>86570.3</x:v>
      </x:c>
      <x:c r="G958" s="20" t="n">
        <x:f>'Quarterly data'!$E$286</x:f>
        <x:v>83557.8</x:v>
      </x:c>
      <x:c r="H958" s="22" t="n">
        <x:f>100*F958/G958</x:f>
        <x:v>103.6052887941042</x:v>
      </x:c>
      <x:c r="I958" s="24" t="n">
        <x:f>H958/100-1</x:f>
        <x:v>0.036052887941042</x:v>
      </x:c>
      <x:c r="J958" s="26" t="n">
        <x:v>9</x:v>
      </x:c>
      <x:c r="K958" s="7" t="b">
        <x:v>0</x:v>
      </x:c>
      <x:c r="L958" s="2" t="str">
        <x:v>May 2026</x:v>
      </x:c>
      <x:c r="M958" s="2" t="str">
        <x:v>https://www.genaiadoptiontracker.com/</x:v>
      </x:c>
    </x:row>
    <x:row r="959" ht="24" customHeight="1">
      <x:c r="A959" s="2" t="str">
        <x:v>RPS</x:v>
      </x:c>
      <x:c r="B959" s="2" t="str">
        <x:v>Halves</x:v>
      </x:c>
      <x:c r="C959" s="2" t="str">
        <x:v>Higher half</x:v>
      </x:c>
      <x:c r="D959" s="28" t="n">
        <x:v>46023</x:v>
      </x:c>
      <x:c r="E959" s="2" t="str">
        <x:v>2026Q1</x:v>
      </x:c>
      <x:c r="F959" s="20" t="n">
        <x:v>48655.5</x:v>
      </x:c>
      <x:c r="G959" s="20" t="n">
        <x:f>'Quarterly data'!$E$287</x:f>
        <x:v>48855.0333333333</x:v>
      </x:c>
      <x:c r="H959" s="22" t="n">
        <x:f>100*F959/G959</x:f>
        <x:v>99.59158080607192</x:v>
      </x:c>
      <x:c r="I959" s="24" t="n">
        <x:f>H959/100-1</x:f>
        <x:v>-0.004084191939280779</x:v>
      </x:c>
      <x:c r="J959" s="26" t="n">
        <x:v>9</x:v>
      </x:c>
      <x:c r="K959" s="7" t="b">
        <x:v>0</x:v>
      </x:c>
      <x:c r="L959" s="2" t="str">
        <x:v>May 2026</x:v>
      </x:c>
      <x:c r="M959" s="2" t="str">
        <x:v>https://www.genaiadoptiontracker.com/</x:v>
      </x:c>
    </x:row>
    <x:row r="960" ht="24" customHeight="1">
      <x:c r="A960" s="2" t="str">
        <x:v>RPS</x:v>
      </x:c>
      <x:c r="B960" s="2" t="str">
        <x:v>Halves</x:v>
      </x:c>
      <x:c r="C960" s="2" t="str">
        <x:v>Lower half</x:v>
      </x:c>
      <x:c r="D960" s="28" t="n">
        <x:v>46054</x:v>
      </x:c>
      <x:c r="E960" s="2" t="str">
        <x:v>2026Q1</x:v>
      </x:c>
      <x:c r="F960" s="20" t="n">
        <x:v>86434.6</x:v>
      </x:c>
      <x:c r="G960" s="20" t="n">
        <x:f>'Quarterly data'!$E$286</x:f>
        <x:v>83557.8</x:v>
      </x:c>
      <x:c r="H960" s="22" t="n">
        <x:f>100*F960/G960</x:f>
        <x:v>103.44288624161958</x:v>
      </x:c>
      <x:c r="I960" s="24" t="n">
        <x:f>H960/100-1</x:f>
        <x:v>0.034428862416195694</x:v>
      </x:c>
      <x:c r="J960" s="26" t="n">
        <x:v>9</x:v>
      </x:c>
      <x:c r="K960" s="7" t="b">
        <x:v>0</x:v>
      </x:c>
      <x:c r="L960" s="2" t="str">
        <x:v>May 2026</x:v>
      </x:c>
      <x:c r="M960" s="2" t="str">
        <x:v>https://www.genaiadoptiontracker.com/</x:v>
      </x:c>
    </x:row>
    <x:row r="961" ht="24" customHeight="1">
      <x:c r="A961" s="2" t="str">
        <x:v>RPS</x:v>
      </x:c>
      <x:c r="B961" s="2" t="str">
        <x:v>Halves</x:v>
      </x:c>
      <x:c r="C961" s="2" t="str">
        <x:v>Higher half</x:v>
      </x:c>
      <x:c r="D961" s="28" t="n">
        <x:v>46054</x:v>
      </x:c>
      <x:c r="E961" s="2" t="str">
        <x:v>2026Q1</x:v>
      </x:c>
      <x:c r="F961" s="20" t="n">
        <x:v>48644.2</x:v>
      </x:c>
      <x:c r="G961" s="20" t="n">
        <x:f>'Quarterly data'!$E$287</x:f>
        <x:v>48855.0333333333</x:v>
      </x:c>
      <x:c r="H961" s="22" t="n">
        <x:f>100*F961/G961</x:f>
        <x:v>99.56845115242312</x:v>
      </x:c>
      <x:c r="I961" s="24" t="n">
        <x:f>H961/100-1</x:f>
        <x:v>-0.004315488475768792</x:v>
      </x:c>
      <x:c r="J961" s="26" t="n">
        <x:v>9</x:v>
      </x:c>
      <x:c r="K961" s="7" t="b">
        <x:v>0</x:v>
      </x:c>
      <x:c r="L961" s="2" t="str">
        <x:v>May 2026</x:v>
      </x:c>
      <x:c r="M961" s="2" t="str">
        <x:v>https://www.genaiadoptiontracker.com/</x:v>
      </x:c>
    </x:row>
    <x:row r="962" ht="24" customHeight="1">
      <x:c r="A962" s="2" t="str">
        <x:v>RPS</x:v>
      </x:c>
      <x:c r="B962" s="2" t="str">
        <x:v>Halves</x:v>
      </x:c>
      <x:c r="C962" s="2" t="str">
        <x:v>Lower half</x:v>
      </x:c>
      <x:c r="D962" s="28" t="n">
        <x:v>46082</x:v>
      </x:c>
      <x:c r="E962" s="2" t="str">
        <x:v>2026Q1</x:v>
      </x:c>
      <x:c r="F962" s="20" t="n">
        <x:v>86652.5</x:v>
      </x:c>
      <x:c r="G962" s="20" t="n">
        <x:f>'Quarterly data'!$E$286</x:f>
        <x:v>83557.8</x:v>
      </x:c>
      <x:c r="H962" s="22" t="n">
        <x:f>100*F962/G962</x:f>
        <x:v>103.70366381115826</x:v>
      </x:c>
      <x:c r="I962" s="24" t="n">
        <x:f>H962/100-1</x:f>
        <x:v>0.037036638111582754</x:v>
      </x:c>
      <x:c r="J962" s="26" t="n">
        <x:v>9</x:v>
      </x:c>
      <x:c r="K962" s="7" t="b">
        <x:v>0</x:v>
      </x:c>
      <x:c r="L962" s="2" t="str">
        <x:v>May 2026</x:v>
      </x:c>
      <x:c r="M962" s="2" t="str">
        <x:v>https://www.genaiadoptiontracker.com/</x:v>
      </x:c>
    </x:row>
    <x:row r="963" ht="24" customHeight="1">
      <x:c r="A963" s="2" t="str">
        <x:v>RPS</x:v>
      </x:c>
      <x:c r="B963" s="2" t="str">
        <x:v>Halves</x:v>
      </x:c>
      <x:c r="C963" s="2" t="str">
        <x:v>Higher half</x:v>
      </x:c>
      <x:c r="D963" s="28" t="n">
        <x:v>46082</x:v>
      </x:c>
      <x:c r="E963" s="2" t="str">
        <x:v>2026Q1</x:v>
      </x:c>
      <x:c r="F963" s="20" t="n">
        <x:v>48627.2</x:v>
      </x:c>
      <x:c r="G963" s="20" t="n">
        <x:f>'Quarterly data'!$E$287</x:f>
        <x:v>48855.0333333333</x:v>
      </x:c>
      <x:c r="H963" s="22" t="n">
        <x:f>100*F963/G963</x:f>
        <x:v>99.53365432834973</x:v>
      </x:c>
      <x:c r="I963" s="24" t="n">
        <x:f>H963/100-1</x:f>
        <x:v>-0.004663456716502701</x:v>
      </x:c>
      <x:c r="J963" s="26" t="n">
        <x:v>9</x:v>
      </x:c>
      <x:c r="K963" s="7" t="b">
        <x:v>0</x:v>
      </x:c>
      <x:c r="L963" s="2" t="str">
        <x:v>May 2026</x:v>
      </x:c>
      <x:c r="M963" s="2" t="str">
        <x:v>https://www.genaiadoptiontracker.com/</x:v>
      </x:c>
    </x:row>
    <x:row r="964" ht="24" customHeight="1">
      <x:c r="A964" s="2" t="str">
        <x:v>RPS</x:v>
      </x:c>
      <x:c r="B964" s="2" t="str">
        <x:v>Halves</x:v>
      </x:c>
      <x:c r="C964" s="2" t="str">
        <x:v>Lower half</x:v>
      </x:c>
      <x:c r="D964" s="28" t="n">
        <x:v>46113</x:v>
      </x:c>
      <x:c r="E964" s="2" t="str">
        <x:v>2026Q2</x:v>
      </x:c>
      <x:c r="F964" s="20" t="n">
        <x:v>86790.8</x:v>
      </x:c>
      <x:c r="G964" s="20" t="n">
        <x:f>'Quarterly data'!$E$286</x:f>
        <x:v>83557.8</x:v>
      </x:c>
      <x:c r="H964" s="22" t="n">
        <x:f>100*F964/G964</x:f>
        <x:v>103.86917798218718</x:v>
      </x:c>
      <x:c r="I964" s="24" t="n">
        <x:f>H964/100-1</x:f>
        <x:v>0.038691779821871775</x:v>
      </x:c>
      <x:c r="J964" s="26" t="n">
        <x:v>9</x:v>
      </x:c>
      <x:c r="K964" s="7" t="b">
        <x:v>0</x:v>
      </x:c>
      <x:c r="L964" s="2" t="str">
        <x:v>May 2026</x:v>
      </x:c>
      <x:c r="M964" s="2" t="str">
        <x:v>https://www.genaiadoptiontracker.com/</x:v>
      </x:c>
    </x:row>
    <x:row r="965" ht="24" customHeight="1">
      <x:c r="A965" s="2" t="str">
        <x:v>RPS</x:v>
      </x:c>
      <x:c r="B965" s="2" t="str">
        <x:v>Halves</x:v>
      </x:c>
      <x:c r="C965" s="2" t="str">
        <x:v>Higher half</x:v>
      </x:c>
      <x:c r="D965" s="28" t="n">
        <x:v>46113</x:v>
      </x:c>
      <x:c r="E965" s="2" t="str">
        <x:v>2026Q2</x:v>
      </x:c>
      <x:c r="F965" s="20" t="n">
        <x:v>48636</x:v>
      </x:c>
      <x:c r="G965" s="20" t="n">
        <x:f>'Quarterly data'!$E$287</x:f>
        <x:v>48855.0333333333</x:v>
      </x:c>
      <x:c r="H965" s="22" t="n">
        <x:f>100*F965/G965</x:f>
        <x:v>99.55166680198772</x:v>
      </x:c>
      <x:c r="I965" s="24" t="n">
        <x:f>H965/100-1</x:f>
        <x:v>-0.00448333198012274</x:v>
      </x:c>
      <x:c r="J965" s="26" t="n">
        <x:v>9</x:v>
      </x:c>
      <x:c r="K965" s="7" t="b">
        <x:v>0</x:v>
      </x:c>
      <x:c r="L965" s="2" t="str">
        <x:v>May 2026</x:v>
      </x:c>
      <x:c r="M965" s="2" t="str">
        <x:v>https://www.genaiadoptiontracker.com/</x:v>
      </x:c>
    </x:row>
    <x:row r="966" ht="24" customHeight="1">
      <x:c r="A966" s="2" t="str">
        <x:v>RPS</x:v>
      </x:c>
      <x:c r="B966" s="2" t="str">
        <x:v>Halves</x:v>
      </x:c>
      <x:c r="C966" s="2" t="str">
        <x:v>Lower half</x:v>
      </x:c>
      <x:c r="D966" s="28" t="n">
        <x:v>46143</x:v>
      </x:c>
      <x:c r="E966" s="2" t="str">
        <x:v>2026Q2</x:v>
      </x:c>
      <x:c r="F966" s="20" t="n">
        <x:v>86876.5</x:v>
      </x:c>
      <x:c r="G966" s="20" t="n">
        <x:f>'Quarterly data'!$E$286</x:f>
        <x:v>83557.8</x:v>
      </x:c>
      <x:c r="H966" s="22" t="n">
        <x:f>100*F966/G966</x:f>
        <x:v>103.9717417165124</x:v>
      </x:c>
      <x:c r="I966" s="24" t="n">
        <x:f>H966/100-1</x:f>
        <x:v>0.039717417165124</x:v>
      </x:c>
      <x:c r="J966" s="26" t="n">
        <x:v>9</x:v>
      </x:c>
      <x:c r="K966" s="7" t="b">
        <x:v>0</x:v>
      </x:c>
      <x:c r="L966" s="2" t="str">
        <x:v>May 2026</x:v>
      </x:c>
      <x:c r="M966" s="2" t="str">
        <x:v>https://www.genaiadoptiontracker.com/</x:v>
      </x:c>
    </x:row>
    <x:row r="967" ht="24" customHeight="1">
      <x:c r="A967" s="2" t="str">
        <x:v>RPS</x:v>
      </x:c>
      <x:c r="B967" s="2" t="str">
        <x:v>Halves</x:v>
      </x:c>
      <x:c r="C967" s="2" t="str">
        <x:v>Higher half</x:v>
      </x:c>
      <x:c r="D967" s="28" t="n">
        <x:v>46143</x:v>
      </x:c>
      <x:c r="E967" s="2" t="str">
        <x:v>2026Q2</x:v>
      </x:c>
      <x:c r="F967" s="20" t="n">
        <x:v>48612</x:v>
      </x:c>
      <x:c r="G967" s="20" t="n">
        <x:f>'Quarterly data'!$E$287</x:f>
        <x:v>48855.0333333333</x:v>
      </x:c>
      <x:c r="H967" s="22" t="n">
        <x:f>100*F967/G967</x:f>
        <x:v>99.5025418738841</x:v>
      </x:c>
      <x:c r="I967" s="24" t="n">
        <x:f>H967/100-1</x:f>
        <x:v>-0.004974581261159017</x:v>
      </x:c>
      <x:c r="J967" s="26" t="n">
        <x:v>9</x:v>
      </x:c>
      <x:c r="K967" s="7" t="b">
        <x:v>0</x:v>
      </x:c>
      <x:c r="L967" s="2" t="str">
        <x:v>May 2026</x:v>
      </x:c>
      <x:c r="M967" s="2" t="str">
        <x:v>https://www.genaiadoptiontracker.com/</x:v>
      </x:c>
    </x:row>
    <x:row r="968" ht="24" customHeight="1">
      <x:c r="A968" s="2" t="str">
        <x:v>RPS</x:v>
      </x:c>
      <x:c r="B968" s="2" t="str">
        <x:v>Halves</x:v>
      </x:c>
      <x:c r="C968" s="2" t="str">
        <x:v>Lower half</x:v>
      </x:c>
      <x:c r="D968" s="28" t="n">
        <x:v>46174</x:v>
      </x:c>
      <x:c r="E968" s="2" t="str">
        <x:v>2026Q2</x:v>
      </x:c>
      <x:c r="F968" s="20" t="n">
        <x:v>86873.1</x:v>
      </x:c>
      <x:c r="G968" s="20" t="n">
        <x:f>'Quarterly data'!$E$286</x:f>
        <x:v>83557.8</x:v>
      </x:c>
      <x:c r="H968" s="22" t="n">
        <x:f>100*F968/G968</x:f>
        <x:v>103.96767267687756</x:v>
      </x:c>
      <x:c r="I968" s="24" t="n">
        <x:f>H968/100-1</x:f>
        <x:v>0.03967672676877565</x:v>
      </x:c>
      <x:c r="J968" s="26" t="n">
        <x:v>9</x:v>
      </x:c>
      <x:c r="K968" s="7" t="b">
        <x:v>0</x:v>
      </x:c>
      <x:c r="L968" s="2" t="str">
        <x:v>May 2026</x:v>
      </x:c>
      <x:c r="M968" s="2" t="str">
        <x:v>https://www.genaiadoptiontracker.com/</x:v>
      </x:c>
    </x:row>
    <x:row r="969" ht="24" customHeight="1">
      <x:c r="A969" s="2" t="str">
        <x:v>RPS</x:v>
      </x:c>
      <x:c r="B969" s="2" t="str">
        <x:v>Halves</x:v>
      </x:c>
      <x:c r="C969" s="2" t="str">
        <x:v>Higher half</x:v>
      </x:c>
      <x:c r="D969" s="28" t="n">
        <x:v>46174</x:v>
      </x:c>
      <x:c r="E969" s="2" t="str">
        <x:v>2026Q2</x:v>
      </x:c>
      <x:c r="F969" s="20" t="n">
        <x:v>48642.4</x:v>
      </x:c>
      <x:c r="G969" s="20" t="n">
        <x:f>'Quarterly data'!$E$287</x:f>
        <x:v>48855.0333333333</x:v>
      </x:c>
      <x:c r="H969" s="22" t="n">
        <x:f>100*F969/G969</x:f>
        <x:v>99.56476678281535</x:v>
      </x:c>
      <x:c r="I969" s="24" t="n">
        <x:f>H969/100-1</x:f>
        <x:v>-0.004352332171846496</x:v>
      </x:c>
      <x:c r="J969" s="26" t="n">
        <x:v>9</x:v>
      </x:c>
      <x:c r="K969" s="7" t="b">
        <x:v>0</x:v>
      </x:c>
      <x:c r="L969" s="2" t="str">
        <x:v>May 2026</x:v>
      </x:c>
      <x:c r="M969" s="2" t="str">
        <x:v>https://www.genaiadoptiontracker.com/</x:v>
      </x:c>
    </x:row>
    <x:row r="970" ht="24" customHeight="1">
      <x:c r="A970" s="2" t="str">
        <x:v>RPS</x:v>
      </x:c>
      <x:c r="B970" s="2" t="str">
        <x:v>Halves</x:v>
      </x:c>
      <x:c r="C970" s="2" t="str">
        <x:v>Lower half</x:v>
      </x:c>
      <x:c r="D970" s="28" t="n">
        <x:v>46204</x:v>
      </x:c>
      <x:c r="E970" s="2" t="str">
        <x:v>2026Q3</x:v>
      </x:c>
      <x:c r="F970" s="20" t="n">
        <x:v>86921.9</x:v>
      </x:c>
      <x:c r="G970" s="20" t="n">
        <x:f>'Quarterly data'!$E$286</x:f>
        <x:v>83557.8</x:v>
      </x:c>
      <x:c r="H970" s="22" t="n">
        <x:f>100*F970/G970</x:f>
        <x:v>104.02607536340113</x:v>
      </x:c>
      <x:c r="I970" s="24" t="n">
        <x:f>H970/100-1</x:f>
        <x:v>0.04026075363401138</x:v>
      </x:c>
      <x:c r="J970" s="26" t="n">
        <x:v>9</x:v>
      </x:c>
      <x:c r="K970" s="7" t="b">
        <x:v>1</x:v>
      </x:c>
      <x:c r="L970" s="2" t="str">
        <x:v>May 2026</x:v>
      </x:c>
      <x:c r="M970" s="2" t="str">
        <x:v>https://www.genaiadoptiontracker.com/</x:v>
      </x:c>
    </x:row>
    <x:row r="971" ht="24" customHeight="1">
      <x:c r="A971" s="2" t="str">
        <x:v>RPS</x:v>
      </x:c>
      <x:c r="B971" s="2" t="str">
        <x:v>Halves</x:v>
      </x:c>
      <x:c r="C971" s="2" t="str">
        <x:v>Higher half</x:v>
      </x:c>
      <x:c r="D971" s="28" t="n">
        <x:v>46204</x:v>
      </x:c>
      <x:c r="E971" s="2" t="str">
        <x:v>2026Q3</x:v>
      </x:c>
      <x:c r="F971" s="20" t="n">
        <x:v>48663.5</x:v>
      </x:c>
      <x:c r="G971" s="20" t="n">
        <x:f>'Quarterly data'!$E$287</x:f>
        <x:v>48855.0333333333</x:v>
      </x:c>
      <x:c r="H971" s="22" t="n">
        <x:f>100*F971/G971</x:f>
        <x:v>99.60795578210646</x:v>
      </x:c>
      <x:c r="I971" s="24" t="n">
        <x:f>H971/100-1</x:f>
        <x:v>-0.0039204421789353905</x:v>
      </x:c>
      <x:c r="J971" s="26" t="n">
        <x:v>9</x:v>
      </x:c>
      <x:c r="K971" s="7" t="b">
        <x:v>1</x:v>
      </x:c>
      <x:c r="L971" s="2" t="str">
        <x:v>May 2026</x:v>
      </x:c>
      <x:c r="M971" s="2" t="str">
        <x:v>https://www.genaiadoptiontracker.com/</x:v>
      </x:c>
    </x:row>
    <x:row r="972" ht="24" customHeight="1">
      <x:c r="A972" s="2" t="str">
        <x:v>RPS</x:v>
      </x:c>
      <x:c r="B972" s="2" t="str">
        <x:v>Halves</x:v>
      </x:c>
      <x:c r="C972" s="2" t="str">
        <x:v>Lower half</x:v>
      </x:c>
      <x:c r="D972" s="28" t="n">
        <x:v>46235</x:v>
      </x:c>
      <x:c r="E972" s="2" t="str">
        <x:v>2026Q3</x:v>
      </x:c>
      <x:c r="F972" s="20" t="n">
        <x:v>87050.6</x:v>
      </x:c>
      <x:c r="G972" s="20" t="n">
        <x:f>'Quarterly data'!$E$286</x:f>
        <x:v>83557.8</x:v>
      </x:c>
      <x:c r="H972" s="22" t="n">
        <x:f>100*F972/G972</x:f>
        <x:v>104.18010048134344</x:v>
      </x:c>
      <x:c r="I972" s="24" t="n">
        <x:f>H972/100-1</x:f>
        <x:v>0.04180100481343452</x:v>
      </x:c>
      <x:c r="J972" s="26" t="n">
        <x:v>9</x:v>
      </x:c>
      <x:c r="K972" s="7" t="b">
        <x:v>1</x:v>
      </x:c>
      <x:c r="L972" s="2" t="str">
        <x:v>May 2026</x:v>
      </x:c>
      <x:c r="M972" s="2" t="str">
        <x:v>https://www.genaiadoptiontracker.com/</x:v>
      </x:c>
    </x:row>
    <x:row r="973" ht="24" customHeight="1">
      <x:c r="A973" s="2" t="str">
        <x:v>RPS</x:v>
      </x:c>
      <x:c r="B973" s="2" t="str">
        <x:v>Halves</x:v>
      </x:c>
      <x:c r="C973" s="2" t="str">
        <x:v>Higher half</x:v>
      </x:c>
      <x:c r="D973" s="28" t="n">
        <x:v>46235</x:v>
      </x:c>
      <x:c r="E973" s="2" t="str">
        <x:v>2026Q3</x:v>
      </x:c>
      <x:c r="F973" s="20" t="n">
        <x:v>48662.6</x:v>
      </x:c>
      <x:c r="G973" s="20" t="n">
        <x:f>'Quarterly data'!$E$287</x:f>
        <x:v>48855.0333333333</x:v>
      </x:c>
      <x:c r="H973" s="22" t="n">
        <x:f>100*F973/G973</x:f>
        <x:v>99.60611359730257</x:v>
      </x:c>
      <x:c r="I973" s="24" t="n">
        <x:f>H973/100-1</x:f>
        <x:v>-0.003938864026974298</x:v>
      </x:c>
      <x:c r="J973" s="26" t="n">
        <x:v>9</x:v>
      </x:c>
      <x:c r="K973" s="7" t="b">
        <x:v>1</x:v>
      </x:c>
      <x:c r="L973" s="2" t="str">
        <x:v>May 2026</x:v>
      </x:c>
      <x:c r="M973" s="2" t="str">
        <x:v>https://www.genaiadoptiontracker.com/</x:v>
      </x:c>
    </x:row>
    <x:row r="974" ht="24" customHeight="1">
      <x:c r="A974" s="2" t="str">
        <x:v>Ramp</x:v>
      </x:c>
      <x:c r="B974" s="2" t="str">
        <x:v>Quartiles</x:v>
      </x:c>
      <x:c r="C974" s="2" t="str">
        <x:v>Q1</x:v>
      </x:c>
      <x:c r="D974" s="28" t="n">
        <x:v>44927</x:v>
      </x:c>
      <x:c r="E974" s="2" t="str">
        <x:v>2023Q1</x:v>
      </x:c>
      <x:c r="F974" s="20" t="n">
        <x:v>51172.4</x:v>
      </x:c>
      <x:c r="G974" s="20" t="n">
        <x:f>'Quarterly data'!$E$314</x:f>
        <x:v>51302.6333333333</x:v>
      </x:c>
      <x:c r="H974" s="22" t="n">
        <x:f>100*F974/G974</x:f>
        <x:v>99.74614688394819</x:v>
      </x:c>
      <x:c r="I974" s="24" t="n">
        <x:f>H974/100-1</x:f>
        <x:v>-0.002538531160518165</x:v>
      </x:c>
      <x:c r="J974" s="26" t="n">
        <x:v>5</x:v>
      </x:c>
      <x:c r="K974" s="7" t="b">
        <x:v>0</x:v>
      </x:c>
      <x:c r="L974" s="2" t="str">
        <x:v>April 2026</x:v>
      </x:c>
      <x:c r="M974" s="2" t="str">
        <x:v>https://datawrapper.dwcdn.net/wQR5S/23/dataset.csv</x:v>
      </x:c>
    </x:row>
    <x:row r="975" ht="24" customHeight="1">
      <x:c r="A975" s="2" t="str">
        <x:v>Ramp</x:v>
      </x:c>
      <x:c r="B975" s="2" t="str">
        <x:v>Quartiles</x:v>
      </x:c>
      <x:c r="C975" s="2" t="str">
        <x:v>Q2</x:v>
      </x:c>
      <x:c r="D975" s="28" t="n">
        <x:v>44927</x:v>
      </x:c>
      <x:c r="E975" s="2" t="str">
        <x:v>2023Q1</x:v>
      </x:c>
      <x:c r="F975" s="20" t="n">
        <x:v>25182.8</x:v>
      </x:c>
      <x:c r="G975" s="20" t="n">
        <x:f>'Quarterly data'!$E$315</x:f>
        <x:v>25190.5666666667</x:v>
      </x:c>
      <x:c r="H975" s="22" t="n">
        <x:f>100*F975/G975</x:f>
        <x:v>99.96916835270333</x:v>
      </x:c>
      <x:c r="I975" s="24" t="n">
        <x:f>H975/100-1</x:f>
        <x:v>-0.0003083164729666965</x:v>
      </x:c>
      <x:c r="J975" s="26" t="n">
        <x:v>4</x:v>
      </x:c>
      <x:c r="K975" s="7" t="b">
        <x:v>0</x:v>
      </x:c>
      <x:c r="L975" s="2" t="str">
        <x:v>April 2026</x:v>
      </x:c>
      <x:c r="M975" s="2" t="str">
        <x:v>https://datawrapper.dwcdn.net/wQR5S/23/dataset.csv</x:v>
      </x:c>
    </x:row>
    <x:row r="976" ht="24" customHeight="1">
      <x:c r="A976" s="2" t="str">
        <x:v>Ramp</x:v>
      </x:c>
      <x:c r="B976" s="2" t="str">
        <x:v>Quartiles</x:v>
      </x:c>
      <x:c r="C976" s="2" t="str">
        <x:v>Q3</x:v>
      </x:c>
      <x:c r="D976" s="28" t="n">
        <x:v>44927</x:v>
      </x:c>
      <x:c r="E976" s="2" t="str">
        <x:v>2023Q1</x:v>
      </x:c>
      <x:c r="F976" s="20" t="n">
        <x:v>32257.8</x:v>
      </x:c>
      <x:c r="G976" s="20" t="n">
        <x:f>'Quarterly data'!$E$316</x:f>
        <x:v>32270.7333333333</x:v>
      </x:c>
      <x:c r="H976" s="22" t="n">
        <x:f>100*F976/G976</x:f>
        <x:v>99.95992240647367</x:v>
      </x:c>
      <x:c r="I976" s="24" t="n">
        <x:f>H976/100-1</x:f>
        <x:v>-0.0004007759352633311</x:v>
      </x:c>
      <x:c r="J976" s="26" t="n">
        <x:v>4</x:v>
      </x:c>
      <x:c r="K976" s="7" t="b">
        <x:v>0</x:v>
      </x:c>
      <x:c r="L976" s="2" t="str">
        <x:v>April 2026</x:v>
      </x:c>
      <x:c r="M976" s="2" t="str">
        <x:v>https://datawrapper.dwcdn.net/wQR5S/23/dataset.csv</x:v>
      </x:c>
    </x:row>
    <x:row r="977" ht="24" customHeight="1">
      <x:c r="A977" s="2" t="str">
        <x:v>Ramp</x:v>
      </x:c>
      <x:c r="B977" s="2" t="str">
        <x:v>Quartiles</x:v>
      </x:c>
      <x:c r="C977" s="2" t="str">
        <x:v>Q4</x:v>
      </x:c>
      <x:c r="D977" s="28" t="n">
        <x:v>44927</x:v>
      </x:c>
      <x:c r="E977" s="2" t="str">
        <x:v>2023Q1</x:v>
      </x:c>
      <x:c r="F977" s="20" t="n">
        <x:v>23632.5</x:v>
      </x:c>
      <x:c r="G977" s="20" t="n">
        <x:f>'Quarterly data'!$E$317</x:f>
        <x:v>23648.9</x:v>
      </x:c>
      <x:c r="H977" s="22" t="n">
        <x:f>100*F977/G977</x:f>
        <x:v>99.93065216563983</x:v>
      </x:c>
      <x:c r="I977" s="24" t="n">
        <x:f>H977/100-1</x:f>
        <x:v>-0.0006934783436016723</x:v>
      </x:c>
      <x:c r="J977" s="26" t="n">
        <x:v>5</x:v>
      </x:c>
      <x:c r="K977" s="7" t="b">
        <x:v>0</x:v>
      </x:c>
      <x:c r="L977" s="2" t="str">
        <x:v>April 2026</x:v>
      </x:c>
      <x:c r="M977" s="2" t="str">
        <x:v>https://datawrapper.dwcdn.net/wQR5S/23/dataset.csv</x:v>
      </x:c>
    </x:row>
    <x:row r="978" ht="24" customHeight="1">
      <x:c r="A978" s="2" t="str">
        <x:v>Ramp</x:v>
      </x:c>
      <x:c r="B978" s="2" t="str">
        <x:v>Quartiles</x:v>
      </x:c>
      <x:c r="C978" s="2" t="str">
        <x:v>Q1</x:v>
      </x:c>
      <x:c r="D978" s="28" t="n">
        <x:v>44958</x:v>
      </x:c>
      <x:c r="E978" s="2" t="str">
        <x:v>2023Q1</x:v>
      </x:c>
      <x:c r="F978" s="20" t="n">
        <x:v>51329.3</x:v>
      </x:c>
      <x:c r="G978" s="20" t="n">
        <x:f>'Quarterly data'!$E$314</x:f>
        <x:v>51302.6333333333</x:v>
      </x:c>
      <x:c r="H978" s="22" t="n">
        <x:f>100*F978/G978</x:f>
        <x:v>100.05197913817295</x:v>
      </x:c>
      <x:c r="I978" s="24" t="n">
        <x:f>H978/100-1</x:f>
        <x:v>0.0005197913817296396</x:v>
      </x:c>
      <x:c r="J978" s="26" t="n">
        <x:v>5</x:v>
      </x:c>
      <x:c r="K978" s="7" t="b">
        <x:v>0</x:v>
      </x:c>
      <x:c r="L978" s="2" t="str">
        <x:v>April 2026</x:v>
      </x:c>
      <x:c r="M978" s="2" t="str">
        <x:v>https://datawrapper.dwcdn.net/wQR5S/23/dataset.csv</x:v>
      </x:c>
    </x:row>
    <x:row r="979" ht="24" customHeight="1">
      <x:c r="A979" s="2" t="str">
        <x:v>Ramp</x:v>
      </x:c>
      <x:c r="B979" s="2" t="str">
        <x:v>Quartiles</x:v>
      </x:c>
      <x:c r="C979" s="2" t="str">
        <x:v>Q2</x:v>
      </x:c>
      <x:c r="D979" s="28" t="n">
        <x:v>44958</x:v>
      </x:c>
      <x:c r="E979" s="2" t="str">
        <x:v>2023Q1</x:v>
      </x:c>
      <x:c r="F979" s="20" t="n">
        <x:v>25222.1</x:v>
      </x:c>
      <x:c r="G979" s="20" t="n">
        <x:f>'Quarterly data'!$E$315</x:f>
        <x:v>25190.5666666667</x:v>
      </x:c>
      <x:c r="H979" s="22" t="n">
        <x:f>100*F979/G979</x:f>
        <x:v>100.12517913451715</x:v>
      </x:c>
      <x:c r="I979" s="24" t="n">
        <x:f>H979/100-1</x:f>
        <x:v>0.0012517913451715046</x:v>
      </x:c>
      <x:c r="J979" s="26" t="n">
        <x:v>4</x:v>
      </x:c>
      <x:c r="K979" s="7" t="b">
        <x:v>0</x:v>
      </x:c>
      <x:c r="L979" s="2" t="str">
        <x:v>April 2026</x:v>
      </x:c>
      <x:c r="M979" s="2" t="str">
        <x:v>https://datawrapper.dwcdn.net/wQR5S/23/dataset.csv</x:v>
      </x:c>
    </x:row>
    <x:row r="980" ht="24" customHeight="1">
      <x:c r="A980" s="2" t="str">
        <x:v>Ramp</x:v>
      </x:c>
      <x:c r="B980" s="2" t="str">
        <x:v>Quartiles</x:v>
      </x:c>
      <x:c r="C980" s="2" t="str">
        <x:v>Q3</x:v>
      </x:c>
      <x:c r="D980" s="28" t="n">
        <x:v>44958</x:v>
      </x:c>
      <x:c r="E980" s="2" t="str">
        <x:v>2023Q1</x:v>
      </x:c>
      <x:c r="F980" s="20" t="n">
        <x:v>32287</x:v>
      </x:c>
      <x:c r="G980" s="20" t="n">
        <x:f>'Quarterly data'!$E$316</x:f>
        <x:v>32270.7333333333</x:v>
      </x:c>
      <x:c r="H980" s="22" t="n">
        <x:f>100*F980/G980</x:f>
        <x:v>100.0504068702086</x:v>
      </x:c>
      <x:c r="I980" s="24" t="n">
        <x:f>H980/100-1</x:f>
        <x:v>0.0005040687020860801</x:v>
      </x:c>
      <x:c r="J980" s="26" t="n">
        <x:v>4</x:v>
      </x:c>
      <x:c r="K980" s="7" t="b">
        <x:v>0</x:v>
      </x:c>
      <x:c r="L980" s="2" t="str">
        <x:v>April 2026</x:v>
      </x:c>
      <x:c r="M980" s="2" t="str">
        <x:v>https://datawrapper.dwcdn.net/wQR5S/23/dataset.csv</x:v>
      </x:c>
    </x:row>
    <x:row r="981" ht="24" customHeight="1">
      <x:c r="A981" s="2" t="str">
        <x:v>Ramp</x:v>
      </x:c>
      <x:c r="B981" s="2" t="str">
        <x:v>Quartiles</x:v>
      </x:c>
      <x:c r="C981" s="2" t="str">
        <x:v>Q4</x:v>
      </x:c>
      <x:c r="D981" s="28" t="n">
        <x:v>44958</x:v>
      </x:c>
      <x:c r="E981" s="2" t="str">
        <x:v>2023Q1</x:v>
      </x:c>
      <x:c r="F981" s="20" t="n">
        <x:v>23645.1</x:v>
      </x:c>
      <x:c r="G981" s="20" t="n">
        <x:f>'Quarterly data'!$E$317</x:f>
        <x:v>23648.9</x:v>
      </x:c>
      <x:c r="H981" s="22" t="n">
        <x:f>100*F981/G981</x:f>
        <x:v>99.98393159935557</x:v>
      </x:c>
      <x:c r="I981" s="24" t="n">
        <x:f>H981/100-1</x:f>
        <x:v>-0.00016068400644431158</x:v>
      </x:c>
      <x:c r="J981" s="26" t="n">
        <x:v>5</x:v>
      </x:c>
      <x:c r="K981" s="7" t="b">
        <x:v>0</x:v>
      </x:c>
      <x:c r="L981" s="2" t="str">
        <x:v>April 2026</x:v>
      </x:c>
      <x:c r="M981" s="2" t="str">
        <x:v>https://datawrapper.dwcdn.net/wQR5S/23/dataset.csv</x:v>
      </x:c>
    </x:row>
    <x:row r="982" ht="24" customHeight="1">
      <x:c r="A982" s="2" t="str">
        <x:v>Ramp</x:v>
      </x:c>
      <x:c r="B982" s="2" t="str">
        <x:v>Quartiles</x:v>
      </x:c>
      <x:c r="C982" s="2" t="str">
        <x:v>Q1</x:v>
      </x:c>
      <x:c r="D982" s="28" t="n">
        <x:v>44986</x:v>
      </x:c>
      <x:c r="E982" s="2" t="str">
        <x:v>2023Q1</x:v>
      </x:c>
      <x:c r="F982" s="20" t="n">
        <x:v>51406.2</x:v>
      </x:c>
      <x:c r="G982" s="20" t="n">
        <x:f>'Quarterly data'!$E$314</x:f>
        <x:v>51302.6333333333</x:v>
      </x:c>
      <x:c r="H982" s="22" t="n">
        <x:f>100*F982/G982</x:f>
        <x:v>100.20187397787903</x:v>
      </x:c>
      <x:c r="I982" s="24" t="n">
        <x:f>H982/100-1</x:f>
        <x:v>0.0020187397787903016</x:v>
      </x:c>
      <x:c r="J982" s="26" t="n">
        <x:v>5</x:v>
      </x:c>
      <x:c r="K982" s="7" t="b">
        <x:v>0</x:v>
      </x:c>
      <x:c r="L982" s="2" t="str">
        <x:v>April 2026</x:v>
      </x:c>
      <x:c r="M982" s="2" t="str">
        <x:v>https://datawrapper.dwcdn.net/wQR5S/23/dataset.csv</x:v>
      </x:c>
    </x:row>
    <x:row r="983" ht="24" customHeight="1">
      <x:c r="A983" s="2" t="str">
        <x:v>Ramp</x:v>
      </x:c>
      <x:c r="B983" s="2" t="str">
        <x:v>Quartiles</x:v>
      </x:c>
      <x:c r="C983" s="2" t="str">
        <x:v>Q2</x:v>
      </x:c>
      <x:c r="D983" s="28" t="n">
        <x:v>44986</x:v>
      </x:c>
      <x:c r="E983" s="2" t="str">
        <x:v>2023Q1</x:v>
      </x:c>
      <x:c r="F983" s="20" t="n">
        <x:v>25166.8</x:v>
      </x:c>
      <x:c r="G983" s="20" t="n">
        <x:f>'Quarterly data'!$E$315</x:f>
        <x:v>25190.5666666667</x:v>
      </x:c>
      <x:c r="H983" s="22" t="n">
        <x:f>100*F983/G983</x:f>
        <x:v>99.90565251277913</x:v>
      </x:c>
      <x:c r="I983" s="24" t="n">
        <x:f>H983/100-1</x:f>
        <x:v>-0.0009434748722086939</x:v>
      </x:c>
      <x:c r="J983" s="26" t="n">
        <x:v>4</x:v>
      </x:c>
      <x:c r="K983" s="7" t="b">
        <x:v>0</x:v>
      </x:c>
      <x:c r="L983" s="2" t="str">
        <x:v>April 2026</x:v>
      </x:c>
      <x:c r="M983" s="2" t="str">
        <x:v>https://datawrapper.dwcdn.net/wQR5S/23/dataset.csv</x:v>
      </x:c>
    </x:row>
    <x:row r="984" ht="24" customHeight="1">
      <x:c r="A984" s="2" t="str">
        <x:v>Ramp</x:v>
      </x:c>
      <x:c r="B984" s="2" t="str">
        <x:v>Quartiles</x:v>
      </x:c>
      <x:c r="C984" s="2" t="str">
        <x:v>Q3</x:v>
      </x:c>
      <x:c r="D984" s="28" t="n">
        <x:v>44986</x:v>
      </x:c>
      <x:c r="E984" s="2" t="str">
        <x:v>2023Q1</x:v>
      </x:c>
      <x:c r="F984" s="20" t="n">
        <x:v>32267.4</x:v>
      </x:c>
      <x:c r="G984" s="20" t="n">
        <x:f>'Quarterly data'!$E$316</x:f>
        <x:v>32270.7333333333</x:v>
      </x:c>
      <x:c r="H984" s="22" t="n">
        <x:f>100*F984/G984</x:f>
        <x:v>99.98967072331803</x:v>
      </x:c>
      <x:c r="I984" s="24" t="n">
        <x:f>H984/100-1</x:f>
        <x:v>-0.00010329276681975141</x:v>
      </x:c>
      <x:c r="J984" s="26" t="n">
        <x:v>4</x:v>
      </x:c>
      <x:c r="K984" s="7" t="b">
        <x:v>0</x:v>
      </x:c>
      <x:c r="L984" s="2" t="str">
        <x:v>April 2026</x:v>
      </x:c>
      <x:c r="M984" s="2" t="str">
        <x:v>https://datawrapper.dwcdn.net/wQR5S/23/dataset.csv</x:v>
      </x:c>
    </x:row>
    <x:row r="985" ht="24" customHeight="1">
      <x:c r="A985" s="2" t="str">
        <x:v>Ramp</x:v>
      </x:c>
      <x:c r="B985" s="2" t="str">
        <x:v>Quartiles</x:v>
      </x:c>
      <x:c r="C985" s="2" t="str">
        <x:v>Q4</x:v>
      </x:c>
      <x:c r="D985" s="28" t="n">
        <x:v>44986</x:v>
      </x:c>
      <x:c r="E985" s="2" t="str">
        <x:v>2023Q1</x:v>
      </x:c>
      <x:c r="F985" s="20" t="n">
        <x:v>23669.1</x:v>
      </x:c>
      <x:c r="G985" s="20" t="n">
        <x:f>'Quarterly data'!$E$317</x:f>
        <x:v>23648.9</x:v>
      </x:c>
      <x:c r="H985" s="22" t="n">
        <x:f>100*F985/G985</x:f>
        <x:v>100.08541623500459</x:v>
      </x:c>
      <x:c r="I985" s="24" t="n">
        <x:f>H985/100-1</x:f>
        <x:v>0.0008541623500457618</x:v>
      </x:c>
      <x:c r="J985" s="26" t="n">
        <x:v>5</x:v>
      </x:c>
      <x:c r="K985" s="7" t="b">
        <x:v>0</x:v>
      </x:c>
      <x:c r="L985" s="2" t="str">
        <x:v>April 2026</x:v>
      </x:c>
      <x:c r="M985" s="2" t="str">
        <x:v>https://datawrapper.dwcdn.net/wQR5S/23/dataset.csv</x:v>
      </x:c>
    </x:row>
    <x:row r="986" ht="24" customHeight="1">
      <x:c r="A986" s="2" t="str">
        <x:v>Ramp</x:v>
      </x:c>
      <x:c r="B986" s="2" t="str">
        <x:v>Quartiles</x:v>
      </x:c>
      <x:c r="C986" s="2" t="str">
        <x:v>Q1</x:v>
      </x:c>
      <x:c r="D986" s="28" t="n">
        <x:v>45017</x:v>
      </x:c>
      <x:c r="E986" s="2" t="str">
        <x:v>2023Q2</x:v>
      </x:c>
      <x:c r="F986" s="20" t="n">
        <x:v>51549.1</x:v>
      </x:c>
      <x:c r="G986" s="20" t="n">
        <x:f>'Quarterly data'!$E$314</x:f>
        <x:v>51302.6333333333</x:v>
      </x:c>
      <x:c r="H986" s="22" t="n">
        <x:f>100*F986/G986</x:f>
        <x:v>100.48041718456304</x:v>
      </x:c>
      <x:c r="I986" s="24" t="n">
        <x:f>H986/100-1</x:f>
        <x:v>0.004804171845630423</x:v>
      </x:c>
      <x:c r="J986" s="26" t="n">
        <x:v>5</x:v>
      </x:c>
      <x:c r="K986" s="7" t="b">
        <x:v>0</x:v>
      </x:c>
      <x:c r="L986" s="2" t="str">
        <x:v>April 2026</x:v>
      </x:c>
      <x:c r="M986" s="2" t="str">
        <x:v>https://datawrapper.dwcdn.net/wQR5S/23/dataset.csv</x:v>
      </x:c>
    </x:row>
    <x:row r="987" ht="24" customHeight="1">
      <x:c r="A987" s="2" t="str">
        <x:v>Ramp</x:v>
      </x:c>
      <x:c r="B987" s="2" t="str">
        <x:v>Quartiles</x:v>
      </x:c>
      <x:c r="C987" s="2" t="str">
        <x:v>Q2</x:v>
      </x:c>
      <x:c r="D987" s="28" t="n">
        <x:v>45017</x:v>
      </x:c>
      <x:c r="E987" s="2" t="str">
        <x:v>2023Q2</x:v>
      </x:c>
      <x:c r="F987" s="20" t="n">
        <x:v>25183</x:v>
      </x:c>
      <x:c r="G987" s="20" t="n">
        <x:f>'Quarterly data'!$E$315</x:f>
        <x:v>25190.5666666667</x:v>
      </x:c>
      <x:c r="H987" s="22" t="n">
        <x:f>100*F987/G987</x:f>
        <x:v>99.96996230070239</x:v>
      </x:c>
      <x:c r="I987" s="24" t="n">
        <x:f>H987/100-1</x:f>
        <x:v>-0.00030037699297613685</x:v>
      </x:c>
      <x:c r="J987" s="26" t="n">
        <x:v>4</x:v>
      </x:c>
      <x:c r="K987" s="7" t="b">
        <x:v>0</x:v>
      </x:c>
      <x:c r="L987" s="2" t="str">
        <x:v>April 2026</x:v>
      </x:c>
      <x:c r="M987" s="2" t="str">
        <x:v>https://datawrapper.dwcdn.net/wQR5S/23/dataset.csv</x:v>
      </x:c>
    </x:row>
    <x:row r="988" ht="24" customHeight="1">
      <x:c r="A988" s="2" t="str">
        <x:v>Ramp</x:v>
      </x:c>
      <x:c r="B988" s="2" t="str">
        <x:v>Quartiles</x:v>
      </x:c>
      <x:c r="C988" s="2" t="str">
        <x:v>Q3</x:v>
      </x:c>
      <x:c r="D988" s="28" t="n">
        <x:v>45017</x:v>
      </x:c>
      <x:c r="E988" s="2" t="str">
        <x:v>2023Q2</x:v>
      </x:c>
      <x:c r="F988" s="20" t="n">
        <x:v>32253.9</x:v>
      </x:c>
      <x:c r="G988" s="20" t="n">
        <x:f>'Quarterly data'!$E$316</x:f>
        <x:v>32270.7333333333</x:v>
      </x:c>
      <x:c r="H988" s="22" t="n">
        <x:f>100*F988/G988</x:f>
        <x:v>99.94783715275564</x:v>
      </x:c>
      <x:c r="I988" s="24" t="n">
        <x:f>H988/100-1</x:f>
        <x:v>-0.000521628472443636</x:v>
      </x:c>
      <x:c r="J988" s="26" t="n">
        <x:v>4</x:v>
      </x:c>
      <x:c r="K988" s="7" t="b">
        <x:v>0</x:v>
      </x:c>
      <x:c r="L988" s="2" t="str">
        <x:v>April 2026</x:v>
      </x:c>
      <x:c r="M988" s="2" t="str">
        <x:v>https://datawrapper.dwcdn.net/wQR5S/23/dataset.csv</x:v>
      </x:c>
    </x:row>
    <x:row r="989" ht="24" customHeight="1">
      <x:c r="A989" s="2" t="str">
        <x:v>Ramp</x:v>
      </x:c>
      <x:c r="B989" s="2" t="str">
        <x:v>Quartiles</x:v>
      </x:c>
      <x:c r="C989" s="2" t="str">
        <x:v>Q4</x:v>
      </x:c>
      <x:c r="D989" s="28" t="n">
        <x:v>45017</x:v>
      </x:c>
      <x:c r="E989" s="2" t="str">
        <x:v>2023Q2</x:v>
      </x:c>
      <x:c r="F989" s="20" t="n">
        <x:v>23701</x:v>
      </x:c>
      <x:c r="G989" s="20" t="n">
        <x:f>'Quarterly data'!$E$317</x:f>
        <x:v>23648.9</x:v>
      </x:c>
      <x:c r="H989" s="22" t="n">
        <x:f>100*F989/G989</x:f>
        <x:v>100.22030622988807</x:v>
      </x:c>
      <x:c r="I989" s="24" t="n">
        <x:f>H989/100-1</x:f>
        <x:v>0.002203062298880676</x:v>
      </x:c>
      <x:c r="J989" s="26" t="n">
        <x:v>5</x:v>
      </x:c>
      <x:c r="K989" s="7" t="b">
        <x:v>0</x:v>
      </x:c>
      <x:c r="L989" s="2" t="str">
        <x:v>April 2026</x:v>
      </x:c>
      <x:c r="M989" s="2" t="str">
        <x:v>https://datawrapper.dwcdn.net/wQR5S/23/dataset.csv</x:v>
      </x:c>
    </x:row>
    <x:row r="990" ht="24" customHeight="1">
      <x:c r="A990" s="2" t="str">
        <x:v>Ramp</x:v>
      </x:c>
      <x:c r="B990" s="2" t="str">
        <x:v>Quartiles</x:v>
      </x:c>
      <x:c r="C990" s="2" t="str">
        <x:v>Q1</x:v>
      </x:c>
      <x:c r="D990" s="28" t="n">
        <x:v>45047</x:v>
      </x:c>
      <x:c r="E990" s="2" t="str">
        <x:v>2023Q2</x:v>
      </x:c>
      <x:c r="F990" s="20" t="n">
        <x:v>51694.4</x:v>
      </x:c>
      <x:c r="G990" s="20" t="n">
        <x:f>'Quarterly data'!$E$314</x:f>
        <x:v>51302.6333333333</x:v>
      </x:c>
      <x:c r="H990" s="22" t="n">
        <x:f>100*F990/G990</x:f>
        <x:v>100.7636385136826</x:v>
      </x:c>
      <x:c r="I990" s="24" t="n">
        <x:f>H990/100-1</x:f>
        <x:v>0.007636385136825963</x:v>
      </x:c>
      <x:c r="J990" s="26" t="n">
        <x:v>5</x:v>
      </x:c>
      <x:c r="K990" s="7" t="b">
        <x:v>0</x:v>
      </x:c>
      <x:c r="L990" s="2" t="str">
        <x:v>April 2026</x:v>
      </x:c>
      <x:c r="M990" s="2" t="str">
        <x:v>https://datawrapper.dwcdn.net/wQR5S/23/dataset.csv</x:v>
      </x:c>
    </x:row>
    <x:row r="991" ht="24" customHeight="1">
      <x:c r="A991" s="2" t="str">
        <x:v>Ramp</x:v>
      </x:c>
      <x:c r="B991" s="2" t="str">
        <x:v>Quartiles</x:v>
      </x:c>
      <x:c r="C991" s="2" t="str">
        <x:v>Q2</x:v>
      </x:c>
      <x:c r="D991" s="28" t="n">
        <x:v>45047</x:v>
      </x:c>
      <x:c r="E991" s="2" t="str">
        <x:v>2023Q2</x:v>
      </x:c>
      <x:c r="F991" s="20" t="n">
        <x:v>25202.3</x:v>
      </x:c>
      <x:c r="G991" s="20" t="n">
        <x:f>'Quarterly data'!$E$315</x:f>
        <x:v>25190.5666666667</x:v>
      </x:c>
      <x:c r="H991" s="22" t="n">
        <x:f>100*F991/G991</x:f>
        <x:v>100.04657828261095</x:v>
      </x:c>
      <x:c r="I991" s="24" t="n">
        <x:f>H991/100-1</x:f>
        <x:v>0.0004657828261094288</x:v>
      </x:c>
      <x:c r="J991" s="26" t="n">
        <x:v>4</x:v>
      </x:c>
      <x:c r="K991" s="7" t="b">
        <x:v>0</x:v>
      </x:c>
      <x:c r="L991" s="2" t="str">
        <x:v>April 2026</x:v>
      </x:c>
      <x:c r="M991" s="2" t="str">
        <x:v>https://datawrapper.dwcdn.net/wQR5S/23/dataset.csv</x:v>
      </x:c>
    </x:row>
    <x:row r="992" ht="24" customHeight="1">
      <x:c r="A992" s="2" t="str">
        <x:v>Ramp</x:v>
      </x:c>
      <x:c r="B992" s="2" t="str">
        <x:v>Quartiles</x:v>
      </x:c>
      <x:c r="C992" s="2" t="str">
        <x:v>Q3</x:v>
      </x:c>
      <x:c r="D992" s="28" t="n">
        <x:v>45047</x:v>
      </x:c>
      <x:c r="E992" s="2" t="str">
        <x:v>2023Q2</x:v>
      </x:c>
      <x:c r="F992" s="20" t="n">
        <x:v>32270.5</x:v>
      </x:c>
      <x:c r="G992" s="20" t="n">
        <x:f>'Quarterly data'!$E$316</x:f>
        <x:v>32270.7333333333</x:v>
      </x:c>
      <x:c r="H992" s="22" t="n">
        <x:f>100*F992/G992</x:f>
        <x:v>99.99927695063235</x:v>
      </x:c>
      <x:c r="I992" s="24" t="n">
        <x:f>H992/100-1</x:f>
        <x:v>-0.000007230493676457783</x:v>
      </x:c>
      <x:c r="J992" s="26" t="n">
        <x:v>4</x:v>
      </x:c>
      <x:c r="K992" s="7" t="b">
        <x:v>0</x:v>
      </x:c>
      <x:c r="L992" s="2" t="str">
        <x:v>April 2026</x:v>
      </x:c>
      <x:c r="M992" s="2" t="str">
        <x:v>https://datawrapper.dwcdn.net/wQR5S/23/dataset.csv</x:v>
      </x:c>
    </x:row>
    <x:row r="993" ht="24" customHeight="1">
      <x:c r="A993" s="2" t="str">
        <x:v>Ramp</x:v>
      </x:c>
      <x:c r="B993" s="2" t="str">
        <x:v>Quartiles</x:v>
      </x:c>
      <x:c r="C993" s="2" t="str">
        <x:v>Q4</x:v>
      </x:c>
      <x:c r="D993" s="28" t="n">
        <x:v>45047</x:v>
      </x:c>
      <x:c r="E993" s="2" t="str">
        <x:v>2023Q2</x:v>
      </x:c>
      <x:c r="F993" s="20" t="n">
        <x:v>23719.9</x:v>
      </x:c>
      <x:c r="G993" s="20" t="n">
        <x:f>'Quarterly data'!$E$317</x:f>
        <x:v>23648.9</x:v>
      </x:c>
      <x:c r="H993" s="22" t="n">
        <x:f>100*F993/G993</x:f>
        <x:v>100.30022538046167</x:v>
      </x:c>
      <x:c r="I993" s="24" t="n">
        <x:f>H993/100-1</x:f>
        <x:v>0.003002253804616606</x:v>
      </x:c>
      <x:c r="J993" s="26" t="n">
        <x:v>5</x:v>
      </x:c>
      <x:c r="K993" s="7" t="b">
        <x:v>0</x:v>
      </x:c>
      <x:c r="L993" s="2" t="str">
        <x:v>April 2026</x:v>
      </x:c>
      <x:c r="M993" s="2" t="str">
        <x:v>https://datawrapper.dwcdn.net/wQR5S/23/dataset.csv</x:v>
      </x:c>
    </x:row>
    <x:row r="994" ht="24" customHeight="1">
      <x:c r="A994" s="2" t="str">
        <x:v>Ramp</x:v>
      </x:c>
      <x:c r="B994" s="2" t="str">
        <x:v>Quartiles</x:v>
      </x:c>
      <x:c r="C994" s="2" t="str">
        <x:v>Q1</x:v>
      </x:c>
      <x:c r="D994" s="28" t="n">
        <x:v>45078</x:v>
      </x:c>
      <x:c r="E994" s="2" t="str">
        <x:v>2023Q2</x:v>
      </x:c>
      <x:c r="F994" s="20" t="n">
        <x:v>51895.3</x:v>
      </x:c>
      <x:c r="G994" s="20" t="n">
        <x:f>'Quarterly data'!$E$314</x:f>
        <x:v>51302.6333333333</x:v>
      </x:c>
      <x:c r="H994" s="22" t="n">
        <x:f>100*F994/G994</x:f>
        <x:v>101.15523634589263</x:v>
      </x:c>
      <x:c r="I994" s="24" t="n">
        <x:f>H994/100-1</x:f>
        <x:v>0.011552363458926296</x:v>
      </x:c>
      <x:c r="J994" s="26" t="n">
        <x:v>5</x:v>
      </x:c>
      <x:c r="K994" s="7" t="b">
        <x:v>0</x:v>
      </x:c>
      <x:c r="L994" s="2" t="str">
        <x:v>April 2026</x:v>
      </x:c>
      <x:c r="M994" s="2" t="str">
        <x:v>https://datawrapper.dwcdn.net/wQR5S/23/dataset.csv</x:v>
      </x:c>
    </x:row>
    <x:row r="995" ht="24" customHeight="1">
      <x:c r="A995" s="2" t="str">
        <x:v>Ramp</x:v>
      </x:c>
      <x:c r="B995" s="2" t="str">
        <x:v>Quartiles</x:v>
      </x:c>
      <x:c r="C995" s="2" t="str">
        <x:v>Q2</x:v>
      </x:c>
      <x:c r="D995" s="28" t="n">
        <x:v>45078</x:v>
      </x:c>
      <x:c r="E995" s="2" t="str">
        <x:v>2023Q2</x:v>
      </x:c>
      <x:c r="F995" s="20" t="n">
        <x:v>25171.7</x:v>
      </x:c>
      <x:c r="G995" s="20" t="n">
        <x:f>'Quarterly data'!$E$315</x:f>
        <x:v>25190.5666666667</x:v>
      </x:c>
      <x:c r="H995" s="22" t="n">
        <x:f>100*F995/G995</x:f>
        <x:v>99.92510423875592</x:v>
      </x:c>
      <x:c r="I995" s="24" t="n">
        <x:f>H995/100-1</x:f>
        <x:v>-0.0007489576124407593</x:v>
      </x:c>
      <x:c r="J995" s="26" t="n">
        <x:v>4</x:v>
      </x:c>
      <x:c r="K995" s="7" t="b">
        <x:v>0</x:v>
      </x:c>
      <x:c r="L995" s="2" t="str">
        <x:v>April 2026</x:v>
      </x:c>
      <x:c r="M995" s="2" t="str">
        <x:v>https://datawrapper.dwcdn.net/wQR5S/23/dataset.csv</x:v>
      </x:c>
    </x:row>
    <x:row r="996" ht="24" customHeight="1">
      <x:c r="A996" s="2" t="str">
        <x:v>Ramp</x:v>
      </x:c>
      <x:c r="B996" s="2" t="str">
        <x:v>Quartiles</x:v>
      </x:c>
      <x:c r="C996" s="2" t="str">
        <x:v>Q3</x:v>
      </x:c>
      <x:c r="D996" s="28" t="n">
        <x:v>45078</x:v>
      </x:c>
      <x:c r="E996" s="2" t="str">
        <x:v>2023Q2</x:v>
      </x:c>
      <x:c r="F996" s="20" t="n">
        <x:v>32265.7</x:v>
      </x:c>
      <x:c r="G996" s="20" t="n">
        <x:f>'Quarterly data'!$E$316</x:f>
        <x:v>32270.7333333333</x:v>
      </x:c>
      <x:c r="H996" s="22" t="n">
        <x:f>100*F996/G996</x:f>
        <x:v>99.98440279221018</x:v>
      </x:c>
      <x:c r="I996" s="24" t="n">
        <x:f>H996/100-1</x:f>
        <x:v>-0.00015597207789819212</x:v>
      </x:c>
      <x:c r="J996" s="26" t="n">
        <x:v>4</x:v>
      </x:c>
      <x:c r="K996" s="7" t="b">
        <x:v>0</x:v>
      </x:c>
      <x:c r="L996" s="2" t="str">
        <x:v>April 2026</x:v>
      </x:c>
      <x:c r="M996" s="2" t="str">
        <x:v>https://datawrapper.dwcdn.net/wQR5S/23/dataset.csv</x:v>
      </x:c>
    </x:row>
    <x:row r="997" ht="24" customHeight="1">
      <x:c r="A997" s="2" t="str">
        <x:v>Ramp</x:v>
      </x:c>
      <x:c r="B997" s="2" t="str">
        <x:v>Quartiles</x:v>
      </x:c>
      <x:c r="C997" s="2" t="str">
        <x:v>Q4</x:v>
      </x:c>
      <x:c r="D997" s="28" t="n">
        <x:v>45078</x:v>
      </x:c>
      <x:c r="E997" s="2" t="str">
        <x:v>2023Q2</x:v>
      </x:c>
      <x:c r="F997" s="20" t="n">
        <x:v>23710.4</x:v>
      </x:c>
      <x:c r="G997" s="20" t="n">
        <x:f>'Quarterly data'!$E$317</x:f>
        <x:v>23648.9</x:v>
      </x:c>
      <x:c r="H997" s="22" t="n">
        <x:f>100*F997/G997</x:f>
        <x:v>100.2600543788506</x:v>
      </x:c>
      <x:c r="I997" s="24" t="n">
        <x:f>H997/100-1</x:f>
        <x:v>0.002600543788505938</x:v>
      </x:c>
      <x:c r="J997" s="26" t="n">
        <x:v>5</x:v>
      </x:c>
      <x:c r="K997" s="7" t="b">
        <x:v>0</x:v>
      </x:c>
      <x:c r="L997" s="2" t="str">
        <x:v>April 2026</x:v>
      </x:c>
      <x:c r="M997" s="2" t="str">
        <x:v>https://datawrapper.dwcdn.net/wQR5S/23/dataset.csv</x:v>
      </x:c>
    </x:row>
    <x:row r="998" ht="24" customHeight="1">
      <x:c r="A998" s="2" t="str">
        <x:v>Ramp</x:v>
      </x:c>
      <x:c r="B998" s="2" t="str">
        <x:v>Quartiles</x:v>
      </x:c>
      <x:c r="C998" s="2" t="str">
        <x:v>Q1</x:v>
      </x:c>
      <x:c r="D998" s="28" t="n">
        <x:v>45108</x:v>
      </x:c>
      <x:c r="E998" s="2" t="str">
        <x:v>2023Q3</x:v>
      </x:c>
      <x:c r="F998" s="20" t="n">
        <x:v>52054.8</x:v>
      </x:c>
      <x:c r="G998" s="20" t="n">
        <x:f>'Quarterly data'!$E$314</x:f>
        <x:v>51302.6333333333</x:v>
      </x:c>
      <x:c r="H998" s="22" t="n">
        <x:f>100*F998/G998</x:f>
        <x:v>101.46613656608926</x:v>
      </x:c>
      <x:c r="I998" s="24" t="n">
        <x:f>H998/100-1</x:f>
        <x:v>0.014661365660892711</x:v>
      </x:c>
      <x:c r="J998" s="26" t="n">
        <x:v>5</x:v>
      </x:c>
      <x:c r="K998" s="7" t="b">
        <x:v>0</x:v>
      </x:c>
      <x:c r="L998" s="2" t="str">
        <x:v>April 2026</x:v>
      </x:c>
      <x:c r="M998" s="2" t="str">
        <x:v>https://datawrapper.dwcdn.net/wQR5S/23/dataset.csv</x:v>
      </x:c>
    </x:row>
    <x:row r="999" ht="24" customHeight="1">
      <x:c r="A999" s="2" t="str">
        <x:v>Ramp</x:v>
      </x:c>
      <x:c r="B999" s="2" t="str">
        <x:v>Quartiles</x:v>
      </x:c>
      <x:c r="C999" s="2" t="str">
        <x:v>Q2</x:v>
      </x:c>
      <x:c r="D999" s="28" t="n">
        <x:v>45108</x:v>
      </x:c>
      <x:c r="E999" s="2" t="str">
        <x:v>2023Q3</x:v>
      </x:c>
      <x:c r="F999" s="20" t="n">
        <x:v>25186.6</x:v>
      </x:c>
      <x:c r="G999" s="20" t="n">
        <x:f>'Quarterly data'!$E$315</x:f>
        <x:v>25190.5666666667</x:v>
      </x:c>
      <x:c r="H999" s="22" t="n">
        <x:f>100*F999/G999</x:f>
        <x:v>99.98425336468533</x:v>
      </x:c>
      <x:c r="I999" s="24" t="n">
        <x:f>H999/100-1</x:f>
        <x:v>-0.00015746635314672908</x:v>
      </x:c>
      <x:c r="J999" s="26" t="n">
        <x:v>4</x:v>
      </x:c>
      <x:c r="K999" s="7" t="b">
        <x:v>0</x:v>
      </x:c>
      <x:c r="L999" s="2" t="str">
        <x:v>April 2026</x:v>
      </x:c>
      <x:c r="M999" s="2" t="str">
        <x:v>https://datawrapper.dwcdn.net/wQR5S/23/dataset.csv</x:v>
      </x:c>
    </x:row>
    <x:row r="1000" ht="24" customHeight="1">
      <x:c r="A1000" s="2" t="str">
        <x:v>Ramp</x:v>
      </x:c>
      <x:c r="B1000" s="2" t="str">
        <x:v>Quartiles</x:v>
      </x:c>
      <x:c r="C1000" s="2" t="str">
        <x:v>Q3</x:v>
      </x:c>
      <x:c r="D1000" s="28" t="n">
        <x:v>45108</x:v>
      </x:c>
      <x:c r="E1000" s="2" t="str">
        <x:v>2023Q3</x:v>
      </x:c>
      <x:c r="F1000" s="20" t="n">
        <x:v>32222.7</x:v>
      </x:c>
      <x:c r="G1000" s="20" t="n">
        <x:f>'Quarterly data'!$E$316</x:f>
        <x:v>32270.7333333333</x:v>
      </x:c>
      <x:c r="H1000" s="22" t="n">
        <x:f>100*F1000/G1000</x:f>
        <x:v>99.85115512301145</x:v>
      </x:c>
      <x:c r="I1000" s="24" t="n">
        <x:f>H1000/100-1</x:f>
        <x:v>-0.0014884487698855198</x:v>
      </x:c>
      <x:c r="J1000" s="26" t="n">
        <x:v>4</x:v>
      </x:c>
      <x:c r="K1000" s="7" t="b">
        <x:v>0</x:v>
      </x:c>
      <x:c r="L1000" s="2" t="str">
        <x:v>April 2026</x:v>
      </x:c>
      <x:c r="M1000" s="2" t="str">
        <x:v>https://datawrapper.dwcdn.net/wQR5S/23/dataset.csv</x:v>
      </x:c>
    </x:row>
    <x:row r="1001" ht="24" customHeight="1">
      <x:c r="A1001" s="2" t="str">
        <x:v>Ramp</x:v>
      </x:c>
      <x:c r="B1001" s="2" t="str">
        <x:v>Quartiles</x:v>
      </x:c>
      <x:c r="C1001" s="2" t="str">
        <x:v>Q4</x:v>
      </x:c>
      <x:c r="D1001" s="28" t="n">
        <x:v>45108</x:v>
      </x:c>
      <x:c r="E1001" s="2" t="str">
        <x:v>2023Q3</x:v>
      </x:c>
      <x:c r="F1001" s="20" t="n">
        <x:v>23695.1</x:v>
      </x:c>
      <x:c r="G1001" s="20" t="n">
        <x:f>'Quarterly data'!$E$317</x:f>
        <x:v>23648.9</x:v>
      </x:c>
      <x:c r="H1001" s="22" t="n">
        <x:f>100*F1001/G1001</x:f>
        <x:v>100.19535792362434</x:v>
      </x:c>
      <x:c r="I1001" s="24" t="n">
        <x:f>H1001/100-1</x:f>
        <x:v>0.001953579236243508</x:v>
      </x:c>
      <x:c r="J1001" s="26" t="n">
        <x:v>5</x:v>
      </x:c>
      <x:c r="K1001" s="7" t="b">
        <x:v>0</x:v>
      </x:c>
      <x:c r="L1001" s="2" t="str">
        <x:v>April 2026</x:v>
      </x:c>
      <x:c r="M1001" s="2" t="str">
        <x:v>https://datawrapper.dwcdn.net/wQR5S/23/dataset.csv</x:v>
      </x:c>
    </x:row>
    <x:row r="1002" ht="24" customHeight="1">
      <x:c r="A1002" s="2" t="str">
        <x:v>Ramp</x:v>
      </x:c>
      <x:c r="B1002" s="2" t="str">
        <x:v>Quartiles</x:v>
      </x:c>
      <x:c r="C1002" s="2" t="str">
        <x:v>Q1</x:v>
      </x:c>
      <x:c r="D1002" s="28" t="n">
        <x:v>45139</x:v>
      </x:c>
      <x:c r="E1002" s="2" t="str">
        <x:v>2023Q3</x:v>
      </x:c>
      <x:c r="F1002" s="20" t="n">
        <x:v>52243.2</x:v>
      </x:c>
      <x:c r="G1002" s="20" t="n">
        <x:f>'Quarterly data'!$E$314</x:f>
        <x:v>51302.6333333333</x:v>
      </x:c>
      <x:c r="H1002" s="22" t="n">
        <x:f>100*F1002/G1002</x:f>
        <x:v>101.83336917728076</x:v>
      </x:c>
      <x:c r="I1002" s="24" t="n">
        <x:f>H1002/100-1</x:f>
        <x:v>0.018333691772807637</x:v>
      </x:c>
      <x:c r="J1002" s="26" t="n">
        <x:v>5</x:v>
      </x:c>
      <x:c r="K1002" s="7" t="b">
        <x:v>0</x:v>
      </x:c>
      <x:c r="L1002" s="2" t="str">
        <x:v>April 2026</x:v>
      </x:c>
      <x:c r="M1002" s="2" t="str">
        <x:v>https://datawrapper.dwcdn.net/wQR5S/23/dataset.csv</x:v>
      </x:c>
    </x:row>
    <x:row r="1003" ht="24" customHeight="1">
      <x:c r="A1003" s="2" t="str">
        <x:v>Ramp</x:v>
      </x:c>
      <x:c r="B1003" s="2" t="str">
        <x:v>Quartiles</x:v>
      </x:c>
      <x:c r="C1003" s="2" t="str">
        <x:v>Q2</x:v>
      </x:c>
      <x:c r="D1003" s="28" t="n">
        <x:v>45139</x:v>
      </x:c>
      <x:c r="E1003" s="2" t="str">
        <x:v>2023Q3</x:v>
      </x:c>
      <x:c r="F1003" s="20" t="n">
        <x:v>25164.9</x:v>
      </x:c>
      <x:c r="G1003" s="20" t="n">
        <x:f>'Quarterly data'!$E$315</x:f>
        <x:v>25190.5666666667</x:v>
      </x:c>
      <x:c r="H1003" s="22" t="n">
        <x:f>100*F1003/G1003</x:f>
        <x:v>99.89811000678813</x:v>
      </x:c>
      <x:c r="I1003" s="24" t="n">
        <x:f>H1003/100-1</x:f>
        <x:v>-0.0010188999321186776</x:v>
      </x:c>
      <x:c r="J1003" s="26" t="n">
        <x:v>4</x:v>
      </x:c>
      <x:c r="K1003" s="7" t="b">
        <x:v>0</x:v>
      </x:c>
      <x:c r="L1003" s="2" t="str">
        <x:v>April 2026</x:v>
      </x:c>
      <x:c r="M1003" s="2" t="str">
        <x:v>https://datawrapper.dwcdn.net/wQR5S/23/dataset.csv</x:v>
      </x:c>
    </x:row>
    <x:row r="1004" ht="24" customHeight="1">
      <x:c r="A1004" s="2" t="str">
        <x:v>Ramp</x:v>
      </x:c>
      <x:c r="B1004" s="2" t="str">
        <x:v>Quartiles</x:v>
      </x:c>
      <x:c r="C1004" s="2" t="str">
        <x:v>Q3</x:v>
      </x:c>
      <x:c r="D1004" s="28" t="n">
        <x:v>45139</x:v>
      </x:c>
      <x:c r="E1004" s="2" t="str">
        <x:v>2023Q3</x:v>
      </x:c>
      <x:c r="F1004" s="20" t="n">
        <x:v>32209.4</x:v>
      </x:c>
      <x:c r="G1004" s="20" t="n">
        <x:f>'Quarterly data'!$E$316</x:f>
        <x:v>32270.7333333333</x:v>
      </x:c>
      <x:c r="H1004" s="22" t="n">
        <x:f>100*F1004/G1004</x:f>
        <x:v>99.80994130904999</x:v>
      </x:c>
      <x:c r="I1004" s="24" t="n">
        <x:f>H1004/100-1</x:f>
        <x:v>-0.0019005869095001238</x:v>
      </x:c>
      <x:c r="J1004" s="26" t="n">
        <x:v>4</x:v>
      </x:c>
      <x:c r="K1004" s="7" t="b">
        <x:v>0</x:v>
      </x:c>
      <x:c r="L1004" s="2" t="str">
        <x:v>April 2026</x:v>
      </x:c>
      <x:c r="M1004" s="2" t="str">
        <x:v>https://datawrapper.dwcdn.net/wQR5S/23/dataset.csv</x:v>
      </x:c>
    </x:row>
    <x:row r="1005" ht="24" customHeight="1">
      <x:c r="A1005" s="2" t="str">
        <x:v>Ramp</x:v>
      </x:c>
      <x:c r="B1005" s="2" t="str">
        <x:v>Quartiles</x:v>
      </x:c>
      <x:c r="C1005" s="2" t="str">
        <x:v>Q4</x:v>
      </x:c>
      <x:c r="D1005" s="28" t="n">
        <x:v>45139</x:v>
      </x:c>
      <x:c r="E1005" s="2" t="str">
        <x:v>2023Q3</x:v>
      </x:c>
      <x:c r="F1005" s="20" t="n">
        <x:v>23691.3</x:v>
      </x:c>
      <x:c r="G1005" s="20" t="n">
        <x:f>'Quarterly data'!$E$317</x:f>
        <x:v>23648.9</x:v>
      </x:c>
      <x:c r="H1005" s="22" t="n">
        <x:f>100*F1005/G1005</x:f>
        <x:v>100.17928952297991</x:v>
      </x:c>
      <x:c r="I1005" s="24" t="n">
        <x:f>H1005/100-1</x:f>
        <x:v>0.0017928952297991962</x:v>
      </x:c>
      <x:c r="J1005" s="26" t="n">
        <x:v>5</x:v>
      </x:c>
      <x:c r="K1005" s="7" t="b">
        <x:v>0</x:v>
      </x:c>
      <x:c r="L1005" s="2" t="str">
        <x:v>April 2026</x:v>
      </x:c>
      <x:c r="M1005" s="2" t="str">
        <x:v>https://datawrapper.dwcdn.net/wQR5S/23/dataset.csv</x:v>
      </x:c>
    </x:row>
    <x:row r="1006" ht="24" customHeight="1">
      <x:c r="A1006" s="2" t="str">
        <x:v>Ramp</x:v>
      </x:c>
      <x:c r="B1006" s="2" t="str">
        <x:v>Quartiles</x:v>
      </x:c>
      <x:c r="C1006" s="2" t="str">
        <x:v>Q1</x:v>
      </x:c>
      <x:c r="D1006" s="28" t="n">
        <x:v>45170</x:v>
      </x:c>
      <x:c r="E1006" s="2" t="str">
        <x:v>2023Q3</x:v>
      </x:c>
      <x:c r="F1006" s="20" t="n">
        <x:v>52340.8</x:v>
      </x:c>
      <x:c r="G1006" s="20" t="n">
        <x:f>'Quarterly data'!$E$314</x:f>
        <x:v>51302.6333333333</x:v>
      </x:c>
      <x:c r="H1006" s="22" t="n">
        <x:f>100*F1006/G1006</x:f>
        <x:v>102.02361282299356</x:v>
      </x:c>
      <x:c r="I1006" s="24" t="n">
        <x:f>H1006/100-1</x:f>
        <x:v>0.02023612822993548</x:v>
      </x:c>
      <x:c r="J1006" s="26" t="n">
        <x:v>5</x:v>
      </x:c>
      <x:c r="K1006" s="7" t="b">
        <x:v>0</x:v>
      </x:c>
      <x:c r="L1006" s="2" t="str">
        <x:v>April 2026</x:v>
      </x:c>
      <x:c r="M1006" s="2" t="str">
        <x:v>https://datawrapper.dwcdn.net/wQR5S/23/dataset.csv</x:v>
      </x:c>
    </x:row>
    <x:row r="1007" ht="24" customHeight="1">
      <x:c r="A1007" s="2" t="str">
        <x:v>Ramp</x:v>
      </x:c>
      <x:c r="B1007" s="2" t="str">
        <x:v>Quartiles</x:v>
      </x:c>
      <x:c r="C1007" s="2" t="str">
        <x:v>Q2</x:v>
      </x:c>
      <x:c r="D1007" s="28" t="n">
        <x:v>45170</x:v>
      </x:c>
      <x:c r="E1007" s="2" t="str">
        <x:v>2023Q3</x:v>
      </x:c>
      <x:c r="F1007" s="20" t="n">
        <x:v>25187.6</x:v>
      </x:c>
      <x:c r="G1007" s="20" t="n">
        <x:f>'Quarterly data'!$E$315</x:f>
        <x:v>25190.5666666667</x:v>
      </x:c>
      <x:c r="H1007" s="22" t="n">
        <x:f>100*F1007/G1007</x:f>
        <x:v>99.9882231046806</x:v>
      </x:c>
      <x:c r="I1007" s="24" t="n">
        <x:f>H1007/100-1</x:f>
        <x:v>-0.00011776895319404179</x:v>
      </x:c>
      <x:c r="J1007" s="26" t="n">
        <x:v>4</x:v>
      </x:c>
      <x:c r="K1007" s="7" t="b">
        <x:v>0</x:v>
      </x:c>
      <x:c r="L1007" s="2" t="str">
        <x:v>April 2026</x:v>
      </x:c>
      <x:c r="M1007" s="2" t="str">
        <x:v>https://datawrapper.dwcdn.net/wQR5S/23/dataset.csv</x:v>
      </x:c>
    </x:row>
    <x:row r="1008" ht="24" customHeight="1">
      <x:c r="A1008" s="2" t="str">
        <x:v>Ramp</x:v>
      </x:c>
      <x:c r="B1008" s="2" t="str">
        <x:v>Quartiles</x:v>
      </x:c>
      <x:c r="C1008" s="2" t="str">
        <x:v>Q3</x:v>
      </x:c>
      <x:c r="D1008" s="28" t="n">
        <x:v>45170</x:v>
      </x:c>
      <x:c r="E1008" s="2" t="str">
        <x:v>2023Q3</x:v>
      </x:c>
      <x:c r="F1008" s="20" t="n">
        <x:v>32218.6</x:v>
      </x:c>
      <x:c r="G1008" s="20" t="n">
        <x:f>'Quarterly data'!$E$316</x:f>
        <x:v>32270.7333333333</x:v>
      </x:c>
      <x:c r="H1008" s="22" t="n">
        <x:f>100*F1008/G1008</x:f>
        <x:v>99.83845011269251</x:v>
      </x:c>
      <x:c r="I1008" s="24" t="n">
        <x:f>H1008/100-1</x:f>
        <x:v>-0.0016154988730748832</x:v>
      </x:c>
      <x:c r="J1008" s="26" t="n">
        <x:v>4</x:v>
      </x:c>
      <x:c r="K1008" s="7" t="b">
        <x:v>0</x:v>
      </x:c>
      <x:c r="L1008" s="2" t="str">
        <x:v>April 2026</x:v>
      </x:c>
      <x:c r="M1008" s="2" t="str">
        <x:v>https://datawrapper.dwcdn.net/wQR5S/23/dataset.csv</x:v>
      </x:c>
    </x:row>
    <x:row r="1009" ht="24" customHeight="1">
      <x:c r="A1009" s="2" t="str">
        <x:v>Ramp</x:v>
      </x:c>
      <x:c r="B1009" s="2" t="str">
        <x:v>Quartiles</x:v>
      </x:c>
      <x:c r="C1009" s="2" t="str">
        <x:v>Q4</x:v>
      </x:c>
      <x:c r="D1009" s="28" t="n">
        <x:v>45170</x:v>
      </x:c>
      <x:c r="E1009" s="2" t="str">
        <x:v>2023Q3</x:v>
      </x:c>
      <x:c r="F1009" s="20" t="n">
        <x:v>23675.7</x:v>
      </x:c>
      <x:c r="G1009" s="20" t="n">
        <x:f>'Quarterly data'!$E$317</x:f>
        <x:v>23648.9</x:v>
      </x:c>
      <x:c r="H1009" s="22" t="n">
        <x:f>100*F1009/G1009</x:f>
        <x:v>100.11332450980807</x:v>
      </x:c>
      <x:c r="I1009" s="24" t="n">
        <x:f>H1009/100-1</x:f>
        <x:v>0.0011332450980807707</x:v>
      </x:c>
      <x:c r="J1009" s="26" t="n">
        <x:v>5</x:v>
      </x:c>
      <x:c r="K1009" s="7" t="b">
        <x:v>0</x:v>
      </x:c>
      <x:c r="L1009" s="2" t="str">
        <x:v>April 2026</x:v>
      </x:c>
      <x:c r="M1009" s="2" t="str">
        <x:v>https://datawrapper.dwcdn.net/wQR5S/23/dataset.csv</x:v>
      </x:c>
    </x:row>
    <x:row r="1010" ht="24" customHeight="1">
      <x:c r="A1010" s="2" t="str">
        <x:v>Ramp</x:v>
      </x:c>
      <x:c r="B1010" s="2" t="str">
        <x:v>Quartiles</x:v>
      </x:c>
      <x:c r="C1010" s="2" t="str">
        <x:v>Q1</x:v>
      </x:c>
      <x:c r="D1010" s="28" t="n">
        <x:v>45200</x:v>
      </x:c>
      <x:c r="E1010" s="2" t="str">
        <x:v>2023Q4</x:v>
      </x:c>
      <x:c r="F1010" s="20" t="n">
        <x:v>52501.2</x:v>
      </x:c>
      <x:c r="G1010" s="20" t="n">
        <x:f>'Quarterly data'!$E$314</x:f>
        <x:v>51302.6333333333</x:v>
      </x:c>
      <x:c r="H1010" s="22" t="n">
        <x:f>100*F1010/G1010</x:f>
        <x:v>102.33626733910351</x:v>
      </x:c>
      <x:c r="I1010" s="24" t="n">
        <x:f>H1010/100-1</x:f>
        <x:v>0.023362673391035038</x:v>
      </x:c>
      <x:c r="J1010" s="26" t="n">
        <x:v>5</x:v>
      </x:c>
      <x:c r="K1010" s="7" t="b">
        <x:v>0</x:v>
      </x:c>
      <x:c r="L1010" s="2" t="str">
        <x:v>April 2026</x:v>
      </x:c>
      <x:c r="M1010" s="2" t="str">
        <x:v>https://datawrapper.dwcdn.net/wQR5S/23/dataset.csv</x:v>
      </x:c>
    </x:row>
    <x:row r="1011" ht="24" customHeight="1">
      <x:c r="A1011" s="2" t="str">
        <x:v>Ramp</x:v>
      </x:c>
      <x:c r="B1011" s="2" t="str">
        <x:v>Quartiles</x:v>
      </x:c>
      <x:c r="C1011" s="2" t="str">
        <x:v>Q2</x:v>
      </x:c>
      <x:c r="D1011" s="28" t="n">
        <x:v>45200</x:v>
      </x:c>
      <x:c r="E1011" s="2" t="str">
        <x:v>2023Q4</x:v>
      </x:c>
      <x:c r="F1011" s="20" t="n">
        <x:v>25214.3</x:v>
      </x:c>
      <x:c r="G1011" s="20" t="n">
        <x:f>'Quarterly data'!$E$315</x:f>
        <x:v>25190.5666666667</x:v>
      </x:c>
      <x:c r="H1011" s="22" t="n">
        <x:f>100*F1011/G1011</x:f>
        <x:v>100.09421516255411</x:v>
      </x:c>
      <x:c r="I1011" s="24" t="n">
        <x:f>H1011/100-1</x:f>
        <x:v>0.0009421516255410101</x:v>
      </x:c>
      <x:c r="J1011" s="26" t="n">
        <x:v>4</x:v>
      </x:c>
      <x:c r="K1011" s="7" t="b">
        <x:v>0</x:v>
      </x:c>
      <x:c r="L1011" s="2" t="str">
        <x:v>April 2026</x:v>
      </x:c>
      <x:c r="M1011" s="2" t="str">
        <x:v>https://datawrapper.dwcdn.net/wQR5S/23/dataset.csv</x:v>
      </x:c>
    </x:row>
    <x:row r="1012" ht="24" customHeight="1">
      <x:c r="A1012" s="2" t="str">
        <x:v>Ramp</x:v>
      </x:c>
      <x:c r="B1012" s="2" t="str">
        <x:v>Quartiles</x:v>
      </x:c>
      <x:c r="C1012" s="2" t="str">
        <x:v>Q3</x:v>
      </x:c>
      <x:c r="D1012" s="28" t="n">
        <x:v>45200</x:v>
      </x:c>
      <x:c r="E1012" s="2" t="str">
        <x:v>2023Q4</x:v>
      </x:c>
      <x:c r="F1012" s="20" t="n">
        <x:v>32178.2</x:v>
      </x:c>
      <x:c r="G1012" s="20" t="n">
        <x:f>'Quarterly data'!$E$316</x:f>
        <x:v>32270.7333333333</x:v>
      </x:c>
      <x:c r="H1012" s="22" t="n">
        <x:f>100*F1012/G1012</x:f>
        <x:v>99.7132592793058</x:v>
      </x:c>
      <x:c r="I1012" s="24" t="n">
        <x:f>H1012/100-1</x:f>
        <x:v>-0.0028674072069420076</x:v>
      </x:c>
      <x:c r="J1012" s="26" t="n">
        <x:v>4</x:v>
      </x:c>
      <x:c r="K1012" s="7" t="b">
        <x:v>0</x:v>
      </x:c>
      <x:c r="L1012" s="2" t="str">
        <x:v>April 2026</x:v>
      </x:c>
      <x:c r="M1012" s="2" t="str">
        <x:v>https://datawrapper.dwcdn.net/wQR5S/23/dataset.csv</x:v>
      </x:c>
    </x:row>
    <x:row r="1013" ht="24" customHeight="1">
      <x:c r="A1013" s="2" t="str">
        <x:v>Ramp</x:v>
      </x:c>
      <x:c r="B1013" s="2" t="str">
        <x:v>Quartiles</x:v>
      </x:c>
      <x:c r="C1013" s="2" t="str">
        <x:v>Q4</x:v>
      </x:c>
      <x:c r="D1013" s="28" t="n">
        <x:v>45200</x:v>
      </x:c>
      <x:c r="E1013" s="2" t="str">
        <x:v>2023Q4</x:v>
      </x:c>
      <x:c r="F1013" s="20" t="n">
        <x:v>23642.6</x:v>
      </x:c>
      <x:c r="G1013" s="20" t="n">
        <x:f>'Quarterly data'!$E$317</x:f>
        <x:v>23648.9</x:v>
      </x:c>
      <x:c r="H1013" s="22" t="n">
        <x:f>100*F1013/G1013</x:f>
        <x:v>99.97336028314213</x:v>
      </x:c>
      <x:c r="I1013" s="24" t="n">
        <x:f>H1013/100-1</x:f>
        <x:v>-0.00026639716857868034</x:v>
      </x:c>
      <x:c r="J1013" s="26" t="n">
        <x:v>5</x:v>
      </x:c>
      <x:c r="K1013" s="7" t="b">
        <x:v>0</x:v>
      </x:c>
      <x:c r="L1013" s="2" t="str">
        <x:v>April 2026</x:v>
      </x:c>
      <x:c r="M1013" s="2" t="str">
        <x:v>https://datawrapper.dwcdn.net/wQR5S/23/dataset.csv</x:v>
      </x:c>
    </x:row>
    <x:row r="1014" ht="24" customHeight="1">
      <x:c r="A1014" s="2" t="str">
        <x:v>Ramp</x:v>
      </x:c>
      <x:c r="B1014" s="2" t="str">
        <x:v>Quartiles</x:v>
      </x:c>
      <x:c r="C1014" s="2" t="str">
        <x:v>Q1</x:v>
      </x:c>
      <x:c r="D1014" s="28" t="n">
        <x:v>45231</x:v>
      </x:c>
      <x:c r="E1014" s="2" t="str">
        <x:v>2023Q4</x:v>
      </x:c>
      <x:c r="F1014" s="20" t="n">
        <x:v>52632.8</x:v>
      </x:c>
      <x:c r="G1014" s="20" t="n">
        <x:f>'Quarterly data'!$E$314</x:f>
        <x:v>51302.6333333333</x:v>
      </x:c>
      <x:c r="H1014" s="22" t="n">
        <x:f>100*F1014/G1014</x:f>
        <x:v>102.59278438598675</x:v>
      </x:c>
      <x:c r="I1014" s="24" t="n">
        <x:f>H1014/100-1</x:f>
        <x:v>0.025927843859867572</x:v>
      </x:c>
      <x:c r="J1014" s="26" t="n">
        <x:v>5</x:v>
      </x:c>
      <x:c r="K1014" s="7" t="b">
        <x:v>0</x:v>
      </x:c>
      <x:c r="L1014" s="2" t="str">
        <x:v>April 2026</x:v>
      </x:c>
      <x:c r="M1014" s="2" t="str">
        <x:v>https://datawrapper.dwcdn.net/wQR5S/23/dataset.csv</x:v>
      </x:c>
    </x:row>
    <x:row r="1015" ht="24" customHeight="1">
      <x:c r="A1015" s="2" t="str">
        <x:v>Ramp</x:v>
      </x:c>
      <x:c r="B1015" s="2" t="str">
        <x:v>Quartiles</x:v>
      </x:c>
      <x:c r="C1015" s="2" t="str">
        <x:v>Q2</x:v>
      </x:c>
      <x:c r="D1015" s="28" t="n">
        <x:v>45231</x:v>
      </x:c>
      <x:c r="E1015" s="2" t="str">
        <x:v>2023Q4</x:v>
      </x:c>
      <x:c r="F1015" s="20" t="n">
        <x:v>25182.7</x:v>
      </x:c>
      <x:c r="G1015" s="20" t="n">
        <x:f>'Quarterly data'!$E$315</x:f>
        <x:v>25190.5666666667</x:v>
      </x:c>
      <x:c r="H1015" s="22" t="n">
        <x:f>100*F1015/G1015</x:f>
        <x:v>99.9687713787038</x:v>
      </x:c>
      <x:c r="I1015" s="24" t="n">
        <x:f>H1015/100-1</x:f>
        <x:v>-0.00031228621296197634</x:v>
      </x:c>
      <x:c r="J1015" s="26" t="n">
        <x:v>4</x:v>
      </x:c>
      <x:c r="K1015" s="7" t="b">
        <x:v>0</x:v>
      </x:c>
      <x:c r="L1015" s="2" t="str">
        <x:v>April 2026</x:v>
      </x:c>
      <x:c r="M1015" s="2" t="str">
        <x:v>https://datawrapper.dwcdn.net/wQR5S/23/dataset.csv</x:v>
      </x:c>
    </x:row>
    <x:row r="1016" ht="24" customHeight="1">
      <x:c r="A1016" s="2" t="str">
        <x:v>Ramp</x:v>
      </x:c>
      <x:c r="B1016" s="2" t="str">
        <x:v>Quartiles</x:v>
      </x:c>
      <x:c r="C1016" s="2" t="str">
        <x:v>Q3</x:v>
      </x:c>
      <x:c r="D1016" s="28" t="n">
        <x:v>45231</x:v>
      </x:c>
      <x:c r="E1016" s="2" t="str">
        <x:v>2023Q4</x:v>
      </x:c>
      <x:c r="F1016" s="20" t="n">
        <x:v>32165.9</x:v>
      </x:c>
      <x:c r="G1016" s="20" t="n">
        <x:f>'Quarterly data'!$E$316</x:f>
        <x:v>32270.7333333333</x:v>
      </x:c>
      <x:c r="H1016" s="22" t="n">
        <x:f>100*F1016/G1016</x:f>
        <x:v>99.67514424834897</x:v>
      </x:c>
      <x:c r="I1016" s="24" t="n">
        <x:f>H1016/100-1</x:f>
        <x:v>-0.0032485575165103198</x:v>
      </x:c>
      <x:c r="J1016" s="26" t="n">
        <x:v>4</x:v>
      </x:c>
      <x:c r="K1016" s="7" t="b">
        <x:v>0</x:v>
      </x:c>
      <x:c r="L1016" s="2" t="str">
        <x:v>April 2026</x:v>
      </x:c>
      <x:c r="M1016" s="2" t="str">
        <x:v>https://datawrapper.dwcdn.net/wQR5S/23/dataset.csv</x:v>
      </x:c>
    </x:row>
    <x:row r="1017" ht="24" customHeight="1">
      <x:c r="A1017" s="2" t="str">
        <x:v>Ramp</x:v>
      </x:c>
      <x:c r="B1017" s="2" t="str">
        <x:v>Quartiles</x:v>
      </x:c>
      <x:c r="C1017" s="2" t="str">
        <x:v>Q4</x:v>
      </x:c>
      <x:c r="D1017" s="28" t="n">
        <x:v>45231</x:v>
      </x:c>
      <x:c r="E1017" s="2" t="str">
        <x:v>2023Q4</x:v>
      </x:c>
      <x:c r="F1017" s="20" t="n">
        <x:v>23641.9</x:v>
      </x:c>
      <x:c r="G1017" s="20" t="n">
        <x:f>'Quarterly data'!$E$317</x:f>
        <x:v>23648.9</x:v>
      </x:c>
      <x:c r="H1017" s="22" t="n">
        <x:f>100*F1017/G1017</x:f>
        <x:v>99.97040031460236</x:v>
      </x:c>
      <x:c r="I1017" s="24" t="n">
        <x:f>H1017/100-1</x:f>
        <x:v>-0.0002959968539764102</x:v>
      </x:c>
      <x:c r="J1017" s="26" t="n">
        <x:v>5</x:v>
      </x:c>
      <x:c r="K1017" s="7" t="b">
        <x:v>0</x:v>
      </x:c>
      <x:c r="L1017" s="2" t="str">
        <x:v>April 2026</x:v>
      </x:c>
      <x:c r="M1017" s="2" t="str">
        <x:v>https://datawrapper.dwcdn.net/wQR5S/23/dataset.csv</x:v>
      </x:c>
    </x:row>
    <x:row r="1018" ht="24" customHeight="1">
      <x:c r="A1018" s="2" t="str">
        <x:v>Ramp</x:v>
      </x:c>
      <x:c r="B1018" s="2" t="str">
        <x:v>Quartiles</x:v>
      </x:c>
      <x:c r="C1018" s="2" t="str">
        <x:v>Q1</x:v>
      </x:c>
      <x:c r="D1018" s="28" t="n">
        <x:v>45261</x:v>
      </x:c>
      <x:c r="E1018" s="2" t="str">
        <x:v>2023Q4</x:v>
      </x:c>
      <x:c r="F1018" s="20" t="n">
        <x:v>52728.9</x:v>
      </x:c>
      <x:c r="G1018" s="20" t="n">
        <x:f>'Quarterly data'!$E$314</x:f>
        <x:v>51302.6333333333</x:v>
      </x:c>
      <x:c r="H1018" s="22" t="n">
        <x:f>100*F1018/G1018</x:f>
        <x:v>102.78010420517731</x:v>
      </x:c>
      <x:c r="I1018" s="24" t="n">
        <x:f>H1018/100-1</x:f>
        <x:v>0.02780104205177314</x:v>
      </x:c>
      <x:c r="J1018" s="26" t="n">
        <x:v>5</x:v>
      </x:c>
      <x:c r="K1018" s="7" t="b">
        <x:v>0</x:v>
      </x:c>
      <x:c r="L1018" s="2" t="str">
        <x:v>April 2026</x:v>
      </x:c>
      <x:c r="M1018" s="2" t="str">
        <x:v>https://datawrapper.dwcdn.net/wQR5S/23/dataset.csv</x:v>
      </x:c>
    </x:row>
    <x:row r="1019" ht="24" customHeight="1">
      <x:c r="A1019" s="2" t="str">
        <x:v>Ramp</x:v>
      </x:c>
      <x:c r="B1019" s="2" t="str">
        <x:v>Quartiles</x:v>
      </x:c>
      <x:c r="C1019" s="2" t="str">
        <x:v>Q2</x:v>
      </x:c>
      <x:c r="D1019" s="28" t="n">
        <x:v>45261</x:v>
      </x:c>
      <x:c r="E1019" s="2" t="str">
        <x:v>2023Q4</x:v>
      </x:c>
      <x:c r="F1019" s="20" t="n">
        <x:v>25177.9</x:v>
      </x:c>
      <x:c r="G1019" s="20" t="n">
        <x:f>'Quarterly data'!$E$315</x:f>
        <x:v>25190.5666666667</x:v>
      </x:c>
      <x:c r="H1019" s="22" t="n">
        <x:f>100*F1019/G1019</x:f>
        <x:v>99.94971662672654</x:v>
      </x:c>
      <x:c r="I1019" s="24" t="n">
        <x:f>H1019/100-1</x:f>
        <x:v>-0.0005028337327346311</x:v>
      </x:c>
      <x:c r="J1019" s="26" t="n">
        <x:v>4</x:v>
      </x:c>
      <x:c r="K1019" s="7" t="b">
        <x:v>0</x:v>
      </x:c>
      <x:c r="L1019" s="2" t="str">
        <x:v>April 2026</x:v>
      </x:c>
      <x:c r="M1019" s="2" t="str">
        <x:v>https://datawrapper.dwcdn.net/wQR5S/23/dataset.csv</x:v>
      </x:c>
    </x:row>
    <x:row r="1020" ht="24" customHeight="1">
      <x:c r="A1020" s="2" t="str">
        <x:v>Ramp</x:v>
      </x:c>
      <x:c r="B1020" s="2" t="str">
        <x:v>Quartiles</x:v>
      </x:c>
      <x:c r="C1020" s="2" t="str">
        <x:v>Q3</x:v>
      </x:c>
      <x:c r="D1020" s="28" t="n">
        <x:v>45261</x:v>
      </x:c>
      <x:c r="E1020" s="2" t="str">
        <x:v>2023Q4</x:v>
      </x:c>
      <x:c r="F1020" s="20" t="n">
        <x:v>32149.3</x:v>
      </x:c>
      <x:c r="G1020" s="20" t="n">
        <x:f>'Quarterly data'!$E$316</x:f>
        <x:v>32270.7333333333</x:v>
      </x:c>
      <x:c r="H1020" s="22" t="n">
        <x:f>100*F1020/G1020</x:f>
        <x:v>99.62370445047225</x:v>
      </x:c>
      <x:c r="I1020" s="24" t="n">
        <x:f>H1020/100-1</x:f>
        <x:v>-0.003762955495277498</x:v>
      </x:c>
      <x:c r="J1020" s="26" t="n">
        <x:v>4</x:v>
      </x:c>
      <x:c r="K1020" s="7" t="b">
        <x:v>0</x:v>
      </x:c>
      <x:c r="L1020" s="2" t="str">
        <x:v>April 2026</x:v>
      </x:c>
      <x:c r="M1020" s="2" t="str">
        <x:v>https://datawrapper.dwcdn.net/wQR5S/23/dataset.csv</x:v>
      </x:c>
    </x:row>
    <x:row r="1021" ht="24" customHeight="1">
      <x:c r="A1021" s="2" t="str">
        <x:v>Ramp</x:v>
      </x:c>
      <x:c r="B1021" s="2" t="str">
        <x:v>Quartiles</x:v>
      </x:c>
      <x:c r="C1021" s="2" t="str">
        <x:v>Q4</x:v>
      </x:c>
      <x:c r="D1021" s="28" t="n">
        <x:v>45261</x:v>
      </x:c>
      <x:c r="E1021" s="2" t="str">
        <x:v>2023Q4</x:v>
      </x:c>
      <x:c r="F1021" s="20" t="n">
        <x:v>23666.4</x:v>
      </x:c>
      <x:c r="G1021" s="20" t="n">
        <x:f>'Quarterly data'!$E$317</x:f>
        <x:v>23648.9</x:v>
      </x:c>
      <x:c r="H1021" s="22" t="n">
        <x:f>100*F1021/G1021</x:f>
        <x:v>100.07399921349406</x:v>
      </x:c>
      <x:c r="I1021" s="24" t="n">
        <x:f>H1021/100-1</x:f>
        <x:v>0.0007399921349406924</x:v>
      </x:c>
      <x:c r="J1021" s="26" t="n">
        <x:v>5</x:v>
      </x:c>
      <x:c r="K1021" s="7" t="b">
        <x:v>0</x:v>
      </x:c>
      <x:c r="L1021" s="2" t="str">
        <x:v>April 2026</x:v>
      </x:c>
      <x:c r="M1021" s="2" t="str">
        <x:v>https://datawrapper.dwcdn.net/wQR5S/23/dataset.csv</x:v>
      </x:c>
    </x:row>
    <x:row r="1022" ht="24" customHeight="1">
      <x:c r="A1022" s="2" t="str">
        <x:v>Ramp</x:v>
      </x:c>
      <x:c r="B1022" s="2" t="str">
        <x:v>Quartiles</x:v>
      </x:c>
      <x:c r="C1022" s="2" t="str">
        <x:v>Q1</x:v>
      </x:c>
      <x:c r="D1022" s="28" t="n">
        <x:v>45292</x:v>
      </x:c>
      <x:c r="E1022" s="2" t="str">
        <x:v>2024Q1</x:v>
      </x:c>
      <x:c r="F1022" s="20" t="n">
        <x:v>52851.5</x:v>
      </x:c>
      <x:c r="G1022" s="20" t="n">
        <x:f>'Quarterly data'!$E$314</x:f>
        <x:v>51302.6333333333</x:v>
      </x:c>
      <x:c r="H1022" s="22" t="n">
        <x:f>100*F1022/G1022</x:f>
        <x:v>103.01907829292719</x:v>
      </x:c>
      <x:c r="I1022" s="24" t="n">
        <x:f>H1022/100-1</x:f>
        <x:v>0.030190782929271798</x:v>
      </x:c>
      <x:c r="J1022" s="26" t="n">
        <x:v>5</x:v>
      </x:c>
      <x:c r="K1022" s="7" t="b">
        <x:v>0</x:v>
      </x:c>
      <x:c r="L1022" s="2" t="str">
        <x:v>April 2026</x:v>
      </x:c>
      <x:c r="M1022" s="2" t="str">
        <x:v>https://datawrapper.dwcdn.net/wQR5S/23/dataset.csv</x:v>
      </x:c>
    </x:row>
    <x:row r="1023" ht="24" customHeight="1">
      <x:c r="A1023" s="2" t="str">
        <x:v>Ramp</x:v>
      </x:c>
      <x:c r="B1023" s="2" t="str">
        <x:v>Quartiles</x:v>
      </x:c>
      <x:c r="C1023" s="2" t="str">
        <x:v>Q2</x:v>
      </x:c>
      <x:c r="D1023" s="28" t="n">
        <x:v>45292</x:v>
      </x:c>
      <x:c r="E1023" s="2" t="str">
        <x:v>2024Q1</x:v>
      </x:c>
      <x:c r="F1023" s="20" t="n">
        <x:v>25143.7</x:v>
      </x:c>
      <x:c r="G1023" s="20" t="n">
        <x:f>'Quarterly data'!$E$315</x:f>
        <x:v>25190.5666666667</x:v>
      </x:c>
      <x:c r="H1023" s="22" t="n">
        <x:f>100*F1023/G1023</x:f>
        <x:v>99.81395151888856</x:v>
      </x:c>
      <x:c r="I1023" s="24" t="n">
        <x:f>H1023/100-1</x:f>
        <x:v>-0.001860484811114449</x:v>
      </x:c>
      <x:c r="J1023" s="26" t="n">
        <x:v>4</x:v>
      </x:c>
      <x:c r="K1023" s="7" t="b">
        <x:v>0</x:v>
      </x:c>
      <x:c r="L1023" s="2" t="str">
        <x:v>April 2026</x:v>
      </x:c>
      <x:c r="M1023" s="2" t="str">
        <x:v>https://datawrapper.dwcdn.net/wQR5S/23/dataset.csv</x:v>
      </x:c>
    </x:row>
    <x:row r="1024" ht="24" customHeight="1">
      <x:c r="A1024" s="2" t="str">
        <x:v>Ramp</x:v>
      </x:c>
      <x:c r="B1024" s="2" t="str">
        <x:v>Quartiles</x:v>
      </x:c>
      <x:c r="C1024" s="2" t="str">
        <x:v>Q3</x:v>
      </x:c>
      <x:c r="D1024" s="28" t="n">
        <x:v>45292</x:v>
      </x:c>
      <x:c r="E1024" s="2" t="str">
        <x:v>2024Q1</x:v>
      </x:c>
      <x:c r="F1024" s="20" t="n">
        <x:v>32183.5</x:v>
      </x:c>
      <x:c r="G1024" s="20" t="n">
        <x:f>'Quarterly data'!$E$316</x:f>
        <x:v>32270.7333333333</x:v>
      </x:c>
      <x:c r="H1024" s="22" t="n">
        <x:f>100*F1024/G1024</x:f>
        <x:v>99.7296828292303</x:v>
      </x:c>
      <x:c r="I1024" s="24" t="n">
        <x:f>H1024/100-1</x:f>
        <x:v>-0.002703171707696961</x:v>
      </x:c>
      <x:c r="J1024" s="26" t="n">
        <x:v>4</x:v>
      </x:c>
      <x:c r="K1024" s="7" t="b">
        <x:v>0</x:v>
      </x:c>
      <x:c r="L1024" s="2" t="str">
        <x:v>April 2026</x:v>
      </x:c>
      <x:c r="M1024" s="2" t="str">
        <x:v>https://datawrapper.dwcdn.net/wQR5S/23/dataset.csv</x:v>
      </x:c>
    </x:row>
    <x:row r="1025" ht="24" customHeight="1">
      <x:c r="A1025" s="2" t="str">
        <x:v>Ramp</x:v>
      </x:c>
      <x:c r="B1025" s="2" t="str">
        <x:v>Quartiles</x:v>
      </x:c>
      <x:c r="C1025" s="2" t="str">
        <x:v>Q4</x:v>
      </x:c>
      <x:c r="D1025" s="28" t="n">
        <x:v>45292</x:v>
      </x:c>
      <x:c r="E1025" s="2" t="str">
        <x:v>2024Q1</x:v>
      </x:c>
      <x:c r="F1025" s="20" t="n">
        <x:v>23670</x:v>
      </x:c>
      <x:c r="G1025" s="20" t="n">
        <x:f>'Quarterly data'!$E$317</x:f>
        <x:v>23648.9</x:v>
      </x:c>
      <x:c r="H1025" s="22" t="n">
        <x:f>100*F1025/G1025</x:f>
        <x:v>100.08922190884142</x:v>
      </x:c>
      <x:c r="I1025" s="24" t="n">
        <x:f>H1025/100-1</x:f>
        <x:v>0.0008922190884141923</x:v>
      </x:c>
      <x:c r="J1025" s="26" t="n">
        <x:v>5</x:v>
      </x:c>
      <x:c r="K1025" s="7" t="b">
        <x:v>0</x:v>
      </x:c>
      <x:c r="L1025" s="2" t="str">
        <x:v>April 2026</x:v>
      </x:c>
      <x:c r="M1025" s="2" t="str">
        <x:v>https://datawrapper.dwcdn.net/wQR5S/23/dataset.csv</x:v>
      </x:c>
    </x:row>
    <x:row r="1026" ht="24" customHeight="1">
      <x:c r="A1026" s="2" t="str">
        <x:v>Ramp</x:v>
      </x:c>
      <x:c r="B1026" s="2" t="str">
        <x:v>Quartiles</x:v>
      </x:c>
      <x:c r="C1026" s="2" t="str">
        <x:v>Q1</x:v>
      </x:c>
      <x:c r="D1026" s="28" t="n">
        <x:v>45323</x:v>
      </x:c>
      <x:c r="E1026" s="2" t="str">
        <x:v>2024Q1</x:v>
      </x:c>
      <x:c r="F1026" s="20" t="n">
        <x:v>52996.7</x:v>
      </x:c>
      <x:c r="G1026" s="20" t="n">
        <x:f>'Quarterly data'!$E$314</x:f>
        <x:v>51302.6333333333</x:v>
      </x:c>
      <x:c r="H1026" s="22" t="n">
        <x:f>100*F1026/G1026</x:f>
        <x:v>103.3021047002786</x:v>
      </x:c>
      <x:c r="I1026" s="24" t="n">
        <x:f>H1026/100-1</x:f>
        <x:v>0.033021047002786075</x:v>
      </x:c>
      <x:c r="J1026" s="26" t="n">
        <x:v>5</x:v>
      </x:c>
      <x:c r="K1026" s="7" t="b">
        <x:v>0</x:v>
      </x:c>
      <x:c r="L1026" s="2" t="str">
        <x:v>April 2026</x:v>
      </x:c>
      <x:c r="M1026" s="2" t="str">
        <x:v>https://datawrapper.dwcdn.net/wQR5S/23/dataset.csv</x:v>
      </x:c>
    </x:row>
    <x:row r="1027" ht="24" customHeight="1">
      <x:c r="A1027" s="2" t="str">
        <x:v>Ramp</x:v>
      </x:c>
      <x:c r="B1027" s="2" t="str">
        <x:v>Quartiles</x:v>
      </x:c>
      <x:c r="C1027" s="2" t="str">
        <x:v>Q2</x:v>
      </x:c>
      <x:c r="D1027" s="28" t="n">
        <x:v>45323</x:v>
      </x:c>
      <x:c r="E1027" s="2" t="str">
        <x:v>2024Q1</x:v>
      </x:c>
      <x:c r="F1027" s="20" t="n">
        <x:v>25183.1</x:v>
      </x:c>
      <x:c r="G1027" s="20" t="n">
        <x:f>'Quarterly data'!$E$315</x:f>
        <x:v>25190.5666666667</x:v>
      </x:c>
      <x:c r="H1027" s="22" t="n">
        <x:f>100*F1027/G1027</x:f>
        <x:v>99.9703592747019</x:v>
      </x:c>
      <x:c r="I1027" s="24" t="n">
        <x:f>H1027/100-1</x:f>
        <x:v>-0.00029640725298096804</x:v>
      </x:c>
      <x:c r="J1027" s="26" t="n">
        <x:v>4</x:v>
      </x:c>
      <x:c r="K1027" s="7" t="b">
        <x:v>0</x:v>
      </x:c>
      <x:c r="L1027" s="2" t="str">
        <x:v>April 2026</x:v>
      </x:c>
      <x:c r="M1027" s="2" t="str">
        <x:v>https://datawrapper.dwcdn.net/wQR5S/23/dataset.csv</x:v>
      </x:c>
    </x:row>
    <x:row r="1028" ht="24" customHeight="1">
      <x:c r="A1028" s="2" t="str">
        <x:v>Ramp</x:v>
      </x:c>
      <x:c r="B1028" s="2" t="str">
        <x:v>Quartiles</x:v>
      </x:c>
      <x:c r="C1028" s="2" t="str">
        <x:v>Q3</x:v>
      </x:c>
      <x:c r="D1028" s="28" t="n">
        <x:v>45323</x:v>
      </x:c>
      <x:c r="E1028" s="2" t="str">
        <x:v>2024Q1</x:v>
      </x:c>
      <x:c r="F1028" s="20" t="n">
        <x:v>32138.9</x:v>
      </x:c>
      <x:c r="G1028" s="20" t="n">
        <x:f>'Quarterly data'!$E$316</x:f>
        <x:v>32270.7333333333</x:v>
      </x:c>
      <x:c r="H1028" s="22" t="n">
        <x:f>100*F1028/G1028</x:f>
        <x:v>99.5914771072242</x:v>
      </x:c>
      <x:c r="I1028" s="24" t="n">
        <x:f>H1028/100-1</x:f>
        <x:v>-0.004085228927758089</x:v>
      </x:c>
      <x:c r="J1028" s="26" t="n">
        <x:v>4</x:v>
      </x:c>
      <x:c r="K1028" s="7" t="b">
        <x:v>0</x:v>
      </x:c>
      <x:c r="L1028" s="2" t="str">
        <x:v>April 2026</x:v>
      </x:c>
      <x:c r="M1028" s="2" t="str">
        <x:v>https://datawrapper.dwcdn.net/wQR5S/23/dataset.csv</x:v>
      </x:c>
    </x:row>
    <x:row r="1029" ht="24" customHeight="1">
      <x:c r="A1029" s="2" t="str">
        <x:v>Ramp</x:v>
      </x:c>
      <x:c r="B1029" s="2" t="str">
        <x:v>Quartiles</x:v>
      </x:c>
      <x:c r="C1029" s="2" t="str">
        <x:v>Q4</x:v>
      </x:c>
      <x:c r="D1029" s="28" t="n">
        <x:v>45323</x:v>
      </x:c>
      <x:c r="E1029" s="2" t="str">
        <x:v>2024Q1</x:v>
      </x:c>
      <x:c r="F1029" s="20" t="n">
        <x:v>23665.6</x:v>
      </x:c>
      <x:c r="G1029" s="20" t="n">
        <x:f>'Quarterly data'!$E$317</x:f>
        <x:v>23648.9</x:v>
      </x:c>
      <x:c r="H1029" s="22" t="n">
        <x:f>100*F1029/G1029</x:f>
        <x:v>100.07061639230577</x:v>
      </x:c>
      <x:c r="I1029" s="24" t="n">
        <x:f>H1029/100-1</x:f>
        <x:v>0.0007061639230576677</x:v>
      </x:c>
      <x:c r="J1029" s="26" t="n">
        <x:v>5</x:v>
      </x:c>
      <x:c r="K1029" s="7" t="b">
        <x:v>0</x:v>
      </x:c>
      <x:c r="L1029" s="2" t="str">
        <x:v>April 2026</x:v>
      </x:c>
      <x:c r="M1029" s="2" t="str">
        <x:v>https://datawrapper.dwcdn.net/wQR5S/23/dataset.csv</x:v>
      </x:c>
    </x:row>
    <x:row r="1030" ht="24" customHeight="1">
      <x:c r="A1030" s="2" t="str">
        <x:v>Ramp</x:v>
      </x:c>
      <x:c r="B1030" s="2" t="str">
        <x:v>Quartiles</x:v>
      </x:c>
      <x:c r="C1030" s="2" t="str">
        <x:v>Q1</x:v>
      </x:c>
      <x:c r="D1030" s="28" t="n">
        <x:v>45352</x:v>
      </x:c>
      <x:c r="E1030" s="2" t="str">
        <x:v>2024Q1</x:v>
      </x:c>
      <x:c r="F1030" s="20" t="n">
        <x:v>53163.9</x:v>
      </x:c>
      <x:c r="G1030" s="20" t="n">
        <x:f>'Quarterly data'!$E$314</x:f>
        <x:v>51302.6333333333</x:v>
      </x:c>
      <x:c r="H1030" s="22" t="n">
        <x:f>100*F1030/G1030</x:f>
        <x:v>103.62801389662265</x:v>
      </x:c>
      <x:c r="I1030" s="24" t="n">
        <x:f>H1030/100-1</x:f>
        <x:v>0.036280138966226394</x:v>
      </x:c>
      <x:c r="J1030" s="26" t="n">
        <x:v>5</x:v>
      </x:c>
      <x:c r="K1030" s="7" t="b">
        <x:v>0</x:v>
      </x:c>
      <x:c r="L1030" s="2" t="str">
        <x:v>April 2026</x:v>
      </x:c>
      <x:c r="M1030" s="2" t="str">
        <x:v>https://datawrapper.dwcdn.net/wQR5S/23/dataset.csv</x:v>
      </x:c>
    </x:row>
    <x:row r="1031" ht="24" customHeight="1">
      <x:c r="A1031" s="2" t="str">
        <x:v>Ramp</x:v>
      </x:c>
      <x:c r="B1031" s="2" t="str">
        <x:v>Quartiles</x:v>
      </x:c>
      <x:c r="C1031" s="2" t="str">
        <x:v>Q2</x:v>
      </x:c>
      <x:c r="D1031" s="28" t="n">
        <x:v>45352</x:v>
      </x:c>
      <x:c r="E1031" s="2" t="str">
        <x:v>2024Q1</x:v>
      </x:c>
      <x:c r="F1031" s="20" t="n">
        <x:v>25195.3</x:v>
      </x:c>
      <x:c r="G1031" s="20" t="n">
        <x:f>'Quarterly data'!$E$315</x:f>
        <x:v>25190.5666666667</x:v>
      </x:c>
      <x:c r="H1031" s="22" t="n">
        <x:f>100*F1031/G1031</x:f>
        <x:v>100.01879010264412</x:v>
      </x:c>
      <x:c r="I1031" s="24" t="n">
        <x:f>H1031/100-1</x:f>
        <x:v>0.0001879010264411729</x:v>
      </x:c>
      <x:c r="J1031" s="26" t="n">
        <x:v>4</x:v>
      </x:c>
      <x:c r="K1031" s="7" t="b">
        <x:v>0</x:v>
      </x:c>
      <x:c r="L1031" s="2" t="str">
        <x:v>April 2026</x:v>
      </x:c>
      <x:c r="M1031" s="2" t="str">
        <x:v>https://datawrapper.dwcdn.net/wQR5S/23/dataset.csv</x:v>
      </x:c>
    </x:row>
    <x:row r="1032" ht="24" customHeight="1">
      <x:c r="A1032" s="2" t="str">
        <x:v>Ramp</x:v>
      </x:c>
      <x:c r="B1032" s="2" t="str">
        <x:v>Quartiles</x:v>
      </x:c>
      <x:c r="C1032" s="2" t="str">
        <x:v>Q3</x:v>
      </x:c>
      <x:c r="D1032" s="28" t="n">
        <x:v>45352</x:v>
      </x:c>
      <x:c r="E1032" s="2" t="str">
        <x:v>2024Q1</x:v>
      </x:c>
      <x:c r="F1032" s="20" t="n">
        <x:v>32136.6</x:v>
      </x:c>
      <x:c r="G1032" s="20" t="n">
        <x:f>'Quarterly data'!$E$316</x:f>
        <x:v>32270.7333333333</x:v>
      </x:c>
      <x:c r="H1032" s="22" t="n">
        <x:f>100*F1032/G1032</x:f>
        <x:v>99.58434990631356</x:v>
      </x:c>
      <x:c r="I1032" s="24" t="n">
        <x:f>H1032/100-1</x:f>
        <x:v>-0.004156500936864371</x:v>
      </x:c>
      <x:c r="J1032" s="26" t="n">
        <x:v>4</x:v>
      </x:c>
      <x:c r="K1032" s="7" t="b">
        <x:v>0</x:v>
      </x:c>
      <x:c r="L1032" s="2" t="str">
        <x:v>April 2026</x:v>
      </x:c>
      <x:c r="M1032" s="2" t="str">
        <x:v>https://datawrapper.dwcdn.net/wQR5S/23/dataset.csv</x:v>
      </x:c>
    </x:row>
    <x:row r="1033" ht="24" customHeight="1">
      <x:c r="A1033" s="2" t="str">
        <x:v>Ramp</x:v>
      </x:c>
      <x:c r="B1033" s="2" t="str">
        <x:v>Quartiles</x:v>
      </x:c>
      <x:c r="C1033" s="2" t="str">
        <x:v>Q4</x:v>
      </x:c>
      <x:c r="D1033" s="28" t="n">
        <x:v>45352</x:v>
      </x:c>
      <x:c r="E1033" s="2" t="str">
        <x:v>2024Q1</x:v>
      </x:c>
      <x:c r="F1033" s="20" t="n">
        <x:v>23632.2</x:v>
      </x:c>
      <x:c r="G1033" s="20" t="n">
        <x:f>'Quarterly data'!$E$317</x:f>
        <x:v>23648.9</x:v>
      </x:c>
      <x:c r="H1033" s="22" t="n">
        <x:f>100*F1033/G1033</x:f>
        <x:v>99.92938360769422</x:v>
      </x:c>
      <x:c r="I1033" s="24" t="n">
        <x:f>H1033/100-1</x:f>
        <x:v>-0.0007061639230577788</x:v>
      </x:c>
      <x:c r="J1033" s="26" t="n">
        <x:v>5</x:v>
      </x:c>
      <x:c r="K1033" s="7" t="b">
        <x:v>0</x:v>
      </x:c>
      <x:c r="L1033" s="2" t="str">
        <x:v>April 2026</x:v>
      </x:c>
      <x:c r="M1033" s="2" t="str">
        <x:v>https://datawrapper.dwcdn.net/wQR5S/23/dataset.csv</x:v>
      </x:c>
    </x:row>
    <x:row r="1034" ht="24" customHeight="1">
      <x:c r="A1034" s="2" t="str">
        <x:v>Ramp</x:v>
      </x:c>
      <x:c r="B1034" s="2" t="str">
        <x:v>Quartiles</x:v>
      </x:c>
      <x:c r="C1034" s="2" t="str">
        <x:v>Q1</x:v>
      </x:c>
      <x:c r="D1034" s="28" t="n">
        <x:v>45383</x:v>
      </x:c>
      <x:c r="E1034" s="2" t="str">
        <x:v>2024Q2</x:v>
      </x:c>
      <x:c r="F1034" s="20" t="n">
        <x:v>53238.6</x:v>
      </x:c>
      <x:c r="G1034" s="20" t="n">
        <x:f>'Quarterly data'!$E$314</x:f>
        <x:v>51302.6333333333</x:v>
      </x:c>
      <x:c r="H1034" s="22" t="n">
        <x:f>100*F1034/G1034</x:f>
        <x:v>103.77362045742947</x:v>
      </x:c>
      <x:c r="I1034" s="24" t="n">
        <x:f>H1034/100-1</x:f>
        <x:v>0.03773620457429483</x:v>
      </x:c>
      <x:c r="J1034" s="26" t="n">
        <x:v>5</x:v>
      </x:c>
      <x:c r="K1034" s="7" t="b">
        <x:v>0</x:v>
      </x:c>
      <x:c r="L1034" s="2" t="str">
        <x:v>April 2026</x:v>
      </x:c>
      <x:c r="M1034" s="2" t="str">
        <x:v>https://datawrapper.dwcdn.net/wQR5S/23/dataset.csv</x:v>
      </x:c>
    </x:row>
    <x:row r="1035" ht="24" customHeight="1">
      <x:c r="A1035" s="2" t="str">
        <x:v>Ramp</x:v>
      </x:c>
      <x:c r="B1035" s="2" t="str">
        <x:v>Quartiles</x:v>
      </x:c>
      <x:c r="C1035" s="2" t="str">
        <x:v>Q2</x:v>
      </x:c>
      <x:c r="D1035" s="28" t="n">
        <x:v>45383</x:v>
      </x:c>
      <x:c r="E1035" s="2" t="str">
        <x:v>2024Q2</x:v>
      </x:c>
      <x:c r="F1035" s="20" t="n">
        <x:v>25202.6</x:v>
      </x:c>
      <x:c r="G1035" s="20" t="n">
        <x:f>'Quarterly data'!$E$315</x:f>
        <x:v>25190.5666666667</x:v>
      </x:c>
      <x:c r="H1035" s="22" t="n">
        <x:f>100*F1035/G1035</x:f>
        <x:v>100.04776920460954</x:v>
      </x:c>
      <x:c r="I1035" s="24" t="n">
        <x:f>H1035/100-1</x:f>
        <x:v>0.0004776920460953793</x:v>
      </x:c>
      <x:c r="J1035" s="26" t="n">
        <x:v>4</x:v>
      </x:c>
      <x:c r="K1035" s="7" t="b">
        <x:v>0</x:v>
      </x:c>
      <x:c r="L1035" s="2" t="str">
        <x:v>April 2026</x:v>
      </x:c>
      <x:c r="M1035" s="2" t="str">
        <x:v>https://datawrapper.dwcdn.net/wQR5S/23/dataset.csv</x:v>
      </x:c>
    </x:row>
    <x:row r="1036" ht="24" customHeight="1">
      <x:c r="A1036" s="2" t="str">
        <x:v>Ramp</x:v>
      </x:c>
      <x:c r="B1036" s="2" t="str">
        <x:v>Quartiles</x:v>
      </x:c>
      <x:c r="C1036" s="2" t="str">
        <x:v>Q3</x:v>
      </x:c>
      <x:c r="D1036" s="28" t="n">
        <x:v>45383</x:v>
      </x:c>
      <x:c r="E1036" s="2" t="str">
        <x:v>2024Q2</x:v>
      </x:c>
      <x:c r="F1036" s="20" t="n">
        <x:v>32124.2</x:v>
      </x:c>
      <x:c r="G1036" s="20" t="n">
        <x:f>'Quarterly data'!$E$316</x:f>
        <x:v>32270.7333333333</x:v>
      </x:c>
      <x:c r="H1036" s="22" t="n">
        <x:f>100*F1036/G1036</x:f>
        <x:v>99.54592499705626</x:v>
      </x:c>
      <x:c r="I1036" s="24" t="n">
        <x:f>H1036/100-1</x:f>
        <x:v>-0.004540750029437435</x:v>
      </x:c>
      <x:c r="J1036" s="26" t="n">
        <x:v>4</x:v>
      </x:c>
      <x:c r="K1036" s="7" t="b">
        <x:v>0</x:v>
      </x:c>
      <x:c r="L1036" s="2" t="str">
        <x:v>April 2026</x:v>
      </x:c>
      <x:c r="M1036" s="2" t="str">
        <x:v>https://datawrapper.dwcdn.net/wQR5S/23/dataset.csv</x:v>
      </x:c>
    </x:row>
    <x:row r="1037" ht="24" customHeight="1">
      <x:c r="A1037" s="2" t="str">
        <x:v>Ramp</x:v>
      </x:c>
      <x:c r="B1037" s="2" t="str">
        <x:v>Quartiles</x:v>
      </x:c>
      <x:c r="C1037" s="2" t="str">
        <x:v>Q4</x:v>
      </x:c>
      <x:c r="D1037" s="28" t="n">
        <x:v>45383</x:v>
      </x:c>
      <x:c r="E1037" s="2" t="str">
        <x:v>2024Q2</x:v>
      </x:c>
      <x:c r="F1037" s="20" t="n">
        <x:v>23626.5</x:v>
      </x:c>
      <x:c r="G1037" s="20" t="n">
        <x:f>'Quarterly data'!$E$317</x:f>
        <x:v>23648.9</x:v>
      </x:c>
      <x:c r="H1037" s="22" t="n">
        <x:f>100*F1037/G1037</x:f>
        <x:v>99.90528100672758</x:v>
      </x:c>
      <x:c r="I1037" s="24" t="n">
        <x:f>H1037/100-1</x:f>
        <x:v>-0.0009471899327242461</x:v>
      </x:c>
      <x:c r="J1037" s="26" t="n">
        <x:v>5</x:v>
      </x:c>
      <x:c r="K1037" s="7" t="b">
        <x:v>0</x:v>
      </x:c>
      <x:c r="L1037" s="2" t="str">
        <x:v>April 2026</x:v>
      </x:c>
      <x:c r="M1037" s="2" t="str">
        <x:v>https://datawrapper.dwcdn.net/wQR5S/23/dataset.csv</x:v>
      </x:c>
    </x:row>
    <x:row r="1038" ht="24" customHeight="1">
      <x:c r="A1038" s="2" t="str">
        <x:v>Ramp</x:v>
      </x:c>
      <x:c r="B1038" s="2" t="str">
        <x:v>Quartiles</x:v>
      </x:c>
      <x:c r="C1038" s="2" t="str">
        <x:v>Q1</x:v>
      </x:c>
      <x:c r="D1038" s="28" t="n">
        <x:v>45413</x:v>
      </x:c>
      <x:c r="E1038" s="2" t="str">
        <x:v>2024Q2</x:v>
      </x:c>
      <x:c r="F1038" s="20" t="n">
        <x:v>53280.7</x:v>
      </x:c>
      <x:c r="G1038" s="20" t="n">
        <x:f>'Quarterly data'!$E$314</x:f>
        <x:v>51302.6333333333</x:v>
      </x:c>
      <x:c r="H1038" s="22" t="n">
        <x:f>100*F1038/G1038</x:f>
        <x:v>103.85568252181993</x:v>
      </x:c>
      <x:c r="I1038" s="24" t="n">
        <x:f>H1038/100-1</x:f>
        <x:v>0.038556825218199364</x:v>
      </x:c>
      <x:c r="J1038" s="26" t="n">
        <x:v>5</x:v>
      </x:c>
      <x:c r="K1038" s="7" t="b">
        <x:v>0</x:v>
      </x:c>
      <x:c r="L1038" s="2" t="str">
        <x:v>April 2026</x:v>
      </x:c>
      <x:c r="M1038" s="2" t="str">
        <x:v>https://datawrapper.dwcdn.net/wQR5S/23/dataset.csv</x:v>
      </x:c>
    </x:row>
    <x:row r="1039" ht="24" customHeight="1">
      <x:c r="A1039" s="2" t="str">
        <x:v>Ramp</x:v>
      </x:c>
      <x:c r="B1039" s="2" t="str">
        <x:v>Quartiles</x:v>
      </x:c>
      <x:c r="C1039" s="2" t="str">
        <x:v>Q2</x:v>
      </x:c>
      <x:c r="D1039" s="28" t="n">
        <x:v>45413</x:v>
      </x:c>
      <x:c r="E1039" s="2" t="str">
        <x:v>2024Q2</x:v>
      </x:c>
      <x:c r="F1039" s="20" t="n">
        <x:v>25215.1</x:v>
      </x:c>
      <x:c r="G1039" s="20" t="n">
        <x:f>'Quarterly data'!$E$315</x:f>
        <x:v>25190.5666666667</x:v>
      </x:c>
      <x:c r="H1039" s="22" t="n">
        <x:f>100*F1039/G1039</x:f>
        <x:v>100.09739095455032</x:v>
      </x:c>
      <x:c r="I1039" s="24" t="n">
        <x:f>H1039/100-1</x:f>
        <x:v>0.0009739095455032487</x:v>
      </x:c>
      <x:c r="J1039" s="26" t="n">
        <x:v>4</x:v>
      </x:c>
      <x:c r="K1039" s="7" t="b">
        <x:v>0</x:v>
      </x:c>
      <x:c r="L1039" s="2" t="str">
        <x:v>April 2026</x:v>
      </x:c>
      <x:c r="M1039" s="2" t="str">
        <x:v>https://datawrapper.dwcdn.net/wQR5S/23/dataset.csv</x:v>
      </x:c>
    </x:row>
    <x:row r="1040" ht="24" customHeight="1">
      <x:c r="A1040" s="2" t="str">
        <x:v>Ramp</x:v>
      </x:c>
      <x:c r="B1040" s="2" t="str">
        <x:v>Quartiles</x:v>
      </x:c>
      <x:c r="C1040" s="2" t="str">
        <x:v>Q3</x:v>
      </x:c>
      <x:c r="D1040" s="28" t="n">
        <x:v>45413</x:v>
      </x:c>
      <x:c r="E1040" s="2" t="str">
        <x:v>2024Q2</x:v>
      </x:c>
      <x:c r="F1040" s="20" t="n">
        <x:v>32098</x:v>
      </x:c>
      <x:c r="G1040" s="20" t="n">
        <x:f>'Quarterly data'!$E$316</x:f>
        <x:v>32270.7333333333</x:v>
      </x:c>
      <x:c r="H1040" s="22" t="n">
        <x:f>100*F1040/G1040</x:f>
        <x:v>99.46473688233517</x:v>
      </x:c>
      <x:c r="I1040" s="24" t="n">
        <x:f>H1040/100-1</x:f>
        <x:v>-0.005352631176648304</x:v>
      </x:c>
      <x:c r="J1040" s="26" t="n">
        <x:v>4</x:v>
      </x:c>
      <x:c r="K1040" s="7" t="b">
        <x:v>0</x:v>
      </x:c>
      <x:c r="L1040" s="2" t="str">
        <x:v>April 2026</x:v>
      </x:c>
      <x:c r="M1040" s="2" t="str">
        <x:v>https://datawrapper.dwcdn.net/wQR5S/23/dataset.csv</x:v>
      </x:c>
    </x:row>
    <x:row r="1041" ht="24" customHeight="1">
      <x:c r="A1041" s="2" t="str">
        <x:v>Ramp</x:v>
      </x:c>
      <x:c r="B1041" s="2" t="str">
        <x:v>Quartiles</x:v>
      </x:c>
      <x:c r="C1041" s="2" t="str">
        <x:v>Q4</x:v>
      </x:c>
      <x:c r="D1041" s="28" t="n">
        <x:v>45413</x:v>
      </x:c>
      <x:c r="E1041" s="2" t="str">
        <x:v>2024Q2</x:v>
      </x:c>
      <x:c r="F1041" s="20" t="n">
        <x:v>23644.7</x:v>
      </x:c>
      <x:c r="G1041" s="20" t="n">
        <x:f>'Quarterly data'!$E$317</x:f>
        <x:v>23648.9</x:v>
      </x:c>
      <x:c r="H1041" s="22" t="n">
        <x:f>100*F1041/G1041</x:f>
        <x:v>99.98224018876141</x:v>
      </x:c>
      <x:c r="I1041" s="24" t="n">
        <x:f>H1041/100-1</x:f>
        <x:v>-0.00017759811238593493</x:v>
      </x:c>
      <x:c r="J1041" s="26" t="n">
        <x:v>5</x:v>
      </x:c>
      <x:c r="K1041" s="7" t="b">
        <x:v>0</x:v>
      </x:c>
      <x:c r="L1041" s="2" t="str">
        <x:v>April 2026</x:v>
      </x:c>
      <x:c r="M1041" s="2" t="str">
        <x:v>https://datawrapper.dwcdn.net/wQR5S/23/dataset.csv</x:v>
      </x:c>
    </x:row>
    <x:row r="1042" ht="24" customHeight="1">
      <x:c r="A1042" s="2" t="str">
        <x:v>Ramp</x:v>
      </x:c>
      <x:c r="B1042" s="2" t="str">
        <x:v>Quartiles</x:v>
      </x:c>
      <x:c r="C1042" s="2" t="str">
        <x:v>Q1</x:v>
      </x:c>
      <x:c r="D1042" s="28" t="n">
        <x:v>45444</x:v>
      </x:c>
      <x:c r="E1042" s="2" t="str">
        <x:v>2024Q2</x:v>
      </x:c>
      <x:c r="F1042" s="20" t="n">
        <x:v>53395.4</x:v>
      </x:c>
      <x:c r="G1042" s="20" t="n">
        <x:f>'Quarterly data'!$E$314</x:f>
        <x:v>51302.6333333333</x:v>
      </x:c>
      <x:c r="H1042" s="22" t="n">
        <x:f>100*F1042/G1042</x:f>
        <x:v>104.07925778988609</x:v>
      </x:c>
      <x:c r="I1042" s="24" t="n">
        <x:f>H1042/100-1</x:f>
        <x:v>0.04079257789886093</x:v>
      </x:c>
      <x:c r="J1042" s="26" t="n">
        <x:v>5</x:v>
      </x:c>
      <x:c r="K1042" s="7" t="b">
        <x:v>0</x:v>
      </x:c>
      <x:c r="L1042" s="2" t="str">
        <x:v>April 2026</x:v>
      </x:c>
      <x:c r="M1042" s="2" t="str">
        <x:v>https://datawrapper.dwcdn.net/wQR5S/23/dataset.csv</x:v>
      </x:c>
    </x:row>
    <x:row r="1043" ht="24" customHeight="1">
      <x:c r="A1043" s="2" t="str">
        <x:v>Ramp</x:v>
      </x:c>
      <x:c r="B1043" s="2" t="str">
        <x:v>Quartiles</x:v>
      </x:c>
      <x:c r="C1043" s="2" t="str">
        <x:v>Q2</x:v>
      </x:c>
      <x:c r="D1043" s="28" t="n">
        <x:v>45444</x:v>
      </x:c>
      <x:c r="E1043" s="2" t="str">
        <x:v>2024Q2</x:v>
      </x:c>
      <x:c r="F1043" s="20" t="n">
        <x:v>25177.5</x:v>
      </x:c>
      <x:c r="G1043" s="20" t="n">
        <x:f>'Quarterly data'!$E$315</x:f>
        <x:v>25190.5666666667</x:v>
      </x:c>
      <x:c r="H1043" s="22" t="n">
        <x:f>100*F1043/G1043</x:f>
        <x:v>99.94812873072844</x:v>
      </x:c>
      <x:c r="I1043" s="24" t="n">
        <x:f>H1043/100-1</x:f>
        <x:v>-0.0005187126927155283</x:v>
      </x:c>
      <x:c r="J1043" s="26" t="n">
        <x:v>4</x:v>
      </x:c>
      <x:c r="K1043" s="7" t="b">
        <x:v>0</x:v>
      </x:c>
      <x:c r="L1043" s="2" t="str">
        <x:v>April 2026</x:v>
      </x:c>
      <x:c r="M1043" s="2" t="str">
        <x:v>https://datawrapper.dwcdn.net/wQR5S/23/dataset.csv</x:v>
      </x:c>
    </x:row>
    <x:row r="1044" ht="24" customHeight="1">
      <x:c r="A1044" s="2" t="str">
        <x:v>Ramp</x:v>
      </x:c>
      <x:c r="B1044" s="2" t="str">
        <x:v>Quartiles</x:v>
      </x:c>
      <x:c r="C1044" s="2" t="str">
        <x:v>Q3</x:v>
      </x:c>
      <x:c r="D1044" s="28" t="n">
        <x:v>45444</x:v>
      </x:c>
      <x:c r="E1044" s="2" t="str">
        <x:v>2024Q2</x:v>
      </x:c>
      <x:c r="F1044" s="20" t="n">
        <x:v>32078.4</x:v>
      </x:c>
      <x:c r="G1044" s="20" t="n">
        <x:f>'Quarterly data'!$E$316</x:f>
        <x:v>32270.7333333333</x:v>
      </x:c>
      <x:c r="H1044" s="22" t="n">
        <x:f>100*F1044/G1044</x:f>
        <x:v>99.4040007354446</x:v>
      </x:c>
      <x:c r="I1044" s="24" t="n">
        <x:f>H1044/100-1</x:f>
        <x:v>-0.005959992645554024</x:v>
      </x:c>
      <x:c r="J1044" s="26" t="n">
        <x:v>4</x:v>
      </x:c>
      <x:c r="K1044" s="7" t="b">
        <x:v>0</x:v>
      </x:c>
      <x:c r="L1044" s="2" t="str">
        <x:v>April 2026</x:v>
      </x:c>
      <x:c r="M1044" s="2" t="str">
        <x:v>https://datawrapper.dwcdn.net/wQR5S/23/dataset.csv</x:v>
      </x:c>
    </x:row>
    <x:row r="1045" ht="24" customHeight="1">
      <x:c r="A1045" s="2" t="str">
        <x:v>Ramp</x:v>
      </x:c>
      <x:c r="B1045" s="2" t="str">
        <x:v>Quartiles</x:v>
      </x:c>
      <x:c r="C1045" s="2" t="str">
        <x:v>Q4</x:v>
      </x:c>
      <x:c r="D1045" s="28" t="n">
        <x:v>45444</x:v>
      </x:c>
      <x:c r="E1045" s="2" t="str">
        <x:v>2024Q2</x:v>
      </x:c>
      <x:c r="F1045" s="20" t="n">
        <x:v>23665.9</x:v>
      </x:c>
      <x:c r="G1045" s="20" t="n">
        <x:f>'Quarterly data'!$E$317</x:f>
        <x:v>23648.9</x:v>
      </x:c>
      <x:c r="H1045" s="22" t="n">
        <x:f>100*F1045/G1045</x:f>
        <x:v>100.07188495025137</x:v>
      </x:c>
      <x:c r="I1045" s="24" t="n">
        <x:f>H1045/100-1</x:f>
        <x:v>0.0007188495025136632</x:v>
      </x:c>
      <x:c r="J1045" s="26" t="n">
        <x:v>5</x:v>
      </x:c>
      <x:c r="K1045" s="7" t="b">
        <x:v>0</x:v>
      </x:c>
      <x:c r="L1045" s="2" t="str">
        <x:v>April 2026</x:v>
      </x:c>
      <x:c r="M1045" s="2" t="str">
        <x:v>https://datawrapper.dwcdn.net/wQR5S/23/dataset.csv</x:v>
      </x:c>
    </x:row>
    <x:row r="1046" ht="24" customHeight="1">
      <x:c r="A1046" s="2" t="str">
        <x:v>Ramp</x:v>
      </x:c>
      <x:c r="B1046" s="2" t="str">
        <x:v>Quartiles</x:v>
      </x:c>
      <x:c r="C1046" s="2" t="str">
        <x:v>Q1</x:v>
      </x:c>
      <x:c r="D1046" s="28" t="n">
        <x:v>45474</x:v>
      </x:c>
      <x:c r="E1046" s="2" t="str">
        <x:v>2024Q3</x:v>
      </x:c>
      <x:c r="F1046" s="20" t="n">
        <x:v>53462.3</x:v>
      </x:c>
      <x:c r="G1046" s="20" t="n">
        <x:f>'Quarterly data'!$E$314</x:f>
        <x:v>51302.6333333333</x:v>
      </x:c>
      <x:c r="H1046" s="22" t="n">
        <x:f>100*F1046/G1046</x:f>
        <x:v>104.20966045277734</x:v>
      </x:c>
      <x:c r="I1046" s="24" t="n">
        <x:f>H1046/100-1</x:f>
        <x:v>0.04209660452777353</x:v>
      </x:c>
      <x:c r="J1046" s="26" t="n">
        <x:v>5</x:v>
      </x:c>
      <x:c r="K1046" s="7" t="b">
        <x:v>0</x:v>
      </x:c>
      <x:c r="L1046" s="2" t="str">
        <x:v>April 2026</x:v>
      </x:c>
      <x:c r="M1046" s="2" t="str">
        <x:v>https://datawrapper.dwcdn.net/wQR5S/23/dataset.csv</x:v>
      </x:c>
    </x:row>
    <x:row r="1047" ht="24" customHeight="1">
      <x:c r="A1047" s="2" t="str">
        <x:v>Ramp</x:v>
      </x:c>
      <x:c r="B1047" s="2" t="str">
        <x:v>Quartiles</x:v>
      </x:c>
      <x:c r="C1047" s="2" t="str">
        <x:v>Q2</x:v>
      </x:c>
      <x:c r="D1047" s="28" t="n">
        <x:v>45474</x:v>
      </x:c>
      <x:c r="E1047" s="2" t="str">
        <x:v>2024Q3</x:v>
      </x:c>
      <x:c r="F1047" s="20" t="n">
        <x:v>25157</x:v>
      </x:c>
      <x:c r="G1047" s="20" t="n">
        <x:f>'Quarterly data'!$E$315</x:f>
        <x:v>25190.5666666667</x:v>
      </x:c>
      <x:c r="H1047" s="22" t="n">
        <x:f>100*F1047/G1047</x:f>
        <x:v>99.86674906082555</x:v>
      </x:c>
      <x:c r="I1047" s="24" t="n">
        <x:f>H1047/100-1</x:f>
        <x:v>-0.001332509391744452</x:v>
      </x:c>
      <x:c r="J1047" s="26" t="n">
        <x:v>4</x:v>
      </x:c>
      <x:c r="K1047" s="7" t="b">
        <x:v>0</x:v>
      </x:c>
      <x:c r="L1047" s="2" t="str">
        <x:v>April 2026</x:v>
      </x:c>
      <x:c r="M1047" s="2" t="str">
        <x:v>https://datawrapper.dwcdn.net/wQR5S/23/dataset.csv</x:v>
      </x:c>
    </x:row>
    <x:row r="1048" ht="24" customHeight="1">
      <x:c r="A1048" s="2" t="str">
        <x:v>Ramp</x:v>
      </x:c>
      <x:c r="B1048" s="2" t="str">
        <x:v>Quartiles</x:v>
      </x:c>
      <x:c r="C1048" s="2" t="str">
        <x:v>Q3</x:v>
      </x:c>
      <x:c r="D1048" s="28" t="n">
        <x:v>45474</x:v>
      </x:c>
      <x:c r="E1048" s="2" t="str">
        <x:v>2024Q3</x:v>
      </x:c>
      <x:c r="F1048" s="20" t="n">
        <x:v>32051.8</x:v>
      </x:c>
      <x:c r="G1048" s="20" t="n">
        <x:f>'Quarterly data'!$E$316</x:f>
        <x:v>32270.7333333333</x:v>
      </x:c>
      <x:c r="H1048" s="22" t="n">
        <x:f>100*F1048/G1048</x:f>
        <x:v>99.32157310752167</x:v>
      </x:c>
      <x:c r="I1048" s="24" t="n">
        <x:f>H1048/100-1</x:f>
        <x:v>-0.006784268924783232</x:v>
      </x:c>
      <x:c r="J1048" s="26" t="n">
        <x:v>4</x:v>
      </x:c>
      <x:c r="K1048" s="7" t="b">
        <x:v>0</x:v>
      </x:c>
      <x:c r="L1048" s="2" t="str">
        <x:v>April 2026</x:v>
      </x:c>
      <x:c r="M1048" s="2" t="str">
        <x:v>https://datawrapper.dwcdn.net/wQR5S/23/dataset.csv</x:v>
      </x:c>
    </x:row>
    <x:row r="1049" ht="24" customHeight="1">
      <x:c r="A1049" s="2" t="str">
        <x:v>Ramp</x:v>
      </x:c>
      <x:c r="B1049" s="2" t="str">
        <x:v>Quartiles</x:v>
      </x:c>
      <x:c r="C1049" s="2" t="str">
        <x:v>Q4</x:v>
      </x:c>
      <x:c r="D1049" s="28" t="n">
        <x:v>45474</x:v>
      </x:c>
      <x:c r="E1049" s="2" t="str">
        <x:v>2024Q3</x:v>
      </x:c>
      <x:c r="F1049" s="20" t="n">
        <x:v>23636.9</x:v>
      </x:c>
      <x:c r="G1049" s="20" t="n">
        <x:f>'Quarterly data'!$E$317</x:f>
        <x:v>23648.9</x:v>
      </x:c>
      <x:c r="H1049" s="22" t="n">
        <x:f>100*F1049/G1049</x:f>
        <x:v>99.94925768217549</x:v>
      </x:c>
      <x:c r="I1049" s="24" t="n">
        <x:f>H1049/100-1</x:f>
        <x:v>-0.0005074231782451477</x:v>
      </x:c>
      <x:c r="J1049" s="26" t="n">
        <x:v>5</x:v>
      </x:c>
      <x:c r="K1049" s="7" t="b">
        <x:v>0</x:v>
      </x:c>
      <x:c r="L1049" s="2" t="str">
        <x:v>April 2026</x:v>
      </x:c>
      <x:c r="M1049" s="2" t="str">
        <x:v>https://datawrapper.dwcdn.net/wQR5S/23/dataset.csv</x:v>
      </x:c>
    </x:row>
    <x:row r="1050" ht="24" customHeight="1">
      <x:c r="A1050" s="2" t="str">
        <x:v>Ramp</x:v>
      </x:c>
      <x:c r="B1050" s="2" t="str">
        <x:v>Quartiles</x:v>
      </x:c>
      <x:c r="C1050" s="2" t="str">
        <x:v>Q1</x:v>
      </x:c>
      <x:c r="D1050" s="28" t="n">
        <x:v>45505</x:v>
      </x:c>
      <x:c r="E1050" s="2" t="str">
        <x:v>2024Q3</x:v>
      </x:c>
      <x:c r="F1050" s="20" t="n">
        <x:v>53525.7</x:v>
      </x:c>
      <x:c r="G1050" s="20" t="n">
        <x:f>'Quarterly data'!$E$314</x:f>
        <x:v>51302.6333333333</x:v>
      </x:c>
      <x:c r="H1050" s="22" t="n">
        <x:f>100*F1050/G1050</x:f>
        <x:v>104.3332408537834</x:v>
      </x:c>
      <x:c r="I1050" s="24" t="n">
        <x:f>H1050/100-1</x:f>
        <x:v>0.04333240853783393</x:v>
      </x:c>
      <x:c r="J1050" s="26" t="n">
        <x:v>5</x:v>
      </x:c>
      <x:c r="K1050" s="7" t="b">
        <x:v>0</x:v>
      </x:c>
      <x:c r="L1050" s="2" t="str">
        <x:v>April 2026</x:v>
      </x:c>
      <x:c r="M1050" s="2" t="str">
        <x:v>https://datawrapper.dwcdn.net/wQR5S/23/dataset.csv</x:v>
      </x:c>
    </x:row>
    <x:row r="1051" ht="24" customHeight="1">
      <x:c r="A1051" s="2" t="str">
        <x:v>Ramp</x:v>
      </x:c>
      <x:c r="B1051" s="2" t="str">
        <x:v>Quartiles</x:v>
      </x:c>
      <x:c r="C1051" s="2" t="str">
        <x:v>Q2</x:v>
      </x:c>
      <x:c r="D1051" s="28" t="n">
        <x:v>45505</x:v>
      </x:c>
      <x:c r="E1051" s="2" t="str">
        <x:v>2024Q3</x:v>
      </x:c>
      <x:c r="F1051" s="20" t="n">
        <x:v>25135</x:v>
      </x:c>
      <x:c r="G1051" s="20" t="n">
        <x:f>'Quarterly data'!$E$315</x:f>
        <x:v>25190.5666666667</x:v>
      </x:c>
      <x:c r="H1051" s="22" t="n">
        <x:f>100*F1051/G1051</x:f>
        <x:v>99.77941478092977</x:v>
      </x:c>
      <x:c r="I1051" s="24" t="n">
        <x:f>H1051/100-1</x:f>
        <x:v>-0.002205852190702351</x:v>
      </x:c>
      <x:c r="J1051" s="26" t="n">
        <x:v>4</x:v>
      </x:c>
      <x:c r="K1051" s="7" t="b">
        <x:v>0</x:v>
      </x:c>
      <x:c r="L1051" s="2" t="str">
        <x:v>April 2026</x:v>
      </x:c>
      <x:c r="M1051" s="2" t="str">
        <x:v>https://datawrapper.dwcdn.net/wQR5S/23/dataset.csv</x:v>
      </x:c>
    </x:row>
    <x:row r="1052" ht="24" customHeight="1">
      <x:c r="A1052" s="2" t="str">
        <x:v>Ramp</x:v>
      </x:c>
      <x:c r="B1052" s="2" t="str">
        <x:v>Quartiles</x:v>
      </x:c>
      <x:c r="C1052" s="2" t="str">
        <x:v>Q3</x:v>
      </x:c>
      <x:c r="D1052" s="28" t="n">
        <x:v>45505</x:v>
      </x:c>
      <x:c r="E1052" s="2" t="str">
        <x:v>2024Q3</x:v>
      </x:c>
      <x:c r="F1052" s="20" t="n">
        <x:v>32001.5</x:v>
      </x:c>
      <x:c r="G1052" s="20" t="n">
        <x:f>'Quarterly data'!$E$316</x:f>
        <x:v>32270.7333333333</x:v>
      </x:c>
      <x:c r="H1052" s="22" t="n">
        <x:f>100*F1052/G1052</x:f>
        <x:v>99.16570432238922</x:v>
      </x:c>
      <x:c r="I1052" s="24" t="n">
        <x:f>H1052/100-1</x:f>
        <x:v>-0.008342956776107857</x:v>
      </x:c>
      <x:c r="J1052" s="26" t="n">
        <x:v>4</x:v>
      </x:c>
      <x:c r="K1052" s="7" t="b">
        <x:v>0</x:v>
      </x:c>
      <x:c r="L1052" s="2" t="str">
        <x:v>April 2026</x:v>
      </x:c>
      <x:c r="M1052" s="2" t="str">
        <x:v>https://datawrapper.dwcdn.net/wQR5S/23/dataset.csv</x:v>
      </x:c>
    </x:row>
    <x:row r="1053" ht="24" customHeight="1">
      <x:c r="A1053" s="2" t="str">
        <x:v>Ramp</x:v>
      </x:c>
      <x:c r="B1053" s="2" t="str">
        <x:v>Quartiles</x:v>
      </x:c>
      <x:c r="C1053" s="2" t="str">
        <x:v>Q4</x:v>
      </x:c>
      <x:c r="D1053" s="28" t="n">
        <x:v>45505</x:v>
      </x:c>
      <x:c r="E1053" s="2" t="str">
        <x:v>2024Q3</x:v>
      </x:c>
      <x:c r="F1053" s="20" t="n">
        <x:v>23619.3</x:v>
      </x:c>
      <x:c r="G1053" s="20" t="n">
        <x:f>'Quarterly data'!$E$317</x:f>
        <x:v>23648.9</x:v>
      </x:c>
      <x:c r="H1053" s="22" t="n">
        <x:f>100*F1053/G1053</x:f>
        <x:v>99.87483561603287</x:v>
      </x:c>
      <x:c r="I1053" s="24" t="n">
        <x:f>H1053/100-1</x:f>
        <x:v>-0.001251643839671357</x:v>
      </x:c>
      <x:c r="J1053" s="26" t="n">
        <x:v>5</x:v>
      </x:c>
      <x:c r="K1053" s="7" t="b">
        <x:v>0</x:v>
      </x:c>
      <x:c r="L1053" s="2" t="str">
        <x:v>April 2026</x:v>
      </x:c>
      <x:c r="M1053" s="2" t="str">
        <x:v>https://datawrapper.dwcdn.net/wQR5S/23/dataset.csv</x:v>
      </x:c>
    </x:row>
    <x:row r="1054" ht="24" customHeight="1">
      <x:c r="A1054" s="2" t="str">
        <x:v>Ramp</x:v>
      </x:c>
      <x:c r="B1054" s="2" t="str">
        <x:v>Quartiles</x:v>
      </x:c>
      <x:c r="C1054" s="2" t="str">
        <x:v>Q1</x:v>
      </x:c>
      <x:c r="D1054" s="28" t="n">
        <x:v>45536</x:v>
      </x:c>
      <x:c r="E1054" s="2" t="str">
        <x:v>2024Q3</x:v>
      </x:c>
      <x:c r="F1054" s="20" t="n">
        <x:v>53662.5</x:v>
      </x:c>
      <x:c r="G1054" s="20" t="n">
        <x:f>'Quarterly data'!$E$314</x:f>
        <x:v>51302.6333333333</x:v>
      </x:c>
      <x:c r="H1054" s="22" t="n">
        <x:f>100*F1054/G1054</x:f>
        <x:v>104.59989383261035</x:v>
      </x:c>
      <x:c r="I1054" s="24" t="n">
        <x:f>H1054/100-1</x:f>
        <x:v>0.04599893832610347</x:v>
      </x:c>
      <x:c r="J1054" s="26" t="n">
        <x:v>5</x:v>
      </x:c>
      <x:c r="K1054" s="7" t="b">
        <x:v>0</x:v>
      </x:c>
      <x:c r="L1054" s="2" t="str">
        <x:v>April 2026</x:v>
      </x:c>
      <x:c r="M1054" s="2" t="str">
        <x:v>https://datawrapper.dwcdn.net/wQR5S/23/dataset.csv</x:v>
      </x:c>
    </x:row>
    <x:row r="1055" ht="24" customHeight="1">
      <x:c r="A1055" s="2" t="str">
        <x:v>Ramp</x:v>
      </x:c>
      <x:c r="B1055" s="2" t="str">
        <x:v>Quartiles</x:v>
      </x:c>
      <x:c r="C1055" s="2" t="str">
        <x:v>Q2</x:v>
      </x:c>
      <x:c r="D1055" s="28" t="n">
        <x:v>45536</x:v>
      </x:c>
      <x:c r="E1055" s="2" t="str">
        <x:v>2024Q3</x:v>
      </x:c>
      <x:c r="F1055" s="20" t="n">
        <x:v>25150.1</x:v>
      </x:c>
      <x:c r="G1055" s="20" t="n">
        <x:f>'Quarterly data'!$E$315</x:f>
        <x:v>25190.5666666667</x:v>
      </x:c>
      <x:c r="H1055" s="22" t="n">
        <x:f>100*F1055/G1055</x:f>
        <x:v>99.83935785485824</x:v>
      </x:c>
      <x:c r="I1055" s="24" t="n">
        <x:f>H1055/100-1</x:f>
        <x:v>-0.00160642145141765</x:v>
      </x:c>
      <x:c r="J1055" s="26" t="n">
        <x:v>4</x:v>
      </x:c>
      <x:c r="K1055" s="7" t="b">
        <x:v>0</x:v>
      </x:c>
      <x:c r="L1055" s="2" t="str">
        <x:v>April 2026</x:v>
      </x:c>
      <x:c r="M1055" s="2" t="str">
        <x:v>https://datawrapper.dwcdn.net/wQR5S/23/dataset.csv</x:v>
      </x:c>
    </x:row>
    <x:row r="1056" ht="24" customHeight="1">
      <x:c r="A1056" s="2" t="str">
        <x:v>Ramp</x:v>
      </x:c>
      <x:c r="B1056" s="2" t="str">
        <x:v>Quartiles</x:v>
      </x:c>
      <x:c r="C1056" s="2" t="str">
        <x:v>Q3</x:v>
      </x:c>
      <x:c r="D1056" s="28" t="n">
        <x:v>45536</x:v>
      </x:c>
      <x:c r="E1056" s="2" t="str">
        <x:v>2024Q3</x:v>
      </x:c>
      <x:c r="F1056" s="20" t="n">
        <x:v>31990.8</x:v>
      </x:c>
      <x:c r="G1056" s="20" t="n">
        <x:f>'Quarterly data'!$E$316</x:f>
        <x:v>32270.7333333333</x:v>
      </x:c>
      <x:c r="H1056" s="22" t="n">
        <x:f>100*F1056/G1056</x:f>
        <x:v>99.13254734423977</x:v>
      </x:c>
      <x:c r="I1056" s="24" t="n">
        <x:f>H1056/100-1</x:f>
        <x:v>-0.008674526557602369</x:v>
      </x:c>
      <x:c r="J1056" s="26" t="n">
        <x:v>4</x:v>
      </x:c>
      <x:c r="K1056" s="7" t="b">
        <x:v>0</x:v>
      </x:c>
      <x:c r="L1056" s="2" t="str">
        <x:v>April 2026</x:v>
      </x:c>
      <x:c r="M1056" s="2" t="str">
        <x:v>https://datawrapper.dwcdn.net/wQR5S/23/dataset.csv</x:v>
      </x:c>
    </x:row>
    <x:row r="1057" ht="24" customHeight="1">
      <x:c r="A1057" s="2" t="str">
        <x:v>Ramp</x:v>
      </x:c>
      <x:c r="B1057" s="2" t="str">
        <x:v>Quartiles</x:v>
      </x:c>
      <x:c r="C1057" s="2" t="str">
        <x:v>Q4</x:v>
      </x:c>
      <x:c r="D1057" s="28" t="n">
        <x:v>45536</x:v>
      </x:c>
      <x:c r="E1057" s="2" t="str">
        <x:v>2024Q3</x:v>
      </x:c>
      <x:c r="F1057" s="20" t="n">
        <x:v>23618.9</x:v>
      </x:c>
      <x:c r="G1057" s="20" t="n">
        <x:f>'Quarterly data'!$E$317</x:f>
        <x:v>23648.9</x:v>
      </x:c>
      <x:c r="H1057" s="22" t="n">
        <x:f>100*F1057/G1057</x:f>
        <x:v>99.87314420543872</x:v>
      </x:c>
      <x:c r="I1057" s="24" t="n">
        <x:f>H1057/100-1</x:f>
        <x:v>-0.0012685579456127583</x:v>
      </x:c>
      <x:c r="J1057" s="26" t="n">
        <x:v>5</x:v>
      </x:c>
      <x:c r="K1057" s="7" t="b">
        <x:v>0</x:v>
      </x:c>
      <x:c r="L1057" s="2" t="str">
        <x:v>April 2026</x:v>
      </x:c>
      <x:c r="M1057" s="2" t="str">
        <x:v>https://datawrapper.dwcdn.net/wQR5S/23/dataset.csv</x:v>
      </x:c>
    </x:row>
    <x:row r="1058" ht="24" customHeight="1">
      <x:c r="A1058" s="2" t="str">
        <x:v>Ramp</x:v>
      </x:c>
      <x:c r="B1058" s="2" t="str">
        <x:v>Quartiles</x:v>
      </x:c>
      <x:c r="C1058" s="2" t="str">
        <x:v>Q1</x:v>
      </x:c>
      <x:c r="D1058" s="28" t="n">
        <x:v>45566</x:v>
      </x:c>
      <x:c r="E1058" s="2" t="str">
        <x:v>2024Q4</x:v>
      </x:c>
      <x:c r="F1058" s="20" t="n">
        <x:v>53777.3</x:v>
      </x:c>
      <x:c r="G1058" s="20" t="n">
        <x:f>'Quarterly data'!$E$314</x:f>
        <x:v>51302.6333333333</x:v>
      </x:c>
      <x:c r="H1058" s="22" t="n">
        <x:f>100*F1058/G1058</x:f>
        <x:v>104.82366402244466</x:v>
      </x:c>
      <x:c r="I1058" s="24" t="n">
        <x:f>H1058/100-1</x:f>
        <x:v>0.048236640224446514</x:v>
      </x:c>
      <x:c r="J1058" s="26" t="n">
        <x:v>5</x:v>
      </x:c>
      <x:c r="K1058" s="7" t="b">
        <x:v>0</x:v>
      </x:c>
      <x:c r="L1058" s="2" t="str">
        <x:v>April 2026</x:v>
      </x:c>
      <x:c r="M1058" s="2" t="str">
        <x:v>https://datawrapper.dwcdn.net/wQR5S/23/dataset.csv</x:v>
      </x:c>
    </x:row>
    <x:row r="1059" ht="24" customHeight="1">
      <x:c r="A1059" s="2" t="str">
        <x:v>Ramp</x:v>
      </x:c>
      <x:c r="B1059" s="2" t="str">
        <x:v>Quartiles</x:v>
      </x:c>
      <x:c r="C1059" s="2" t="str">
        <x:v>Q2</x:v>
      </x:c>
      <x:c r="D1059" s="28" t="n">
        <x:v>45566</x:v>
      </x:c>
      <x:c r="E1059" s="2" t="str">
        <x:v>2024Q4</x:v>
      </x:c>
      <x:c r="F1059" s="20" t="n">
        <x:v>25139.4</x:v>
      </x:c>
      <x:c r="G1059" s="20" t="n">
        <x:f>'Quarterly data'!$E$315</x:f>
        <x:v>25190.5666666667</x:v>
      </x:c>
      <x:c r="H1059" s="22" t="n">
        <x:f>100*F1059/G1059</x:f>
        <x:v>99.79688163690894</x:v>
      </x:c>
      <x:c r="I1059" s="24" t="n">
        <x:f>H1059/100-1</x:f>
        <x:v>-0.0020311836309105935</x:v>
      </x:c>
      <x:c r="J1059" s="26" t="n">
        <x:v>4</x:v>
      </x:c>
      <x:c r="K1059" s="7" t="b">
        <x:v>0</x:v>
      </x:c>
      <x:c r="L1059" s="2" t="str">
        <x:v>April 2026</x:v>
      </x:c>
      <x:c r="M1059" s="2" t="str">
        <x:v>https://datawrapper.dwcdn.net/wQR5S/23/dataset.csv</x:v>
      </x:c>
    </x:row>
    <x:row r="1060" ht="24" customHeight="1">
      <x:c r="A1060" s="2" t="str">
        <x:v>Ramp</x:v>
      </x:c>
      <x:c r="B1060" s="2" t="str">
        <x:v>Quartiles</x:v>
      </x:c>
      <x:c r="C1060" s="2" t="str">
        <x:v>Q3</x:v>
      </x:c>
      <x:c r="D1060" s="28" t="n">
        <x:v>45566</x:v>
      </x:c>
      <x:c r="E1060" s="2" t="str">
        <x:v>2024Q4</x:v>
      </x:c>
      <x:c r="F1060" s="20" t="n">
        <x:v>31911.4</x:v>
      </x:c>
      <x:c r="G1060" s="20" t="n">
        <x:f>'Quarterly data'!$E$316</x:f>
        <x:v>32270.7333333333</x:v>
      </x:c>
      <x:c r="H1060" s="22" t="n">
        <x:f>100*F1060/G1060</x:f>
        <x:v>98.88650397367284</x:v>
      </x:c>
      <x:c r="I1060" s="24" t="n">
        <x:f>H1060/100-1</x:f>
        <x:v>-0.011134960263271543</x:v>
      </x:c>
      <x:c r="J1060" s="26" t="n">
        <x:v>4</x:v>
      </x:c>
      <x:c r="K1060" s="7" t="b">
        <x:v>0</x:v>
      </x:c>
      <x:c r="L1060" s="2" t="str">
        <x:v>April 2026</x:v>
      </x:c>
      <x:c r="M1060" s="2" t="str">
        <x:v>https://datawrapper.dwcdn.net/wQR5S/23/dataset.csv</x:v>
      </x:c>
    </x:row>
    <x:row r="1061" ht="24" customHeight="1">
      <x:c r="A1061" s="2" t="str">
        <x:v>Ramp</x:v>
      </x:c>
      <x:c r="B1061" s="2" t="str">
        <x:v>Quartiles</x:v>
      </x:c>
      <x:c r="C1061" s="2" t="str">
        <x:v>Q4</x:v>
      </x:c>
      <x:c r="D1061" s="28" t="n">
        <x:v>45566</x:v>
      </x:c>
      <x:c r="E1061" s="2" t="str">
        <x:v>2024Q4</x:v>
      </x:c>
      <x:c r="F1061" s="20" t="n">
        <x:v>23588.7</x:v>
      </x:c>
      <x:c r="G1061" s="20" t="n">
        <x:f>'Quarterly data'!$E$317</x:f>
        <x:v>23648.9</x:v>
      </x:c>
      <x:c r="H1061" s="22" t="n">
        <x:f>100*F1061/G1061</x:f>
        <x:v>99.74544270558037</x:v>
      </x:c>
      <x:c r="I1061" s="24" t="n">
        <x:f>H1061/100-1</x:f>
        <x:v>-0.002545572944196217</x:v>
      </x:c>
      <x:c r="J1061" s="26" t="n">
        <x:v>5</x:v>
      </x:c>
      <x:c r="K1061" s="7" t="b">
        <x:v>0</x:v>
      </x:c>
      <x:c r="L1061" s="2" t="str">
        <x:v>April 2026</x:v>
      </x:c>
      <x:c r="M1061" s="2" t="str">
        <x:v>https://datawrapper.dwcdn.net/wQR5S/23/dataset.csv</x:v>
      </x:c>
    </x:row>
    <x:row r="1062" ht="24" customHeight="1">
      <x:c r="A1062" s="2" t="str">
        <x:v>Ramp</x:v>
      </x:c>
      <x:c r="B1062" s="2" t="str">
        <x:v>Quartiles</x:v>
      </x:c>
      <x:c r="C1062" s="2" t="str">
        <x:v>Q1</x:v>
      </x:c>
      <x:c r="D1062" s="28" t="n">
        <x:v>45597</x:v>
      </x:c>
      <x:c r="E1062" s="2" t="str">
        <x:v>2024Q4</x:v>
      </x:c>
      <x:c r="F1062" s="20" t="n">
        <x:v>53889.9</x:v>
      </x:c>
      <x:c r="G1062" s="20" t="n">
        <x:f>'Quarterly data'!$E$314</x:f>
        <x:v>51302.6333333333</x:v>
      </x:c>
      <x:c r="H1062" s="22" t="n">
        <x:f>100*F1062/G1062</x:f>
        <x:v>105.0431459333797</x:v>
      </x:c>
      <x:c r="I1062" s="24" t="n">
        <x:f>H1062/100-1</x:f>
        <x:v>0.05043145933379711</x:v>
      </x:c>
      <x:c r="J1062" s="26" t="n">
        <x:v>5</x:v>
      </x:c>
      <x:c r="K1062" s="7" t="b">
        <x:v>0</x:v>
      </x:c>
      <x:c r="L1062" s="2" t="str">
        <x:v>April 2026</x:v>
      </x:c>
      <x:c r="M1062" s="2" t="str">
        <x:v>https://datawrapper.dwcdn.net/wQR5S/23/dataset.csv</x:v>
      </x:c>
    </x:row>
    <x:row r="1063" ht="24" customHeight="1">
      <x:c r="A1063" s="2" t="str">
        <x:v>Ramp</x:v>
      </x:c>
      <x:c r="B1063" s="2" t="str">
        <x:v>Quartiles</x:v>
      </x:c>
      <x:c r="C1063" s="2" t="str">
        <x:v>Q2</x:v>
      </x:c>
      <x:c r="D1063" s="28" t="n">
        <x:v>45597</x:v>
      </x:c>
      <x:c r="E1063" s="2" t="str">
        <x:v>2024Q4</x:v>
      </x:c>
      <x:c r="F1063" s="20" t="n">
        <x:v>25107.3</x:v>
      </x:c>
      <x:c r="G1063" s="20" t="n">
        <x:f>'Quarterly data'!$E$315</x:f>
        <x:v>25190.5666666667</x:v>
      </x:c>
      <x:c r="H1063" s="22" t="n">
        <x:f>100*F1063/G1063</x:f>
        <x:v>99.66945298306099</x:v>
      </x:c>
      <x:c r="I1063" s="24" t="n">
        <x:f>H1063/100-1</x:f>
        <x:v>-0.00330547016939009</x:v>
      </x:c>
      <x:c r="J1063" s="26" t="n">
        <x:v>4</x:v>
      </x:c>
      <x:c r="K1063" s="7" t="b">
        <x:v>0</x:v>
      </x:c>
      <x:c r="L1063" s="2" t="str">
        <x:v>April 2026</x:v>
      </x:c>
      <x:c r="M1063" s="2" t="str">
        <x:v>https://datawrapper.dwcdn.net/wQR5S/23/dataset.csv</x:v>
      </x:c>
    </x:row>
    <x:row r="1064" ht="24" customHeight="1">
      <x:c r="A1064" s="2" t="str">
        <x:v>Ramp</x:v>
      </x:c>
      <x:c r="B1064" s="2" t="str">
        <x:v>Quartiles</x:v>
      </x:c>
      <x:c r="C1064" s="2" t="str">
        <x:v>Q3</x:v>
      </x:c>
      <x:c r="D1064" s="28" t="n">
        <x:v>45597</x:v>
      </x:c>
      <x:c r="E1064" s="2" t="str">
        <x:v>2024Q4</x:v>
      </x:c>
      <x:c r="F1064" s="20" t="n">
        <x:v>31935.3</x:v>
      </x:c>
      <x:c r="G1064" s="20" t="n">
        <x:f>'Quarterly data'!$E$316</x:f>
        <x:v>32270.7333333333</x:v>
      </x:c>
      <x:c r="H1064" s="22" t="n">
        <x:f>100*F1064/G1064</x:f>
        <x:v>98.96056488748329</x:v>
      </x:c>
      <x:c r="I1064" s="24" t="n">
        <x:f>H1064/100-1</x:f>
        <x:v>-0.010394351125167178</x:v>
      </x:c>
      <x:c r="J1064" s="26" t="n">
        <x:v>4</x:v>
      </x:c>
      <x:c r="K1064" s="7" t="b">
        <x:v>0</x:v>
      </x:c>
      <x:c r="L1064" s="2" t="str">
        <x:v>April 2026</x:v>
      </x:c>
      <x:c r="M1064" s="2" t="str">
        <x:v>https://datawrapper.dwcdn.net/wQR5S/23/dataset.csv</x:v>
      </x:c>
    </x:row>
    <x:row r="1065" ht="24" customHeight="1">
      <x:c r="A1065" s="2" t="str">
        <x:v>Ramp</x:v>
      </x:c>
      <x:c r="B1065" s="2" t="str">
        <x:v>Quartiles</x:v>
      </x:c>
      <x:c r="C1065" s="2" t="str">
        <x:v>Q4</x:v>
      </x:c>
      <x:c r="D1065" s="28" t="n">
        <x:v>45597</x:v>
      </x:c>
      <x:c r="E1065" s="2" t="str">
        <x:v>2024Q4</x:v>
      </x:c>
      <x:c r="F1065" s="20" t="n">
        <x:v>23602.2</x:v>
      </x:c>
      <x:c r="G1065" s="20" t="n">
        <x:f>'Quarterly data'!$E$317</x:f>
        <x:v>23648.9</x:v>
      </x:c>
      <x:c r="H1065" s="22" t="n">
        <x:f>100*F1065/G1065</x:f>
        <x:v>99.80252781313295</x:v>
      </x:c>
      <x:c r="I1065" s="24" t="n">
        <x:f>H1065/100-1</x:f>
        <x:v>-0.001974721868670426</x:v>
      </x:c>
      <x:c r="J1065" s="26" t="n">
        <x:v>5</x:v>
      </x:c>
      <x:c r="K1065" s="7" t="b">
        <x:v>0</x:v>
      </x:c>
      <x:c r="L1065" s="2" t="str">
        <x:v>April 2026</x:v>
      </x:c>
      <x:c r="M1065" s="2" t="str">
        <x:v>https://datawrapper.dwcdn.net/wQR5S/23/dataset.csv</x:v>
      </x:c>
    </x:row>
    <x:row r="1066" ht="24" customHeight="1">
      <x:c r="A1066" s="2" t="str">
        <x:v>Ramp</x:v>
      </x:c>
      <x:c r="B1066" s="2" t="str">
        <x:v>Quartiles</x:v>
      </x:c>
      <x:c r="C1066" s="2" t="str">
        <x:v>Q1</x:v>
      </x:c>
      <x:c r="D1066" s="28" t="n">
        <x:v>45627</x:v>
      </x:c>
      <x:c r="E1066" s="2" t="str">
        <x:v>2024Q4</x:v>
      </x:c>
      <x:c r="F1066" s="20" t="n">
        <x:v>54011.1</x:v>
      </x:c>
      <x:c r="G1066" s="20" t="n">
        <x:f>'Quarterly data'!$E$314</x:f>
        <x:v>51302.6333333333</x:v>
      </x:c>
      <x:c r="H1066" s="22" t="n">
        <x:f>100*F1066/G1066</x:f>
        <x:v>105.2793911163755</x:v>
      </x:c>
      <x:c r="I1066" s="24" t="n">
        <x:f>H1066/100-1</x:f>
        <x:v>0.05279391116375498</x:v>
      </x:c>
      <x:c r="J1066" s="26" t="n">
        <x:v>5</x:v>
      </x:c>
      <x:c r="K1066" s="7" t="b">
        <x:v>0</x:v>
      </x:c>
      <x:c r="L1066" s="2" t="str">
        <x:v>April 2026</x:v>
      </x:c>
      <x:c r="M1066" s="2" t="str">
        <x:v>https://datawrapper.dwcdn.net/wQR5S/23/dataset.csv</x:v>
      </x:c>
    </x:row>
    <x:row r="1067" ht="24" customHeight="1">
      <x:c r="A1067" s="2" t="str">
        <x:v>Ramp</x:v>
      </x:c>
      <x:c r="B1067" s="2" t="str">
        <x:v>Quartiles</x:v>
      </x:c>
      <x:c r="C1067" s="2" t="str">
        <x:v>Q2</x:v>
      </x:c>
      <x:c r="D1067" s="28" t="n">
        <x:v>45627</x:v>
      </x:c>
      <x:c r="E1067" s="2" t="str">
        <x:v>2024Q4</x:v>
      </x:c>
      <x:c r="F1067" s="20" t="n">
        <x:v>25160.3</x:v>
      </x:c>
      <x:c r="G1067" s="20" t="n">
        <x:f>'Quarterly data'!$E$315</x:f>
        <x:v>25190.5666666667</x:v>
      </x:c>
      <x:c r="H1067" s="22" t="n">
        <x:f>100*F1067/G1067</x:f>
        <x:v>99.87984920280992</x:v>
      </x:c>
      <x:c r="I1067" s="24" t="n">
        <x:f>H1067/100-1</x:f>
        <x:v>-0.0012015079719007726</x:v>
      </x:c>
      <x:c r="J1067" s="26" t="n">
        <x:v>4</x:v>
      </x:c>
      <x:c r="K1067" s="7" t="b">
        <x:v>0</x:v>
      </x:c>
      <x:c r="L1067" s="2" t="str">
        <x:v>April 2026</x:v>
      </x:c>
      <x:c r="M1067" s="2" t="str">
        <x:v>https://datawrapper.dwcdn.net/wQR5S/23/dataset.csv</x:v>
      </x:c>
    </x:row>
    <x:row r="1068" ht="24" customHeight="1">
      <x:c r="A1068" s="2" t="str">
        <x:v>Ramp</x:v>
      </x:c>
      <x:c r="B1068" s="2" t="str">
        <x:v>Quartiles</x:v>
      </x:c>
      <x:c r="C1068" s="2" t="str">
        <x:v>Q3</x:v>
      </x:c>
      <x:c r="D1068" s="28" t="n">
        <x:v>45627</x:v>
      </x:c>
      <x:c r="E1068" s="2" t="str">
        <x:v>2024Q4</x:v>
      </x:c>
      <x:c r="F1068" s="20" t="n">
        <x:v>31928</x:v>
      </x:c>
      <x:c r="G1068" s="20" t="n">
        <x:f>'Quarterly data'!$E$316</x:f>
        <x:v>32270.7333333333</x:v>
      </x:c>
      <x:c r="H1068" s="22" t="n">
        <x:f>100*F1068/G1068</x:f>
        <x:v>98.93794377154956</x:v>
      </x:c>
      <x:c r="I1068" s="24" t="n">
        <x:f>H1068/100-1</x:f>
        <x:v>-0.010620562284504476</x:v>
      </x:c>
      <x:c r="J1068" s="26" t="n">
        <x:v>4</x:v>
      </x:c>
      <x:c r="K1068" s="7" t="b">
        <x:v>0</x:v>
      </x:c>
      <x:c r="L1068" s="2" t="str">
        <x:v>April 2026</x:v>
      </x:c>
      <x:c r="M1068" s="2" t="str">
        <x:v>https://datawrapper.dwcdn.net/wQR5S/23/dataset.csv</x:v>
      </x:c>
    </x:row>
    <x:row r="1069" ht="24" customHeight="1">
      <x:c r="A1069" s="2" t="str">
        <x:v>Ramp</x:v>
      </x:c>
      <x:c r="B1069" s="2" t="str">
        <x:v>Quartiles</x:v>
      </x:c>
      <x:c r="C1069" s="2" t="str">
        <x:v>Q4</x:v>
      </x:c>
      <x:c r="D1069" s="28" t="n">
        <x:v>45627</x:v>
      </x:c>
      <x:c r="E1069" s="2" t="str">
        <x:v>2024Q4</x:v>
      </x:c>
      <x:c r="F1069" s="20" t="n">
        <x:v>23647.6</x:v>
      </x:c>
      <x:c r="G1069" s="20" t="n">
        <x:f>'Quarterly data'!$E$317</x:f>
        <x:v>23648.9</x:v>
      </x:c>
      <x:c r="H1069" s="22" t="n">
        <x:f>100*F1069/G1069</x:f>
        <x:v>99.994502915569</x:v>
      </x:c>
      <x:c r="I1069" s="24" t="n">
        <x:f>H1069/100-1</x:f>
        <x:v>-0.00005497084430994281</x:v>
      </x:c>
      <x:c r="J1069" s="26" t="n">
        <x:v>5</x:v>
      </x:c>
      <x:c r="K1069" s="7" t="b">
        <x:v>0</x:v>
      </x:c>
      <x:c r="L1069" s="2" t="str">
        <x:v>April 2026</x:v>
      </x:c>
      <x:c r="M1069" s="2" t="str">
        <x:v>https://datawrapper.dwcdn.net/wQR5S/23/dataset.csv</x:v>
      </x:c>
    </x:row>
    <x:row r="1070" ht="24" customHeight="1">
      <x:c r="A1070" s="2" t="str">
        <x:v>Ramp</x:v>
      </x:c>
      <x:c r="B1070" s="2" t="str">
        <x:v>Quartiles</x:v>
      </x:c>
      <x:c r="C1070" s="2" t="str">
        <x:v>Q1</x:v>
      </x:c>
      <x:c r="D1070" s="28" t="n">
        <x:v>45658</x:v>
      </x:c>
      <x:c r="E1070" s="2" t="str">
        <x:v>2025Q1</x:v>
      </x:c>
      <x:c r="F1070" s="20" t="n">
        <x:v>54031.8</x:v>
      </x:c>
      <x:c r="G1070" s="20" t="n">
        <x:f>'Quarterly data'!$E$314</x:f>
        <x:v>51302.6333333333</x:v>
      </x:c>
      <x:c r="H1070" s="22" t="n">
        <x:f>100*F1070/G1070</x:f>
        <x:v>105.31973992238221</x:v>
      </x:c>
      <x:c r="I1070" s="24" t="n">
        <x:f>H1070/100-1</x:f>
        <x:v>0.05319739922382216</x:v>
      </x:c>
      <x:c r="J1070" s="26" t="n">
        <x:v>5</x:v>
      </x:c>
      <x:c r="K1070" s="7" t="b">
        <x:v>0</x:v>
      </x:c>
      <x:c r="L1070" s="2" t="str">
        <x:v>April 2026</x:v>
      </x:c>
      <x:c r="M1070" s="2" t="str">
        <x:v>https://datawrapper.dwcdn.net/wQR5S/23/dataset.csv</x:v>
      </x:c>
    </x:row>
    <x:row r="1071" ht="24" customHeight="1">
      <x:c r="A1071" s="2" t="str">
        <x:v>Ramp</x:v>
      </x:c>
      <x:c r="B1071" s="2" t="str">
        <x:v>Quartiles</x:v>
      </x:c>
      <x:c r="C1071" s="2" t="str">
        <x:v>Q2</x:v>
      </x:c>
      <x:c r="D1071" s="28" t="n">
        <x:v>45658</x:v>
      </x:c>
      <x:c r="E1071" s="2" t="str">
        <x:v>2025Q1</x:v>
      </x:c>
      <x:c r="F1071" s="20" t="n">
        <x:v>25161.8</x:v>
      </x:c>
      <x:c r="G1071" s="20" t="n">
        <x:f>'Quarterly data'!$E$315</x:f>
        <x:v>25190.5666666667</x:v>
      </x:c>
      <x:c r="H1071" s="22" t="n">
        <x:f>100*F1071/G1071</x:f>
        <x:v>99.88580381280282</x:v>
      </x:c>
      <x:c r="I1071" s="24" t="n">
        <x:f>H1071/100-1</x:f>
        <x:v>-0.0011419618719717972</x:v>
      </x:c>
      <x:c r="J1071" s="26" t="n">
        <x:v>4</x:v>
      </x:c>
      <x:c r="K1071" s="7" t="b">
        <x:v>0</x:v>
      </x:c>
      <x:c r="L1071" s="2" t="str">
        <x:v>April 2026</x:v>
      </x:c>
      <x:c r="M1071" s="2" t="str">
        <x:v>https://datawrapper.dwcdn.net/wQR5S/23/dataset.csv</x:v>
      </x:c>
    </x:row>
    <x:row r="1072" ht="24" customHeight="1">
      <x:c r="A1072" s="2" t="str">
        <x:v>Ramp</x:v>
      </x:c>
      <x:c r="B1072" s="2" t="str">
        <x:v>Quartiles</x:v>
      </x:c>
      <x:c r="C1072" s="2" t="str">
        <x:v>Q3</x:v>
      </x:c>
      <x:c r="D1072" s="28" t="n">
        <x:v>45658</x:v>
      </x:c>
      <x:c r="E1072" s="2" t="str">
        <x:v>2025Q1</x:v>
      </x:c>
      <x:c r="F1072" s="20" t="n">
        <x:v>31862.9</x:v>
      </x:c>
      <x:c r="G1072" s="20" t="n">
        <x:f>'Quarterly data'!$E$316</x:f>
        <x:v>32270.7333333333</x:v>
      </x:c>
      <x:c r="H1072" s="22" t="n">
        <x:f>100*F1072/G1072</x:f>
        <x:v>98.7362129979487</x:v>
      </x:c>
      <x:c r="I1072" s="24" t="n">
        <x:f>H1072/100-1</x:f>
        <x:v>-0.012637870020512976</x:v>
      </x:c>
      <x:c r="J1072" s="26" t="n">
        <x:v>4</x:v>
      </x:c>
      <x:c r="K1072" s="7" t="b">
        <x:v>0</x:v>
      </x:c>
      <x:c r="L1072" s="2" t="str">
        <x:v>April 2026</x:v>
      </x:c>
      <x:c r="M1072" s="2" t="str">
        <x:v>https://datawrapper.dwcdn.net/wQR5S/23/dataset.csv</x:v>
      </x:c>
    </x:row>
    <x:row r="1073" ht="24" customHeight="1">
      <x:c r="A1073" s="2" t="str">
        <x:v>Ramp</x:v>
      </x:c>
      <x:c r="B1073" s="2" t="str">
        <x:v>Quartiles</x:v>
      </x:c>
      <x:c r="C1073" s="2" t="str">
        <x:v>Q4</x:v>
      </x:c>
      <x:c r="D1073" s="28" t="n">
        <x:v>45658</x:v>
      </x:c>
      <x:c r="E1073" s="2" t="str">
        <x:v>2025Q1</x:v>
      </x:c>
      <x:c r="F1073" s="20" t="n">
        <x:v>23613.5</x:v>
      </x:c>
      <x:c r="G1073" s="20" t="n">
        <x:f>'Quarterly data'!$E$317</x:f>
        <x:v>23648.9</x:v>
      </x:c>
      <x:c r="H1073" s="22" t="n">
        <x:f>100*F1073/G1073</x:f>
        <x:v>99.8503101624177</x:v>
      </x:c>
      <x:c r="I1073" s="24" t="n">
        <x:f>H1073/100-1</x:f>
        <x:v>-0.0014968983758230081</x:v>
      </x:c>
      <x:c r="J1073" s="26" t="n">
        <x:v>5</x:v>
      </x:c>
      <x:c r="K1073" s="7" t="b">
        <x:v>0</x:v>
      </x:c>
      <x:c r="L1073" s="2" t="str">
        <x:v>April 2026</x:v>
      </x:c>
      <x:c r="M1073" s="2" t="str">
        <x:v>https://datawrapper.dwcdn.net/wQR5S/23/dataset.csv</x:v>
      </x:c>
    </x:row>
    <x:row r="1074" ht="24" customHeight="1">
      <x:c r="A1074" s="2" t="str">
        <x:v>Ramp</x:v>
      </x:c>
      <x:c r="B1074" s="2" t="str">
        <x:v>Quartiles</x:v>
      </x:c>
      <x:c r="C1074" s="2" t="str">
        <x:v>Q1</x:v>
      </x:c>
      <x:c r="D1074" s="28" t="n">
        <x:v>45689</x:v>
      </x:c>
      <x:c r="E1074" s="2" t="str">
        <x:v>2025Q1</x:v>
      </x:c>
      <x:c r="F1074" s="20" t="n">
        <x:v>54048.4</x:v>
      </x:c>
      <x:c r="G1074" s="20" t="n">
        <x:f>'Quarterly data'!$E$314</x:f>
        <x:v>51302.6333333333</x:v>
      </x:c>
      <x:c r="H1074" s="22" t="n">
        <x:f>100*F1074/G1074</x:f>
        <x:v>105.35209693589485</x:v>
      </x:c>
      <x:c r="I1074" s="24" t="n">
        <x:f>H1074/100-1</x:f>
        <x:v>0.053520969358948456</x:v>
      </x:c>
      <x:c r="J1074" s="26" t="n">
        <x:v>5</x:v>
      </x:c>
      <x:c r="K1074" s="7" t="b">
        <x:v>0</x:v>
      </x:c>
      <x:c r="L1074" s="2" t="str">
        <x:v>April 2026</x:v>
      </x:c>
      <x:c r="M1074" s="2" t="str">
        <x:v>https://datawrapper.dwcdn.net/wQR5S/23/dataset.csv</x:v>
      </x:c>
    </x:row>
    <x:row r="1075" ht="24" customHeight="1">
      <x:c r="A1075" s="2" t="str">
        <x:v>Ramp</x:v>
      </x:c>
      <x:c r="B1075" s="2" t="str">
        <x:v>Quartiles</x:v>
      </x:c>
      <x:c r="C1075" s="2" t="str">
        <x:v>Q2</x:v>
      </x:c>
      <x:c r="D1075" s="28" t="n">
        <x:v>45689</x:v>
      </x:c>
      <x:c r="E1075" s="2" t="str">
        <x:v>2025Q1</x:v>
      </x:c>
      <x:c r="F1075" s="20" t="n">
        <x:v>25170.2</x:v>
      </x:c>
      <x:c r="G1075" s="20" t="n">
        <x:f>'Quarterly data'!$E$315</x:f>
        <x:v>25190.5666666667</x:v>
      </x:c>
      <x:c r="H1075" s="22" t="n">
        <x:f>100*F1075/G1075</x:f>
        <x:v>99.91914962876302</x:v>
      </x:c>
      <x:c r="I1075" s="24" t="n">
        <x:f>H1075/100-1</x:f>
        <x:v>-0.0008085037123697347</x:v>
      </x:c>
      <x:c r="J1075" s="26" t="n">
        <x:v>4</x:v>
      </x:c>
      <x:c r="K1075" s="7" t="b">
        <x:v>0</x:v>
      </x:c>
      <x:c r="L1075" s="2" t="str">
        <x:v>April 2026</x:v>
      </x:c>
      <x:c r="M1075" s="2" t="str">
        <x:v>https://datawrapper.dwcdn.net/wQR5S/23/dataset.csv</x:v>
      </x:c>
    </x:row>
    <x:row r="1076" ht="24" customHeight="1">
      <x:c r="A1076" s="2" t="str">
        <x:v>Ramp</x:v>
      </x:c>
      <x:c r="B1076" s="2" t="str">
        <x:v>Quartiles</x:v>
      </x:c>
      <x:c r="C1076" s="2" t="str">
        <x:v>Q3</x:v>
      </x:c>
      <x:c r="D1076" s="28" t="n">
        <x:v>45689</x:v>
      </x:c>
      <x:c r="E1076" s="2" t="str">
        <x:v>2025Q1</x:v>
      </x:c>
      <x:c r="F1076" s="20" t="n">
        <x:v>31880.1</x:v>
      </x:c>
      <x:c r="G1076" s="20" t="n">
        <x:f>'Quarterly data'!$E$316</x:f>
        <x:v>32270.7333333333</x:v>
      </x:c>
      <x:c r="H1076" s="22" t="n">
        <x:f>100*F1076/G1076</x:f>
        <x:v>98.78951206562819</x:v>
      </x:c>
      <x:c r="I1076" s="24" t="n">
        <x:f>H1076/100-1</x:f>
        <x:v>-0.012104879343718178</x:v>
      </x:c>
      <x:c r="J1076" s="26" t="n">
        <x:v>4</x:v>
      </x:c>
      <x:c r="K1076" s="7" t="b">
        <x:v>0</x:v>
      </x:c>
      <x:c r="L1076" s="2" t="str">
        <x:v>April 2026</x:v>
      </x:c>
      <x:c r="M1076" s="2" t="str">
        <x:v>https://datawrapper.dwcdn.net/wQR5S/23/dataset.csv</x:v>
      </x:c>
    </x:row>
    <x:row r="1077" ht="24" customHeight="1">
      <x:c r="A1077" s="2" t="str">
        <x:v>Ramp</x:v>
      </x:c>
      <x:c r="B1077" s="2" t="str">
        <x:v>Quartiles</x:v>
      </x:c>
      <x:c r="C1077" s="2" t="str">
        <x:v>Q4</x:v>
      </x:c>
      <x:c r="D1077" s="28" t="n">
        <x:v>45689</x:v>
      </x:c>
      <x:c r="E1077" s="2" t="str">
        <x:v>2025Q1</x:v>
      </x:c>
      <x:c r="F1077" s="20" t="n">
        <x:v>23610.1</x:v>
      </x:c>
      <x:c r="G1077" s="20" t="n">
        <x:f>'Quarterly data'!$E$317</x:f>
        <x:v>23648.9</x:v>
      </x:c>
      <x:c r="H1077" s="22" t="n">
        <x:f>100*F1077/G1077</x:f>
        <x:v>99.83593317236742</x:v>
      </x:c>
      <x:c r="I1077" s="24" t="n">
        <x:f>H1077/100-1</x:f>
        <x:v>-0.0016406682763258074</x:v>
      </x:c>
      <x:c r="J1077" s="26" t="n">
        <x:v>5</x:v>
      </x:c>
      <x:c r="K1077" s="7" t="b">
        <x:v>0</x:v>
      </x:c>
      <x:c r="L1077" s="2" t="str">
        <x:v>April 2026</x:v>
      </x:c>
      <x:c r="M1077" s="2" t="str">
        <x:v>https://datawrapper.dwcdn.net/wQR5S/23/dataset.csv</x:v>
      </x:c>
    </x:row>
    <x:row r="1078" ht="24" customHeight="1">
      <x:c r="A1078" s="2" t="str">
        <x:v>Ramp</x:v>
      </x:c>
      <x:c r="B1078" s="2" t="str">
        <x:v>Quartiles</x:v>
      </x:c>
      <x:c r="C1078" s="2" t="str">
        <x:v>Q1</x:v>
      </x:c>
      <x:c r="D1078" s="28" t="n">
        <x:v>45717</x:v>
      </x:c>
      <x:c r="E1078" s="2" t="str">
        <x:v>2025Q1</x:v>
      </x:c>
      <x:c r="F1078" s="20" t="n">
        <x:v>54159</x:v>
      </x:c>
      <x:c r="G1078" s="20" t="n">
        <x:f>'Quarterly data'!$E$314</x:f>
        <x:v>51302.6333333333</x:v>
      </x:c>
      <x:c r="H1078" s="22" t="n">
        <x:f>100*F1078/G1078</x:f>
        <x:v>105.56768041146692</x:v>
      </x:c>
      <x:c r="I1078" s="24" t="n">
        <x:f>H1078/100-1</x:f>
        <x:v>0.05567680411466913</x:v>
      </x:c>
      <x:c r="J1078" s="26" t="n">
        <x:v>5</x:v>
      </x:c>
      <x:c r="K1078" s="7" t="b">
        <x:v>0</x:v>
      </x:c>
      <x:c r="L1078" s="2" t="str">
        <x:v>April 2026</x:v>
      </x:c>
      <x:c r="M1078" s="2" t="str">
        <x:v>https://datawrapper.dwcdn.net/wQR5S/23/dataset.csv</x:v>
      </x:c>
    </x:row>
    <x:row r="1079" ht="24" customHeight="1">
      <x:c r="A1079" s="2" t="str">
        <x:v>Ramp</x:v>
      </x:c>
      <x:c r="B1079" s="2" t="str">
        <x:v>Quartiles</x:v>
      </x:c>
      <x:c r="C1079" s="2" t="str">
        <x:v>Q2</x:v>
      </x:c>
      <x:c r="D1079" s="28" t="n">
        <x:v>45717</x:v>
      </x:c>
      <x:c r="E1079" s="2" t="str">
        <x:v>2025Q1</x:v>
      </x:c>
      <x:c r="F1079" s="20" t="n">
        <x:v>25165.8</x:v>
      </x:c>
      <x:c r="G1079" s="20" t="n">
        <x:f>'Quarterly data'!$E$315</x:f>
        <x:v>25190.5666666667</x:v>
      </x:c>
      <x:c r="H1079" s="22" t="n">
        <x:f>100*F1079/G1079</x:f>
        <x:v>99.90168277278387</x:v>
      </x:c>
      <x:c r="I1079" s="24" t="n">
        <x:f>H1079/100-1</x:f>
        <x:v>-0.0009831722721612701</x:v>
      </x:c>
      <x:c r="J1079" s="26" t="n">
        <x:v>4</x:v>
      </x:c>
      <x:c r="K1079" s="7" t="b">
        <x:v>0</x:v>
      </x:c>
      <x:c r="L1079" s="2" t="str">
        <x:v>April 2026</x:v>
      </x:c>
      <x:c r="M1079" s="2" t="str">
        <x:v>https://datawrapper.dwcdn.net/wQR5S/23/dataset.csv</x:v>
      </x:c>
    </x:row>
    <x:row r="1080" ht="24" customHeight="1">
      <x:c r="A1080" s="2" t="str">
        <x:v>Ramp</x:v>
      </x:c>
      <x:c r="B1080" s="2" t="str">
        <x:v>Quartiles</x:v>
      </x:c>
      <x:c r="C1080" s="2" t="str">
        <x:v>Q3</x:v>
      </x:c>
      <x:c r="D1080" s="28" t="n">
        <x:v>45717</x:v>
      </x:c>
      <x:c r="E1080" s="2" t="str">
        <x:v>2025Q1</x:v>
      </x:c>
      <x:c r="F1080" s="20" t="n">
        <x:v>31837.5</x:v>
      </x:c>
      <x:c r="G1080" s="20" t="n">
        <x:f>'Quarterly data'!$E$316</x:f>
        <x:v>32270.7333333333</x:v>
      </x:c>
      <x:c r="H1080" s="22" t="n">
        <x:f>100*F1080/G1080</x:f>
        <x:v>98.65750390963133</x:v>
      </x:c>
      <x:c r="I1080" s="24" t="n">
        <x:f>H1080/100-1</x:f>
        <x:v>-0.013424960903686722</x:v>
      </x:c>
      <x:c r="J1080" s="26" t="n">
        <x:v>4</x:v>
      </x:c>
      <x:c r="K1080" s="7" t="b">
        <x:v>0</x:v>
      </x:c>
      <x:c r="L1080" s="2" t="str">
        <x:v>April 2026</x:v>
      </x:c>
      <x:c r="M1080" s="2" t="str">
        <x:v>https://datawrapper.dwcdn.net/wQR5S/23/dataset.csv</x:v>
      </x:c>
    </x:row>
    <x:row r="1081" ht="24" customHeight="1">
      <x:c r="A1081" s="2" t="str">
        <x:v>Ramp</x:v>
      </x:c>
      <x:c r="B1081" s="2" t="str">
        <x:v>Quartiles</x:v>
      </x:c>
      <x:c r="C1081" s="2" t="str">
        <x:v>Q4</x:v>
      </x:c>
      <x:c r="D1081" s="28" t="n">
        <x:v>45717</x:v>
      </x:c>
      <x:c r="E1081" s="2" t="str">
        <x:v>2025Q1</x:v>
      </x:c>
      <x:c r="F1081" s="20" t="n">
        <x:v>23613.6</x:v>
      </x:c>
      <x:c r="G1081" s="20" t="n">
        <x:f>'Quarterly data'!$E$317</x:f>
        <x:v>23648.9</x:v>
      </x:c>
      <x:c r="H1081" s="22" t="n">
        <x:f>100*F1081/G1081</x:f>
        <x:v>99.85073301506624</x:v>
      </x:c>
      <x:c r="I1081" s="24" t="n">
        <x:f>H1081/100-1</x:f>
        <x:v>-0.0014926698493376023</x:v>
      </x:c>
      <x:c r="J1081" s="26" t="n">
        <x:v>5</x:v>
      </x:c>
      <x:c r="K1081" s="7" t="b">
        <x:v>0</x:v>
      </x:c>
      <x:c r="L1081" s="2" t="str">
        <x:v>April 2026</x:v>
      </x:c>
      <x:c r="M1081" s="2" t="str">
        <x:v>https://datawrapper.dwcdn.net/wQR5S/23/dataset.csv</x:v>
      </x:c>
    </x:row>
    <x:row r="1082" ht="24" customHeight="1">
      <x:c r="A1082" s="2" t="str">
        <x:v>Ramp</x:v>
      </x:c>
      <x:c r="B1082" s="2" t="str">
        <x:v>Quartiles</x:v>
      </x:c>
      <x:c r="C1082" s="2" t="str">
        <x:v>Q1</x:v>
      </x:c>
      <x:c r="D1082" s="28" t="n">
        <x:v>45748</x:v>
      </x:c>
      <x:c r="E1082" s="2" t="str">
        <x:v>2025Q2</x:v>
      </x:c>
      <x:c r="F1082" s="20" t="n">
        <x:v>54246</x:v>
      </x:c>
      <x:c r="G1082" s="20" t="n">
        <x:f>'Quarterly data'!$E$314</x:f>
        <x:v>51302.6333333333</x:v>
      </x:c>
      <x:c r="H1082" s="22" t="n">
        <x:f>100*F1082/G1082</x:f>
        <x:v>105.737262349756</x:v>
      </x:c>
      <x:c r="I1082" s="24" t="n">
        <x:f>H1082/100-1</x:f>
        <x:v>0.057372623497560005</x:v>
      </x:c>
      <x:c r="J1082" s="26" t="n">
        <x:v>5</x:v>
      </x:c>
      <x:c r="K1082" s="7" t="b">
        <x:v>0</x:v>
      </x:c>
      <x:c r="L1082" s="2" t="str">
        <x:v>April 2026</x:v>
      </x:c>
      <x:c r="M1082" s="2" t="str">
        <x:v>https://datawrapper.dwcdn.net/wQR5S/23/dataset.csv</x:v>
      </x:c>
    </x:row>
    <x:row r="1083" ht="24" customHeight="1">
      <x:c r="A1083" s="2" t="str">
        <x:v>Ramp</x:v>
      </x:c>
      <x:c r="B1083" s="2" t="str">
        <x:v>Quartiles</x:v>
      </x:c>
      <x:c r="C1083" s="2" t="str">
        <x:v>Q2</x:v>
      </x:c>
      <x:c r="D1083" s="28" t="n">
        <x:v>45748</x:v>
      </x:c>
      <x:c r="E1083" s="2" t="str">
        <x:v>2025Q2</x:v>
      </x:c>
      <x:c r="F1083" s="20" t="n">
        <x:v>25161.6</x:v>
      </x:c>
      <x:c r="G1083" s="20" t="n">
        <x:f>'Quarterly data'!$E$315</x:f>
        <x:v>25190.5666666667</x:v>
      </x:c>
      <x:c r="H1083" s="22" t="n">
        <x:f>100*F1083/G1083</x:f>
        <x:v>99.88500986480376</x:v>
      </x:c>
      <x:c r="I1083" s="24" t="n">
        <x:f>H1083/100-1</x:f>
        <x:v>-0.0011499013519623569</x:v>
      </x:c>
      <x:c r="J1083" s="26" t="n">
        <x:v>4</x:v>
      </x:c>
      <x:c r="K1083" s="7" t="b">
        <x:v>0</x:v>
      </x:c>
      <x:c r="L1083" s="2" t="str">
        <x:v>April 2026</x:v>
      </x:c>
      <x:c r="M1083" s="2" t="str">
        <x:v>https://datawrapper.dwcdn.net/wQR5S/23/dataset.csv</x:v>
      </x:c>
    </x:row>
    <x:row r="1084" ht="24" customHeight="1">
      <x:c r="A1084" s="2" t="str">
        <x:v>Ramp</x:v>
      </x:c>
      <x:c r="B1084" s="2" t="str">
        <x:v>Quartiles</x:v>
      </x:c>
      <x:c r="C1084" s="2" t="str">
        <x:v>Q3</x:v>
      </x:c>
      <x:c r="D1084" s="28" t="n">
        <x:v>45748</x:v>
      </x:c>
      <x:c r="E1084" s="2" t="str">
        <x:v>2025Q2</x:v>
      </x:c>
      <x:c r="F1084" s="20" t="n">
        <x:v>31852.1</x:v>
      </x:c>
      <x:c r="G1084" s="20" t="n">
        <x:f>'Quarterly data'!$E$316</x:f>
        <x:v>32270.7333333333</x:v>
      </x:c>
      <x:c r="H1084" s="22" t="n">
        <x:f>100*F1084/G1084</x:f>
        <x:v>98.70274614149879</x:v>
      </x:c>
      <x:c r="I1084" s="24" t="n">
        <x:f>H1084/100-1</x:f>
        <x:v>-0.012972538585012128</x:v>
      </x:c>
      <x:c r="J1084" s="26" t="n">
        <x:v>4</x:v>
      </x:c>
      <x:c r="K1084" s="7" t="b">
        <x:v>0</x:v>
      </x:c>
      <x:c r="L1084" s="2" t="str">
        <x:v>April 2026</x:v>
      </x:c>
      <x:c r="M1084" s="2" t="str">
        <x:v>https://datawrapper.dwcdn.net/wQR5S/23/dataset.csv</x:v>
      </x:c>
    </x:row>
    <x:row r="1085" ht="24" customHeight="1">
      <x:c r="A1085" s="2" t="str">
        <x:v>Ramp</x:v>
      </x:c>
      <x:c r="B1085" s="2" t="str">
        <x:v>Quartiles</x:v>
      </x:c>
      <x:c r="C1085" s="2" t="str">
        <x:v>Q4</x:v>
      </x:c>
      <x:c r="D1085" s="28" t="n">
        <x:v>45748</x:v>
      </x:c>
      <x:c r="E1085" s="2" t="str">
        <x:v>2025Q2</x:v>
      </x:c>
      <x:c r="F1085" s="20" t="n">
        <x:v>23614.6</x:v>
      </x:c>
      <x:c r="G1085" s="20" t="n">
        <x:f>'Quarterly data'!$E$317</x:f>
        <x:v>23648.9</x:v>
      </x:c>
      <x:c r="H1085" s="22" t="n">
        <x:f>100*F1085/G1085</x:f>
        <x:v>99.8549615415516</x:v>
      </x:c>
      <x:c r="I1085" s="24" t="n">
        <x:f>H1085/100-1</x:f>
        <x:v>-0.001450384584483988</x:v>
      </x:c>
      <x:c r="J1085" s="26" t="n">
        <x:v>5</x:v>
      </x:c>
      <x:c r="K1085" s="7" t="b">
        <x:v>0</x:v>
      </x:c>
      <x:c r="L1085" s="2" t="str">
        <x:v>April 2026</x:v>
      </x:c>
      <x:c r="M1085" s="2" t="str">
        <x:v>https://datawrapper.dwcdn.net/wQR5S/23/dataset.csv</x:v>
      </x:c>
    </x:row>
    <x:row r="1086" ht="24" customHeight="1">
      <x:c r="A1086" s="2" t="str">
        <x:v>Ramp</x:v>
      </x:c>
      <x:c r="B1086" s="2" t="str">
        <x:v>Quartiles</x:v>
      </x:c>
      <x:c r="C1086" s="2" t="str">
        <x:v>Q1</x:v>
      </x:c>
      <x:c r="D1086" s="28" t="n">
        <x:v>45778</x:v>
      </x:c>
      <x:c r="E1086" s="2" t="str">
        <x:v>2025Q2</x:v>
      </x:c>
      <x:c r="F1086" s="20" t="n">
        <x:v>54318.8</x:v>
      </x:c>
      <x:c r="G1086" s="20" t="n">
        <x:f>'Quarterly data'!$E$314</x:f>
        <x:v>51302.6333333333</x:v>
      </x:c>
      <x:c r="H1086" s="22" t="n">
        <x:f>100*F1086/G1086</x:f>
        <x:v>105.87916539696799</x:v>
      </x:c>
      <x:c r="I1086" s="24" t="n">
        <x:f>H1086/100-1</x:f>
        <x:v>0.05879165396968</x:v>
      </x:c>
      <x:c r="J1086" s="26" t="n">
        <x:v>5</x:v>
      </x:c>
      <x:c r="K1086" s="7" t="b">
        <x:v>0</x:v>
      </x:c>
      <x:c r="L1086" s="2" t="str">
        <x:v>April 2026</x:v>
      </x:c>
      <x:c r="M1086" s="2" t="str">
        <x:v>https://datawrapper.dwcdn.net/wQR5S/23/dataset.csv</x:v>
      </x:c>
    </x:row>
    <x:row r="1087" ht="24" customHeight="1">
      <x:c r="A1087" s="2" t="str">
        <x:v>Ramp</x:v>
      </x:c>
      <x:c r="B1087" s="2" t="str">
        <x:v>Quartiles</x:v>
      </x:c>
      <x:c r="C1087" s="2" t="str">
        <x:v>Q2</x:v>
      </x:c>
      <x:c r="D1087" s="28" t="n">
        <x:v>45778</x:v>
      </x:c>
      <x:c r="E1087" s="2" t="str">
        <x:v>2025Q2</x:v>
      </x:c>
      <x:c r="F1087" s="20" t="n">
        <x:v>25138.3</x:v>
      </x:c>
      <x:c r="G1087" s="20" t="n">
        <x:f>'Quarterly data'!$E$315</x:f>
        <x:v>25190.5666666667</x:v>
      </x:c>
      <x:c r="H1087" s="22" t="n">
        <x:f>100*F1087/G1087</x:f>
        <x:v>99.79251492291414</x:v>
      </x:c>
      <x:c r="I1087" s="24" t="n">
        <x:f>H1087/100-1</x:f>
        <x:v>-0.0020748507708586716</x:v>
      </x:c>
      <x:c r="J1087" s="26" t="n">
        <x:v>4</x:v>
      </x:c>
      <x:c r="K1087" s="7" t="b">
        <x:v>0</x:v>
      </x:c>
      <x:c r="L1087" s="2" t="str">
        <x:v>April 2026</x:v>
      </x:c>
      <x:c r="M1087" s="2" t="str">
        <x:v>https://datawrapper.dwcdn.net/wQR5S/23/dataset.csv</x:v>
      </x:c>
    </x:row>
    <x:row r="1088" ht="24" customHeight="1">
      <x:c r="A1088" s="2" t="str">
        <x:v>Ramp</x:v>
      </x:c>
      <x:c r="B1088" s="2" t="str">
        <x:v>Quartiles</x:v>
      </x:c>
      <x:c r="C1088" s="2" t="str">
        <x:v>Q3</x:v>
      </x:c>
      <x:c r="D1088" s="28" t="n">
        <x:v>45778</x:v>
      </x:c>
      <x:c r="E1088" s="2" t="str">
        <x:v>2025Q2</x:v>
      </x:c>
      <x:c r="F1088" s="20" t="n">
        <x:v>31818.2</x:v>
      </x:c>
      <x:c r="G1088" s="20" t="n">
        <x:f>'Quarterly data'!$E$316</x:f>
        <x:v>32270.7333333333</x:v>
      </x:c>
      <x:c r="H1088" s="22" t="n">
        <x:f>100*F1088/G1088</x:f>
        <x:v>98.59769739764214</x:v>
      </x:c>
      <x:c r="I1088" s="24" t="n">
        <x:f>H1088/100-1</x:f>
        <x:v>-0.014023026023578633</x:v>
      </x:c>
      <x:c r="J1088" s="26" t="n">
        <x:v>4</x:v>
      </x:c>
      <x:c r="K1088" s="7" t="b">
        <x:v>0</x:v>
      </x:c>
      <x:c r="L1088" s="2" t="str">
        <x:v>April 2026</x:v>
      </x:c>
      <x:c r="M1088" s="2" t="str">
        <x:v>https://datawrapper.dwcdn.net/wQR5S/23/dataset.csv</x:v>
      </x:c>
    </x:row>
    <x:row r="1089" ht="24" customHeight="1">
      <x:c r="A1089" s="2" t="str">
        <x:v>Ramp</x:v>
      </x:c>
      <x:c r="B1089" s="2" t="str">
        <x:v>Quartiles</x:v>
      </x:c>
      <x:c r="C1089" s="2" t="str">
        <x:v>Q4</x:v>
      </x:c>
      <x:c r="D1089" s="28" t="n">
        <x:v>45778</x:v>
      </x:c>
      <x:c r="E1089" s="2" t="str">
        <x:v>2025Q2</x:v>
      </x:c>
      <x:c r="F1089" s="20" t="n">
        <x:v>23619.6</x:v>
      </x:c>
      <x:c r="G1089" s="20" t="n">
        <x:f>'Quarterly data'!$E$317</x:f>
        <x:v>23648.9</x:v>
      </x:c>
      <x:c r="H1089" s="22" t="n">
        <x:f>100*F1089/G1089</x:f>
        <x:v>99.87610417397849</x:v>
      </x:c>
      <x:c r="I1089" s="24" t="n">
        <x:f>H1089/100-1</x:f>
        <x:v>-0.0012389582602151394</x:v>
      </x:c>
      <x:c r="J1089" s="26" t="n">
        <x:v>5</x:v>
      </x:c>
      <x:c r="K1089" s="7" t="b">
        <x:v>0</x:v>
      </x:c>
      <x:c r="L1089" s="2" t="str">
        <x:v>April 2026</x:v>
      </x:c>
      <x:c r="M1089" s="2" t="str">
        <x:v>https://datawrapper.dwcdn.net/wQR5S/23/dataset.csv</x:v>
      </x:c>
    </x:row>
    <x:row r="1090" ht="24" customHeight="1">
      <x:c r="A1090" s="2" t="str">
        <x:v>Ramp</x:v>
      </x:c>
      <x:c r="B1090" s="2" t="str">
        <x:v>Quartiles</x:v>
      </x:c>
      <x:c r="C1090" s="2" t="str">
        <x:v>Q1</x:v>
      </x:c>
      <x:c r="D1090" s="28" t="n">
        <x:v>45809</x:v>
      </x:c>
      <x:c r="E1090" s="2" t="str">
        <x:v>2025Q2</x:v>
      </x:c>
      <x:c r="F1090" s="20" t="n">
        <x:v>54365.1</x:v>
      </x:c>
      <x:c r="G1090" s="20" t="n">
        <x:f>'Quarterly data'!$E$314</x:f>
        <x:v>51302.6333333333</x:v>
      </x:c>
      <x:c r="H1090" s="22" t="n">
        <x:f>100*F1090/G1090</x:f>
        <x:v>105.96941417562068</x:v>
      </x:c>
      <x:c r="I1090" s="24" t="n">
        <x:f>H1090/100-1</x:f>
        <x:v>0.05969414175620691</x:v>
      </x:c>
      <x:c r="J1090" s="26" t="n">
        <x:v>5</x:v>
      </x:c>
      <x:c r="K1090" s="7" t="b">
        <x:v>0</x:v>
      </x:c>
      <x:c r="L1090" s="2" t="str">
        <x:v>April 2026</x:v>
      </x:c>
      <x:c r="M1090" s="2" t="str">
        <x:v>https://datawrapper.dwcdn.net/wQR5S/23/dataset.csv</x:v>
      </x:c>
    </x:row>
    <x:row r="1091" ht="24" customHeight="1">
      <x:c r="A1091" s="2" t="str">
        <x:v>Ramp</x:v>
      </x:c>
      <x:c r="B1091" s="2" t="str">
        <x:v>Quartiles</x:v>
      </x:c>
      <x:c r="C1091" s="2" t="str">
        <x:v>Q2</x:v>
      </x:c>
      <x:c r="D1091" s="28" t="n">
        <x:v>45809</x:v>
      </x:c>
      <x:c r="E1091" s="2" t="str">
        <x:v>2025Q2</x:v>
      </x:c>
      <x:c r="F1091" s="20" t="n">
        <x:v>25118.2</x:v>
      </x:c>
      <x:c r="G1091" s="20" t="n">
        <x:f>'Quarterly data'!$E$315</x:f>
        <x:v>25190.5666666667</x:v>
      </x:c>
      <x:c r="H1091" s="22" t="n">
        <x:f>100*F1091/G1091</x:f>
        <x:v>99.71272314900936</x:v>
      </x:c>
      <x:c r="I1091" s="24" t="n">
        <x:f>H1091/100-1</x:f>
        <x:v>-0.002872768509906365</x:v>
      </x:c>
      <x:c r="J1091" s="26" t="n">
        <x:v>4</x:v>
      </x:c>
      <x:c r="K1091" s="7" t="b">
        <x:v>0</x:v>
      </x:c>
      <x:c r="L1091" s="2" t="str">
        <x:v>April 2026</x:v>
      </x:c>
      <x:c r="M1091" s="2" t="str">
        <x:v>https://datawrapper.dwcdn.net/wQR5S/23/dataset.csv</x:v>
      </x:c>
    </x:row>
    <x:row r="1092" ht="24" customHeight="1">
      <x:c r="A1092" s="2" t="str">
        <x:v>Ramp</x:v>
      </x:c>
      <x:c r="B1092" s="2" t="str">
        <x:v>Quartiles</x:v>
      </x:c>
      <x:c r="C1092" s="2" t="str">
        <x:v>Q3</x:v>
      </x:c>
      <x:c r="D1092" s="28" t="n">
        <x:v>45809</x:v>
      </x:c>
      <x:c r="E1092" s="2" t="str">
        <x:v>2025Q2</x:v>
      </x:c>
      <x:c r="F1092" s="20" t="n">
        <x:v>31766.4</x:v>
      </x:c>
      <x:c r="G1092" s="20" t="n">
        <x:f>'Quarterly data'!$E$316</x:f>
        <x:v>32270.7333333333</x:v>
      </x:c>
      <x:c r="H1092" s="22" t="n">
        <x:f>100*F1092/G1092</x:f>
        <x:v>98.43718043800274</x:v>
      </x:c>
      <x:c r="I1092" s="24" t="n">
        <x:f>H1092/100-1</x:f>
        <x:v>-0.01562819561997264</x:v>
      </x:c>
      <x:c r="J1092" s="26" t="n">
        <x:v>4</x:v>
      </x:c>
      <x:c r="K1092" s="7" t="b">
        <x:v>0</x:v>
      </x:c>
      <x:c r="L1092" s="2" t="str">
        <x:v>April 2026</x:v>
      </x:c>
      <x:c r="M1092" s="2" t="str">
        <x:v>https://datawrapper.dwcdn.net/wQR5S/23/dataset.csv</x:v>
      </x:c>
    </x:row>
    <x:row r="1093" ht="24" customHeight="1">
      <x:c r="A1093" s="2" t="str">
        <x:v>Ramp</x:v>
      </x:c>
      <x:c r="B1093" s="2" t="str">
        <x:v>Quartiles</x:v>
      </x:c>
      <x:c r="C1093" s="2" t="str">
        <x:v>Q4</x:v>
      </x:c>
      <x:c r="D1093" s="28" t="n">
        <x:v>45809</x:v>
      </x:c>
      <x:c r="E1093" s="2" t="str">
        <x:v>2025Q2</x:v>
      </x:c>
      <x:c r="F1093" s="20" t="n">
        <x:v>23600.3</x:v>
      </x:c>
      <x:c r="G1093" s="20" t="n">
        <x:f>'Quarterly data'!$E$317</x:f>
        <x:v>23648.9</x:v>
      </x:c>
      <x:c r="H1093" s="22" t="n">
        <x:f>100*F1093/G1093</x:f>
        <x:v>99.79449361281074</x:v>
      </x:c>
      <x:c r="I1093" s="24" t="n">
        <x:f>H1093/100-1</x:f>
        <x:v>-0.0020550638718925818</x:v>
      </x:c>
      <x:c r="J1093" s="26" t="n">
        <x:v>5</x:v>
      </x:c>
      <x:c r="K1093" s="7" t="b">
        <x:v>0</x:v>
      </x:c>
      <x:c r="L1093" s="2" t="str">
        <x:v>April 2026</x:v>
      </x:c>
      <x:c r="M1093" s="2" t="str">
        <x:v>https://datawrapper.dwcdn.net/wQR5S/23/dataset.csv</x:v>
      </x:c>
    </x:row>
    <x:row r="1094" ht="24" customHeight="1">
      <x:c r="A1094" s="2" t="str">
        <x:v>Ramp</x:v>
      </x:c>
      <x:c r="B1094" s="2" t="str">
        <x:v>Quartiles</x:v>
      </x:c>
      <x:c r="C1094" s="2" t="str">
        <x:v>Q1</x:v>
      </x:c>
      <x:c r="D1094" s="28" t="n">
        <x:v>45839</x:v>
      </x:c>
      <x:c r="E1094" s="2" t="str">
        <x:v>2025Q3</x:v>
      </x:c>
      <x:c r="F1094" s="20" t="n">
        <x:v>54457.7</x:v>
      </x:c>
      <x:c r="G1094" s="20" t="n">
        <x:f>'Quarterly data'!$E$314</x:f>
        <x:v>51302.6333333333</x:v>
      </x:c>
      <x:c r="H1094" s="22" t="n">
        <x:f>100*F1094/G1094</x:f>
        <x:v>106.14991173292606</x:v>
      </x:c>
      <x:c r="I1094" s="24" t="n">
        <x:f>H1094/100-1</x:f>
        <x:v>0.0614991173292605</x:v>
      </x:c>
      <x:c r="J1094" s="26" t="n">
        <x:v>5</x:v>
      </x:c>
      <x:c r="K1094" s="7" t="b">
        <x:v>0</x:v>
      </x:c>
      <x:c r="L1094" s="2" t="str">
        <x:v>April 2026</x:v>
      </x:c>
      <x:c r="M1094" s="2" t="str">
        <x:v>https://datawrapper.dwcdn.net/wQR5S/23/dataset.csv</x:v>
      </x:c>
    </x:row>
    <x:row r="1095" ht="24" customHeight="1">
      <x:c r="A1095" s="2" t="str">
        <x:v>Ramp</x:v>
      </x:c>
      <x:c r="B1095" s="2" t="str">
        <x:v>Quartiles</x:v>
      </x:c>
      <x:c r="C1095" s="2" t="str">
        <x:v>Q2</x:v>
      </x:c>
      <x:c r="D1095" s="28" t="n">
        <x:v>45839</x:v>
      </x:c>
      <x:c r="E1095" s="2" t="str">
        <x:v>2025Q3</x:v>
      </x:c>
      <x:c r="F1095" s="20" t="n">
        <x:v>25116.2</x:v>
      </x:c>
      <x:c r="G1095" s="20" t="n">
        <x:f>'Quarterly data'!$E$315</x:f>
        <x:v>25190.5666666667</x:v>
      </x:c>
      <x:c r="H1095" s="22" t="n">
        <x:f>100*F1095/G1095</x:f>
        <x:v>99.70478366901884</x:v>
      </x:c>
      <x:c r="I1095" s="24" t="n">
        <x:f>H1095/100-1</x:f>
        <x:v>-0.0029521633098116284</x:v>
      </x:c>
      <x:c r="J1095" s="26" t="n">
        <x:v>4</x:v>
      </x:c>
      <x:c r="K1095" s="7" t="b">
        <x:v>0</x:v>
      </x:c>
      <x:c r="L1095" s="2" t="str">
        <x:v>April 2026</x:v>
      </x:c>
      <x:c r="M1095" s="2" t="str">
        <x:v>https://datawrapper.dwcdn.net/wQR5S/23/dataset.csv</x:v>
      </x:c>
    </x:row>
    <x:row r="1096" ht="24" customHeight="1">
      <x:c r="A1096" s="2" t="str">
        <x:v>Ramp</x:v>
      </x:c>
      <x:c r="B1096" s="2" t="str">
        <x:v>Quartiles</x:v>
      </x:c>
      <x:c r="C1096" s="2" t="str">
        <x:v>Q3</x:v>
      </x:c>
      <x:c r="D1096" s="28" t="n">
        <x:v>45839</x:v>
      </x:c>
      <x:c r="E1096" s="2" t="str">
        <x:v>2025Q3</x:v>
      </x:c>
      <x:c r="F1096" s="20" t="n">
        <x:v>31733.5</x:v>
      </x:c>
      <x:c r="G1096" s="20" t="n">
        <x:f>'Quarterly data'!$E$316</x:f>
        <x:v>32270.7333333333</x:v>
      </x:c>
      <x:c r="H1096" s="22" t="n">
        <x:f>100*F1096/G1096</x:f>
        <x:v>98.3352304771507</x:v>
      </x:c>
      <x:c r="I1096" s="24" t="n">
        <x:f>H1096/100-1</x:f>
        <x:v>-0.016647695228492965</x:v>
      </x:c>
      <x:c r="J1096" s="26" t="n">
        <x:v>4</x:v>
      </x:c>
      <x:c r="K1096" s="7" t="b">
        <x:v>0</x:v>
      </x:c>
      <x:c r="L1096" s="2" t="str">
        <x:v>April 2026</x:v>
      </x:c>
      <x:c r="M1096" s="2" t="str">
        <x:v>https://datawrapper.dwcdn.net/wQR5S/23/dataset.csv</x:v>
      </x:c>
    </x:row>
    <x:row r="1097" ht="24" customHeight="1">
      <x:c r="A1097" s="2" t="str">
        <x:v>Ramp</x:v>
      </x:c>
      <x:c r="B1097" s="2" t="str">
        <x:v>Quartiles</x:v>
      </x:c>
      <x:c r="C1097" s="2" t="str">
        <x:v>Q4</x:v>
      </x:c>
      <x:c r="D1097" s="28" t="n">
        <x:v>45839</x:v>
      </x:c>
      <x:c r="E1097" s="2" t="str">
        <x:v>2025Q3</x:v>
      </x:c>
      <x:c r="F1097" s="20" t="n">
        <x:v>23608.5</x:v>
      </x:c>
      <x:c r="G1097" s="20" t="n">
        <x:f>'Quarterly data'!$E$317</x:f>
        <x:v>23648.9</x:v>
      </x:c>
      <x:c r="H1097" s="22" t="n">
        <x:f>100*F1097/G1097</x:f>
        <x:v>99.82916752999081</x:v>
      </x:c>
      <x:c r="I1097" s="24" t="n">
        <x:f>H1097/100-1</x:f>
        <x:v>-0.0017083247000918567</x:v>
      </x:c>
      <x:c r="J1097" s="26" t="n">
        <x:v>5</x:v>
      </x:c>
      <x:c r="K1097" s="7" t="b">
        <x:v>0</x:v>
      </x:c>
      <x:c r="L1097" s="2" t="str">
        <x:v>April 2026</x:v>
      </x:c>
      <x:c r="M1097" s="2" t="str">
        <x:v>https://datawrapper.dwcdn.net/wQR5S/23/dataset.csv</x:v>
      </x:c>
    </x:row>
    <x:row r="1098" ht="24" customHeight="1">
      <x:c r="A1098" s="2" t="str">
        <x:v>Ramp</x:v>
      </x:c>
      <x:c r="B1098" s="2" t="str">
        <x:v>Quartiles</x:v>
      </x:c>
      <x:c r="C1098" s="2" t="str">
        <x:v>Q1</x:v>
      </x:c>
      <x:c r="D1098" s="28" t="n">
        <x:v>45870</x:v>
      </x:c>
      <x:c r="E1098" s="2" t="str">
        <x:v>2025Q3</x:v>
      </x:c>
      <x:c r="F1098" s="20" t="n">
        <x:v>54499.4</x:v>
      </x:c>
      <x:c r="G1098" s="20" t="n">
        <x:f>'Quarterly data'!$E$314</x:f>
        <x:v>51302.6333333333</x:v>
      </x:c>
      <x:c r="H1098" s="22" t="n">
        <x:f>100*F1098/G1098</x:f>
        <x:v>106.23119411024392</x:v>
      </x:c>
      <x:c r="I1098" s="24" t="n">
        <x:f>H1098/100-1</x:f>
        <x:v>0.062311941102439095</x:v>
      </x:c>
      <x:c r="J1098" s="26" t="n">
        <x:v>5</x:v>
      </x:c>
      <x:c r="K1098" s="7" t="b">
        <x:v>0</x:v>
      </x:c>
      <x:c r="L1098" s="2" t="str">
        <x:v>April 2026</x:v>
      </x:c>
      <x:c r="M1098" s="2" t="str">
        <x:v>https://datawrapper.dwcdn.net/wQR5S/23/dataset.csv</x:v>
      </x:c>
    </x:row>
    <x:row r="1099" ht="24" customHeight="1">
      <x:c r="A1099" s="2" t="str">
        <x:v>Ramp</x:v>
      </x:c>
      <x:c r="B1099" s="2" t="str">
        <x:v>Quartiles</x:v>
      </x:c>
      <x:c r="C1099" s="2" t="str">
        <x:v>Q2</x:v>
      </x:c>
      <x:c r="D1099" s="28" t="n">
        <x:v>45870</x:v>
      </x:c>
      <x:c r="E1099" s="2" t="str">
        <x:v>2025Q3</x:v>
      </x:c>
      <x:c r="F1099" s="20" t="n">
        <x:v>25117.4</x:v>
      </x:c>
      <x:c r="G1099" s="20" t="n">
        <x:f>'Quarterly data'!$E$315</x:f>
        <x:v>25190.5666666667</x:v>
      </x:c>
      <x:c r="H1099" s="22" t="n">
        <x:f>100*F1099/G1099</x:f>
        <x:v>99.70954735701315</x:v>
      </x:c>
      <x:c r="I1099" s="24" t="n">
        <x:f>H1099/100-1</x:f>
        <x:v>-0.0029045264298684925</x:v>
      </x:c>
      <x:c r="J1099" s="26" t="n">
        <x:v>4</x:v>
      </x:c>
      <x:c r="K1099" s="7" t="b">
        <x:v>0</x:v>
      </x:c>
      <x:c r="L1099" s="2" t="str">
        <x:v>April 2026</x:v>
      </x:c>
      <x:c r="M1099" s="2" t="str">
        <x:v>https://datawrapper.dwcdn.net/wQR5S/23/dataset.csv</x:v>
      </x:c>
    </x:row>
    <x:row r="1100" ht="24" customHeight="1">
      <x:c r="A1100" s="2" t="str">
        <x:v>Ramp</x:v>
      </x:c>
      <x:c r="B1100" s="2" t="str">
        <x:v>Quartiles</x:v>
      </x:c>
      <x:c r="C1100" s="2" t="str">
        <x:v>Q3</x:v>
      </x:c>
      <x:c r="D1100" s="28" t="n">
        <x:v>45870</x:v>
      </x:c>
      <x:c r="E1100" s="2" t="str">
        <x:v>2025Q3</x:v>
      </x:c>
      <x:c r="F1100" s="20" t="n">
        <x:v>31693.5</x:v>
      </x:c>
      <x:c r="G1100" s="20" t="n">
        <x:f>'Quarterly data'!$E$316</x:f>
        <x:v>32270.7333333333</x:v>
      </x:c>
      <x:c r="H1100" s="22" t="n">
        <x:f>100*F1100/G1100</x:f>
        <x:v>98.21127915696586</x:v>
      </x:c>
      <x:c r="I1100" s="24" t="n">
        <x:f>H1100/100-1</x:f>
        <x:v>-0.017887208430341417</x:v>
      </x:c>
      <x:c r="J1100" s="26" t="n">
        <x:v>4</x:v>
      </x:c>
      <x:c r="K1100" s="7" t="b">
        <x:v>0</x:v>
      </x:c>
      <x:c r="L1100" s="2" t="str">
        <x:v>April 2026</x:v>
      </x:c>
      <x:c r="M1100" s="2" t="str">
        <x:v>https://datawrapper.dwcdn.net/wQR5S/23/dataset.csv</x:v>
      </x:c>
    </x:row>
    <x:row r="1101" ht="24" customHeight="1">
      <x:c r="A1101" s="2" t="str">
        <x:v>Ramp</x:v>
      </x:c>
      <x:c r="B1101" s="2" t="str">
        <x:v>Quartiles</x:v>
      </x:c>
      <x:c r="C1101" s="2" t="str">
        <x:v>Q4</x:v>
      </x:c>
      <x:c r="D1101" s="28" t="n">
        <x:v>45870</x:v>
      </x:c>
      <x:c r="E1101" s="2" t="str">
        <x:v>2025Q3</x:v>
      </x:c>
      <x:c r="F1101" s="20" t="n">
        <x:v>23586.3</x:v>
      </x:c>
      <x:c r="G1101" s="20" t="n">
        <x:f>'Quarterly data'!$E$317</x:f>
        <x:v>23648.9</x:v>
      </x:c>
      <x:c r="H1101" s="22" t="n">
        <x:f>100*F1101/G1101</x:f>
        <x:v>99.73529424201548</x:v>
      </x:c>
      <x:c r="I1101" s="24" t="n">
        <x:f>H1101/100-1</x:f>
        <x:v>-0.00264705757984518</x:v>
      </x:c>
      <x:c r="J1101" s="26" t="n">
        <x:v>5</x:v>
      </x:c>
      <x:c r="K1101" s="7" t="b">
        <x:v>0</x:v>
      </x:c>
      <x:c r="L1101" s="2" t="str">
        <x:v>April 2026</x:v>
      </x:c>
      <x:c r="M1101" s="2" t="str">
        <x:v>https://datawrapper.dwcdn.net/wQR5S/23/dataset.csv</x:v>
      </x:c>
    </x:row>
    <x:row r="1102" ht="24" customHeight="1">
      <x:c r="A1102" s="2" t="str">
        <x:v>Ramp</x:v>
      </x:c>
      <x:c r="B1102" s="2" t="str">
        <x:v>Quartiles</x:v>
      </x:c>
      <x:c r="C1102" s="2" t="str">
        <x:v>Q1</x:v>
      </x:c>
      <x:c r="D1102" s="28" t="n">
        <x:v>45901</x:v>
      </x:c>
      <x:c r="E1102" s="2" t="str">
        <x:v>2025Q3</x:v>
      </x:c>
      <x:c r="F1102" s="20" t="n">
        <x:v>54605.2</x:v>
      </x:c>
      <x:c r="G1102" s="20" t="n">
        <x:f>'Quarterly data'!$E$314</x:f>
        <x:v>51302.6333333333</x:v>
      </x:c>
      <x:c r="H1102" s="22" t="n">
        <x:f>100*F1102/G1102</x:f>
        <x:v>106.43742134094488</x:v>
      </x:c>
      <x:c r="I1102" s="24" t="n">
        <x:f>H1102/100-1</x:f>
        <x:v>0.06437421340944871</x:v>
      </x:c>
      <x:c r="J1102" s="26" t="n">
        <x:v>5</x:v>
      </x:c>
      <x:c r="K1102" s="7" t="b">
        <x:v>0</x:v>
      </x:c>
      <x:c r="L1102" s="2" t="str">
        <x:v>April 2026</x:v>
      </x:c>
      <x:c r="M1102" s="2" t="str">
        <x:v>https://datawrapper.dwcdn.net/wQR5S/23/dataset.csv</x:v>
      </x:c>
    </x:row>
    <x:row r="1103" ht="24" customHeight="1">
      <x:c r="A1103" s="2" t="str">
        <x:v>Ramp</x:v>
      </x:c>
      <x:c r="B1103" s="2" t="str">
        <x:v>Quartiles</x:v>
      </x:c>
      <x:c r="C1103" s="2" t="str">
        <x:v>Q2</x:v>
      </x:c>
      <x:c r="D1103" s="28" t="n">
        <x:v>45901</x:v>
      </x:c>
      <x:c r="E1103" s="2" t="str">
        <x:v>2025Q3</x:v>
      </x:c>
      <x:c r="F1103" s="20" t="n">
        <x:v>25089.3</x:v>
      </x:c>
      <x:c r="G1103" s="20" t="n">
        <x:f>'Quarterly data'!$E$315</x:f>
        <x:v>25190.5666666667</x:v>
      </x:c>
      <x:c r="H1103" s="22" t="n">
        <x:f>100*F1103/G1103</x:f>
        <x:v>99.59799766314626</x:v>
      </x:c>
      <x:c r="I1103" s="24" t="n">
        <x:f>H1103/100-1</x:f>
        <x:v>-0.004020023368537462</x:v>
      </x:c>
      <x:c r="J1103" s="26" t="n">
        <x:v>4</x:v>
      </x:c>
      <x:c r="K1103" s="7" t="b">
        <x:v>0</x:v>
      </x:c>
      <x:c r="L1103" s="2" t="str">
        <x:v>April 2026</x:v>
      </x:c>
      <x:c r="M1103" s="2" t="str">
        <x:v>https://datawrapper.dwcdn.net/wQR5S/23/dataset.csv</x:v>
      </x:c>
    </x:row>
    <x:row r="1104" ht="24" customHeight="1">
      <x:c r="A1104" s="2" t="str">
        <x:v>Ramp</x:v>
      </x:c>
      <x:c r="B1104" s="2" t="str">
        <x:v>Quartiles</x:v>
      </x:c>
      <x:c r="C1104" s="2" t="str">
        <x:v>Q3</x:v>
      </x:c>
      <x:c r="D1104" s="28" t="n">
        <x:v>45901</x:v>
      </x:c>
      <x:c r="E1104" s="2" t="str">
        <x:v>2025Q3</x:v>
      </x:c>
      <x:c r="F1104" s="20" t="n">
        <x:v>31684.2</x:v>
      </x:c>
      <x:c r="G1104" s="20" t="n">
        <x:f>'Quarterly data'!$E$316</x:f>
        <x:v>32270.7333333333</x:v>
      </x:c>
      <x:c r="H1104" s="22" t="n">
        <x:f>100*F1104/G1104</x:f>
        <x:v>98.18246047502288</x:v>
      </x:c>
      <x:c r="I1104" s="24" t="n">
        <x:f>H1104/100-1</x:f>
        <x:v>-0.018175395249771187</x:v>
      </x:c>
      <x:c r="J1104" s="26" t="n">
        <x:v>4</x:v>
      </x:c>
      <x:c r="K1104" s="7" t="b">
        <x:v>0</x:v>
      </x:c>
      <x:c r="L1104" s="2" t="str">
        <x:v>April 2026</x:v>
      </x:c>
      <x:c r="M1104" s="2" t="str">
        <x:v>https://datawrapper.dwcdn.net/wQR5S/23/dataset.csv</x:v>
      </x:c>
    </x:row>
    <x:row r="1105" ht="24" customHeight="1">
      <x:c r="A1105" s="2" t="str">
        <x:v>Ramp</x:v>
      </x:c>
      <x:c r="B1105" s="2" t="str">
        <x:v>Quartiles</x:v>
      </x:c>
      <x:c r="C1105" s="2" t="str">
        <x:v>Q4</x:v>
      </x:c>
      <x:c r="D1105" s="28" t="n">
        <x:v>45901</x:v>
      </x:c>
      <x:c r="E1105" s="2" t="str">
        <x:v>2025Q3</x:v>
      </x:c>
      <x:c r="F1105" s="20" t="n">
        <x:v>23586.7</x:v>
      </x:c>
      <x:c r="G1105" s="20" t="n">
        <x:f>'Quarterly data'!$E$317</x:f>
        <x:v>23648.9</x:v>
      </x:c>
      <x:c r="H1105" s="22" t="n">
        <x:f>100*F1105/G1105</x:f>
        <x:v>99.73698565260963</x:v>
      </x:c>
      <x:c r="I1105" s="24" t="n">
        <x:f>H1105/100-1</x:f>
        <x:v>-0.0026301434739036678</x:v>
      </x:c>
      <x:c r="J1105" s="26" t="n">
        <x:v>5</x:v>
      </x:c>
      <x:c r="K1105" s="7" t="b">
        <x:v>0</x:v>
      </x:c>
      <x:c r="L1105" s="2" t="str">
        <x:v>April 2026</x:v>
      </x:c>
      <x:c r="M1105" s="2" t="str">
        <x:v>https://datawrapper.dwcdn.net/wQR5S/23/dataset.csv</x:v>
      </x:c>
    </x:row>
    <x:row r="1106" ht="24" customHeight="1">
      <x:c r="A1106" s="2" t="str">
        <x:v>Ramp</x:v>
      </x:c>
      <x:c r="B1106" s="2" t="str">
        <x:v>Quartiles</x:v>
      </x:c>
      <x:c r="C1106" s="2" t="str">
        <x:v>Q1</x:v>
      </x:c>
      <x:c r="D1106" s="28" t="n">
        <x:v>45931</x:v>
      </x:c>
      <x:c r="E1106" s="2" t="str">
        <x:v>2025Q4</x:v>
      </x:c>
      <x:c r="F1106" s="20" t="n">
        <x:v>54676.1</x:v>
      </x:c>
      <x:c r="G1106" s="20" t="n">
        <x:f>'Quarterly data'!$E$314</x:f>
        <x:v>51302.6333333333</x:v>
      </x:c>
      <x:c r="H1106" s="22" t="n">
        <x:f>100*F1106/G1106</x:f>
        <x:v>106.57562087456206</x:v>
      </x:c>
      <x:c r="I1106" s="24" t="n">
        <x:f>H1106/100-1</x:f>
        <x:v>0.06575620874562071</x:v>
      </x:c>
      <x:c r="J1106" s="26" t="n">
        <x:v>5</x:v>
      </x:c>
      <x:c r="K1106" s="7" t="b">
        <x:v>0</x:v>
      </x:c>
      <x:c r="L1106" s="2" t="str">
        <x:v>April 2026</x:v>
      </x:c>
      <x:c r="M1106" s="2" t="str">
        <x:v>https://datawrapper.dwcdn.net/wQR5S/23/dataset.csv</x:v>
      </x:c>
    </x:row>
    <x:row r="1107" ht="24" customHeight="1">
      <x:c r="A1107" s="2" t="str">
        <x:v>Ramp</x:v>
      </x:c>
      <x:c r="B1107" s="2" t="str">
        <x:v>Quartiles</x:v>
      </x:c>
      <x:c r="C1107" s="2" t="str">
        <x:v>Q2</x:v>
      </x:c>
      <x:c r="D1107" s="28" t="n">
        <x:v>45931</x:v>
      </x:c>
      <x:c r="E1107" s="2" t="str">
        <x:v>2025Q4</x:v>
      </x:c>
      <x:c r="F1107" s="20" t="n">
        <x:v>25070.2</x:v>
      </x:c>
      <x:c r="G1107" s="20" t="n">
        <x:f>'Quarterly data'!$E$315</x:f>
        <x:v>25190.5666666667</x:v>
      </x:c>
      <x:c r="H1107" s="22" t="n">
        <x:f>100*F1107/G1107</x:f>
        <x:v>99.52217562923674</x:v>
      </x:c>
      <x:c r="I1107" s="24" t="n">
        <x:f>H1107/100-1</x:f>
        <x:v>-0.004778243707632579</x:v>
      </x:c>
      <x:c r="J1107" s="26" t="n">
        <x:v>4</x:v>
      </x:c>
      <x:c r="K1107" s="7" t="b">
        <x:v>0</x:v>
      </x:c>
      <x:c r="L1107" s="2" t="str">
        <x:v>April 2026</x:v>
      </x:c>
      <x:c r="M1107" s="2" t="str">
        <x:v>https://datawrapper.dwcdn.net/wQR5S/23/dataset.csv</x:v>
      </x:c>
    </x:row>
    <x:row r="1108" ht="24" customHeight="1">
      <x:c r="A1108" s="2" t="str">
        <x:v>Ramp</x:v>
      </x:c>
      <x:c r="B1108" s="2" t="str">
        <x:v>Quartiles</x:v>
      </x:c>
      <x:c r="C1108" s="2" t="str">
        <x:v>Q3</x:v>
      </x:c>
      <x:c r="D1108" s="28" t="n">
        <x:v>45931</x:v>
      </x:c>
      <x:c r="E1108" s="2" t="str">
        <x:v>2025Q4</x:v>
      </x:c>
      <x:c r="F1108" s="20" t="n">
        <x:v>31660.7</x:v>
      </x:c>
      <x:c r="G1108" s="20" t="n">
        <x:f>'Quarterly data'!$E$316</x:f>
        <x:v>32270.7333333333</x:v>
      </x:c>
      <x:c r="H1108" s="22" t="n">
        <x:f>100*F1108/G1108</x:f>
        <x:v>98.10963907441428</x:v>
      </x:c>
      <x:c r="I1108" s="24" t="n">
        <x:f>H1108/100-1</x:f>
        <x:v>-0.018903609255857212</x:v>
      </x:c>
      <x:c r="J1108" s="26" t="n">
        <x:v>4</x:v>
      </x:c>
      <x:c r="K1108" s="7" t="b">
        <x:v>0</x:v>
      </x:c>
      <x:c r="L1108" s="2" t="str">
        <x:v>April 2026</x:v>
      </x:c>
      <x:c r="M1108" s="2" t="str">
        <x:v>https://datawrapper.dwcdn.net/wQR5S/23/dataset.csv</x:v>
      </x:c>
    </x:row>
    <x:row r="1109" ht="24" customHeight="1">
      <x:c r="A1109" s="2" t="str">
        <x:v>Ramp</x:v>
      </x:c>
      <x:c r="B1109" s="2" t="str">
        <x:v>Quartiles</x:v>
      </x:c>
      <x:c r="C1109" s="2" t="str">
        <x:v>Q4</x:v>
      </x:c>
      <x:c r="D1109" s="28" t="n">
        <x:v>45931</x:v>
      </x:c>
      <x:c r="E1109" s="2" t="str">
        <x:v>2025Q4</x:v>
      </x:c>
      <x:c r="F1109" s="20" t="n">
        <x:v>23572</x:v>
      </x:c>
      <x:c r="G1109" s="20" t="n">
        <x:f>'Quarterly data'!$E$317</x:f>
        <x:v>23648.9</x:v>
      </x:c>
      <x:c r="H1109" s="22" t="n">
        <x:f>100*F1109/G1109</x:f>
        <x:v>99.67482631327461</x:v>
      </x:c>
      <x:c r="I1109" s="24" t="n">
        <x:f>H1109/100-1</x:f>
        <x:v>-0.003251736867253885</x:v>
      </x:c>
      <x:c r="J1109" s="26" t="n">
        <x:v>5</x:v>
      </x:c>
      <x:c r="K1109" s="7" t="b">
        <x:v>0</x:v>
      </x:c>
      <x:c r="L1109" s="2" t="str">
        <x:v>April 2026</x:v>
      </x:c>
      <x:c r="M1109" s="2" t="str">
        <x:v>https://datawrapper.dwcdn.net/wQR5S/23/dataset.csv</x:v>
      </x:c>
    </x:row>
    <x:row r="1110" ht="24" customHeight="1">
      <x:c r="A1110" s="2" t="str">
        <x:v>Ramp</x:v>
      </x:c>
      <x:c r="B1110" s="2" t="str">
        <x:v>Quartiles</x:v>
      </x:c>
      <x:c r="C1110" s="2" t="str">
        <x:v>Q1</x:v>
      </x:c>
      <x:c r="D1110" s="28" t="n">
        <x:v>45962</x:v>
      </x:c>
      <x:c r="E1110" s="2" t="str">
        <x:v>2025Q4</x:v>
      </x:c>
      <x:c r="F1110" s="20" t="n">
        <x:v>54776.1</x:v>
      </x:c>
      <x:c r="G1110" s="20" t="n">
        <x:f>'Quarterly data'!$E$314</x:f>
        <x:v>51302.6333333333</x:v>
      </x:c>
      <x:c r="H1110" s="22" t="n">
        <x:f>100*F1110/G1110</x:f>
        <x:v>106.77054264271041</x:v>
      </x:c>
      <x:c r="I1110" s="24" t="n">
        <x:f>H1110/100-1</x:f>
        <x:v>0.0677054264271042</x:v>
      </x:c>
      <x:c r="J1110" s="26" t="n">
        <x:v>5</x:v>
      </x:c>
      <x:c r="K1110" s="7" t="b">
        <x:v>0</x:v>
      </x:c>
      <x:c r="L1110" s="2" t="str">
        <x:v>April 2026</x:v>
      </x:c>
      <x:c r="M1110" s="2" t="str">
        <x:v>https://datawrapper.dwcdn.net/wQR5S/23/dataset.csv</x:v>
      </x:c>
    </x:row>
    <x:row r="1111" ht="24" customHeight="1">
      <x:c r="A1111" s="2" t="str">
        <x:v>Ramp</x:v>
      </x:c>
      <x:c r="B1111" s="2" t="str">
        <x:v>Quartiles</x:v>
      </x:c>
      <x:c r="C1111" s="2" t="str">
        <x:v>Q2</x:v>
      </x:c>
      <x:c r="D1111" s="28" t="n">
        <x:v>45962</x:v>
      </x:c>
      <x:c r="E1111" s="2" t="str">
        <x:v>2025Q4</x:v>
      </x:c>
      <x:c r="F1111" s="20" t="n">
        <x:v>25013.9</x:v>
      </x:c>
      <x:c r="G1111" s="20" t="n">
        <x:f>'Quarterly data'!$E$315</x:f>
        <x:v>25190.5666666667</x:v>
      </x:c>
      <x:c r="H1111" s="22" t="n">
        <x:f>100*F1111/G1111</x:f>
        <x:v>99.29867926750345</x:v>
      </x:c>
      <x:c r="I1111" s="24" t="n">
        <x:f>H1111/100-1</x:f>
        <x:v>-0.007013207324965576</x:v>
      </x:c>
      <x:c r="J1111" s="26" t="n">
        <x:v>4</x:v>
      </x:c>
      <x:c r="K1111" s="7" t="b">
        <x:v>0</x:v>
      </x:c>
      <x:c r="L1111" s="2" t="str">
        <x:v>April 2026</x:v>
      </x:c>
      <x:c r="M1111" s="2" t="str">
        <x:v>https://datawrapper.dwcdn.net/wQR5S/23/dataset.csv</x:v>
      </x:c>
    </x:row>
    <x:row r="1112" ht="24" customHeight="1">
      <x:c r="A1112" s="2" t="str">
        <x:v>Ramp</x:v>
      </x:c>
      <x:c r="B1112" s="2" t="str">
        <x:v>Quartiles</x:v>
      </x:c>
      <x:c r="C1112" s="2" t="str">
        <x:v>Q3</x:v>
      </x:c>
      <x:c r="D1112" s="28" t="n">
        <x:v>45962</x:v>
      </x:c>
      <x:c r="E1112" s="2" t="str">
        <x:v>2025Q4</x:v>
      </x:c>
      <x:c r="F1112" s="20" t="n">
        <x:v>31658.4</x:v>
      </x:c>
      <x:c r="G1112" s="20" t="n">
        <x:f>'Quarterly data'!$E$316</x:f>
        <x:v>32270.7333333333</x:v>
      </x:c>
      <x:c r="H1112" s="22" t="n">
        <x:f>100*F1112/G1112</x:f>
        <x:v>98.10251187350364</x:v>
      </x:c>
      <x:c r="I1112" s="24" t="n">
        <x:f>H1112/100-1</x:f>
        <x:v>-0.018974881264963606</x:v>
      </x:c>
      <x:c r="J1112" s="26" t="n">
        <x:v>4</x:v>
      </x:c>
      <x:c r="K1112" s="7" t="b">
        <x:v>0</x:v>
      </x:c>
      <x:c r="L1112" s="2" t="str">
        <x:v>April 2026</x:v>
      </x:c>
      <x:c r="M1112" s="2" t="str">
        <x:v>https://datawrapper.dwcdn.net/wQR5S/23/dataset.csv</x:v>
      </x:c>
    </x:row>
    <x:row r="1113" ht="24" customHeight="1">
      <x:c r="A1113" s="2" t="str">
        <x:v>Ramp</x:v>
      </x:c>
      <x:c r="B1113" s="2" t="str">
        <x:v>Quartiles</x:v>
      </x:c>
      <x:c r="C1113" s="2" t="str">
        <x:v>Q4</x:v>
      </x:c>
      <x:c r="D1113" s="28" t="n">
        <x:v>45962</x:v>
      </x:c>
      <x:c r="E1113" s="2" t="str">
        <x:v>2025Q4</x:v>
      </x:c>
      <x:c r="F1113" s="20" t="n">
        <x:v>23604.3</x:v>
      </x:c>
      <x:c r="G1113" s="20" t="n">
        <x:f>'Quarterly data'!$E$317</x:f>
        <x:v>23648.9</x:v>
      </x:c>
      <x:c r="H1113" s="22" t="n">
        <x:f>100*F1113/G1113</x:f>
        <x:v>99.81140771875224</x:v>
      </x:c>
      <x:c r="I1113" s="24" t="n">
        <x:f>H1113/100-1</x:f>
        <x:v>-0.0018859228124776806</x:v>
      </x:c>
      <x:c r="J1113" s="26" t="n">
        <x:v>5</x:v>
      </x:c>
      <x:c r="K1113" s="7" t="b">
        <x:v>0</x:v>
      </x:c>
      <x:c r="L1113" s="2" t="str">
        <x:v>April 2026</x:v>
      </x:c>
      <x:c r="M1113" s="2" t="str">
        <x:v>https://datawrapper.dwcdn.net/wQR5S/23/dataset.csv</x:v>
      </x:c>
    </x:row>
    <x:row r="1114" ht="24" customHeight="1">
      <x:c r="A1114" s="2" t="str">
        <x:v>Ramp</x:v>
      </x:c>
      <x:c r="B1114" s="2" t="str">
        <x:v>Quartiles</x:v>
      </x:c>
      <x:c r="C1114" s="2" t="str">
        <x:v>Q1</x:v>
      </x:c>
      <x:c r="D1114" s="28" t="n">
        <x:v>45992</x:v>
      </x:c>
      <x:c r="E1114" s="2" t="str">
        <x:v>2025Q4</x:v>
      </x:c>
      <x:c r="F1114" s="20" t="n">
        <x:v>54843.8</x:v>
      </x:c>
      <x:c r="G1114" s="20" t="n">
        <x:f>'Quarterly data'!$E$314</x:f>
        <x:v>51302.6333333333</x:v>
      </x:c>
      <x:c r="H1114" s="22" t="n">
        <x:f>100*F1114/G1114</x:f>
        <x:v>106.90250467974685</x:v>
      </x:c>
      <x:c r="I1114" s="24" t="n">
        <x:f>H1114/100-1</x:f>
        <x:v>0.06902504679746846</x:v>
      </x:c>
      <x:c r="J1114" s="26" t="n">
        <x:v>5</x:v>
      </x:c>
      <x:c r="K1114" s="7" t="b">
        <x:v>0</x:v>
      </x:c>
      <x:c r="L1114" s="2" t="str">
        <x:v>April 2026</x:v>
      </x:c>
      <x:c r="M1114" s="2" t="str">
        <x:v>https://datawrapper.dwcdn.net/wQR5S/23/dataset.csv</x:v>
      </x:c>
    </x:row>
    <x:row r="1115" ht="24" customHeight="1">
      <x:c r="A1115" s="2" t="str">
        <x:v>Ramp</x:v>
      </x:c>
      <x:c r="B1115" s="2" t="str">
        <x:v>Quartiles</x:v>
      </x:c>
      <x:c r="C1115" s="2" t="str">
        <x:v>Q2</x:v>
      </x:c>
      <x:c r="D1115" s="28" t="n">
        <x:v>45992</x:v>
      </x:c>
      <x:c r="E1115" s="2" t="str">
        <x:v>2025Q4</x:v>
      </x:c>
      <x:c r="F1115" s="20" t="n">
        <x:v>24986.9</x:v>
      </x:c>
      <x:c r="G1115" s="20" t="n">
        <x:f>'Quarterly data'!$E$315</x:f>
        <x:v>25190.5666666667</x:v>
      </x:c>
      <x:c r="H1115" s="22" t="n">
        <x:f>100*F1115/G1115</x:f>
        <x:v>99.19149628763135</x:v>
      </x:c>
      <x:c r="I1115" s="24" t="n">
        <x:f>H1115/100-1</x:f>
        <x:v>-0.008085037123686467</x:v>
      </x:c>
      <x:c r="J1115" s="26" t="n">
        <x:v>4</x:v>
      </x:c>
      <x:c r="K1115" s="7" t="b">
        <x:v>0</x:v>
      </x:c>
      <x:c r="L1115" s="2" t="str">
        <x:v>April 2026</x:v>
      </x:c>
      <x:c r="M1115" s="2" t="str">
        <x:v>https://datawrapper.dwcdn.net/wQR5S/23/dataset.csv</x:v>
      </x:c>
    </x:row>
    <x:row r="1116" ht="24" customHeight="1">
      <x:c r="A1116" s="2" t="str">
        <x:v>Ramp</x:v>
      </x:c>
      <x:c r="B1116" s="2" t="str">
        <x:v>Quartiles</x:v>
      </x:c>
      <x:c r="C1116" s="2" t="str">
        <x:v>Q3</x:v>
      </x:c>
      <x:c r="D1116" s="28" t="n">
        <x:v>45992</x:v>
      </x:c>
      <x:c r="E1116" s="2" t="str">
        <x:v>2025Q4</x:v>
      </x:c>
      <x:c r="F1116" s="20" t="n">
        <x:v>31626.8</x:v>
      </x:c>
      <x:c r="G1116" s="20" t="n">
        <x:f>'Quarterly data'!$E$316</x:f>
        <x:v>32270.7333333333</x:v>
      </x:c>
      <x:c r="H1116" s="22" t="n">
        <x:f>100*F1116/G1116</x:f>
        <x:v>98.0045903305576</x:v>
      </x:c>
      <x:c r="I1116" s="24" t="n">
        <x:f>H1116/100-1</x:f>
        <x:v>-0.01995409669442394</x:v>
      </x:c>
      <x:c r="J1116" s="26" t="n">
        <x:v>4</x:v>
      </x:c>
      <x:c r="K1116" s="7" t="b">
        <x:v>0</x:v>
      </x:c>
      <x:c r="L1116" s="2" t="str">
        <x:v>April 2026</x:v>
      </x:c>
      <x:c r="M1116" s="2" t="str">
        <x:v>https://datawrapper.dwcdn.net/wQR5S/23/dataset.csv</x:v>
      </x:c>
    </x:row>
    <x:row r="1117" ht="24" customHeight="1">
      <x:c r="A1117" s="2" t="str">
        <x:v>Ramp</x:v>
      </x:c>
      <x:c r="B1117" s="2" t="str">
        <x:v>Quartiles</x:v>
      </x:c>
      <x:c r="C1117" s="2" t="str">
        <x:v>Q4</x:v>
      </x:c>
      <x:c r="D1117" s="28" t="n">
        <x:v>45992</x:v>
      </x:c>
      <x:c r="E1117" s="2" t="str">
        <x:v>2025Q4</x:v>
      </x:c>
      <x:c r="F1117" s="20" t="n">
        <x:v>23587.3</x:v>
      </x:c>
      <x:c r="G1117" s="20" t="n">
        <x:f>'Quarterly data'!$E$317</x:f>
        <x:v>23648.9</x:v>
      </x:c>
      <x:c r="H1117" s="22" t="n">
        <x:f>100*F1117/G1117</x:f>
        <x:v>99.73952276850085</x:v>
      </x:c>
      <x:c r="I1117" s="24" t="n">
        <x:f>H1117/100-1</x:f>
        <x:v>-0.002604772314991566</x:v>
      </x:c>
      <x:c r="J1117" s="26" t="n">
        <x:v>5</x:v>
      </x:c>
      <x:c r="K1117" s="7" t="b">
        <x:v>0</x:v>
      </x:c>
      <x:c r="L1117" s="2" t="str">
        <x:v>April 2026</x:v>
      </x:c>
      <x:c r="M1117" s="2" t="str">
        <x:v>https://datawrapper.dwcdn.net/wQR5S/23/dataset.csv</x:v>
      </x:c>
    </x:row>
    <x:row r="1118" ht="24" customHeight="1">
      <x:c r="A1118" s="2" t="str">
        <x:v>Ramp</x:v>
      </x:c>
      <x:c r="B1118" s="2" t="str">
        <x:v>Quartiles</x:v>
      </x:c>
      <x:c r="C1118" s="2" t="str">
        <x:v>Q1</x:v>
      </x:c>
      <x:c r="D1118" s="28" t="n">
        <x:v>46023</x:v>
      </x:c>
      <x:c r="E1118" s="2" t="str">
        <x:v>2026Q1</x:v>
      </x:c>
      <x:c r="F1118" s="20" t="n">
        <x:v>55002.9</x:v>
      </x:c>
      <x:c r="G1118" s="20" t="n">
        <x:f>'Quarterly data'!$E$314</x:f>
        <x:v>51302.6333333333</x:v>
      </x:c>
      <x:c r="H1118" s="22" t="n">
        <x:f>100*F1118/G1118</x:f>
        <x:v>107.21262521287088</x:v>
      </x:c>
      <x:c r="I1118" s="24" t="n">
        <x:f>H1118/100-1</x:f>
        <x:v>0.07212625212870871</x:v>
      </x:c>
      <x:c r="J1118" s="26" t="n">
        <x:v>5</x:v>
      </x:c>
      <x:c r="K1118" s="7" t="b">
        <x:v>0</x:v>
      </x:c>
      <x:c r="L1118" s="2" t="str">
        <x:v>April 2026</x:v>
      </x:c>
      <x:c r="M1118" s="2" t="str">
        <x:v>https://datawrapper.dwcdn.net/wQR5S/23/dataset.csv</x:v>
      </x:c>
    </x:row>
    <x:row r="1119" ht="24" customHeight="1">
      <x:c r="A1119" s="2" t="str">
        <x:v>Ramp</x:v>
      </x:c>
      <x:c r="B1119" s="2" t="str">
        <x:v>Quartiles</x:v>
      </x:c>
      <x:c r="C1119" s="2" t="str">
        <x:v>Q2</x:v>
      </x:c>
      <x:c r="D1119" s="28" t="n">
        <x:v>46023</x:v>
      </x:c>
      <x:c r="E1119" s="2" t="str">
        <x:v>2026Q1</x:v>
      </x:c>
      <x:c r="F1119" s="20" t="n">
        <x:v>25006</x:v>
      </x:c>
      <x:c r="G1119" s="20" t="n">
        <x:f>'Quarterly data'!$E$315</x:f>
        <x:v>25190.5666666667</x:v>
      </x:c>
      <x:c r="H1119" s="22" t="n">
        <x:f>100*F1119/G1119</x:f>
        <x:v>99.26731832154087</x:v>
      </x:c>
      <x:c r="I1119" s="24" t="n">
        <x:f>H1119/100-1</x:f>
        <x:v>-0.00732681678459135</x:v>
      </x:c>
      <x:c r="J1119" s="26" t="n">
        <x:v>4</x:v>
      </x:c>
      <x:c r="K1119" s="7" t="b">
        <x:v>0</x:v>
      </x:c>
      <x:c r="L1119" s="2" t="str">
        <x:v>April 2026</x:v>
      </x:c>
      <x:c r="M1119" s="2" t="str">
        <x:v>https://datawrapper.dwcdn.net/wQR5S/23/dataset.csv</x:v>
      </x:c>
    </x:row>
    <x:row r="1120" ht="24" customHeight="1">
      <x:c r="A1120" s="2" t="str">
        <x:v>Ramp</x:v>
      </x:c>
      <x:c r="B1120" s="2" t="str">
        <x:v>Quartiles</x:v>
      </x:c>
      <x:c r="C1120" s="2" t="str">
        <x:v>Q3</x:v>
      </x:c>
      <x:c r="D1120" s="28" t="n">
        <x:v>46023</x:v>
      </x:c>
      <x:c r="E1120" s="2" t="str">
        <x:v>2026Q1</x:v>
      </x:c>
      <x:c r="F1120" s="20" t="n">
        <x:v>31676.8</x:v>
      </x:c>
      <x:c r="G1120" s="20" t="n">
        <x:f>'Quarterly data'!$E$316</x:f>
        <x:v>32270.7333333333</x:v>
      </x:c>
      <x:c r="H1120" s="22" t="n">
        <x:f>100*F1120/G1120</x:f>
        <x:v>98.15952948078868</x:v>
      </x:c>
      <x:c r="I1120" s="24" t="n">
        <x:f>H1120/100-1</x:f>
        <x:v>-0.018404705192113235</x:v>
      </x:c>
      <x:c r="J1120" s="26" t="n">
        <x:v>4</x:v>
      </x:c>
      <x:c r="K1120" s="7" t="b">
        <x:v>0</x:v>
      </x:c>
      <x:c r="L1120" s="2" t="str">
        <x:v>April 2026</x:v>
      </x:c>
      <x:c r="M1120" s="2" t="str">
        <x:v>https://datawrapper.dwcdn.net/wQR5S/23/dataset.csv</x:v>
      </x:c>
    </x:row>
    <x:row r="1121" ht="24" customHeight="1">
      <x:c r="A1121" s="2" t="str">
        <x:v>Ramp</x:v>
      </x:c>
      <x:c r="B1121" s="2" t="str">
        <x:v>Quartiles</x:v>
      </x:c>
      <x:c r="C1121" s="2" t="str">
        <x:v>Q4</x:v>
      </x:c>
      <x:c r="D1121" s="28" t="n">
        <x:v>46023</x:v>
      </x:c>
      <x:c r="E1121" s="2" t="str">
        <x:v>2026Q1</x:v>
      </x:c>
      <x:c r="F1121" s="20" t="n">
        <x:v>23540.1</x:v>
      </x:c>
      <x:c r="G1121" s="20" t="n">
        <x:f>'Quarterly data'!$E$317</x:f>
        <x:v>23648.9</x:v>
      </x:c>
      <x:c r="H1121" s="22" t="n">
        <x:f>100*F1121/G1121</x:f>
        <x:v>99.53993631839113</x:v>
      </x:c>
      <x:c r="I1121" s="24" t="n">
        <x:f>H1121/100-1</x:f>
        <x:v>-0.004600636816088688</x:v>
      </x:c>
      <x:c r="J1121" s="26" t="n">
        <x:v>5</x:v>
      </x:c>
      <x:c r="K1121" s="7" t="b">
        <x:v>0</x:v>
      </x:c>
      <x:c r="L1121" s="2" t="str">
        <x:v>April 2026</x:v>
      </x:c>
      <x:c r="M1121" s="2" t="str">
        <x:v>https://datawrapper.dwcdn.net/wQR5S/23/dataset.csv</x:v>
      </x:c>
    </x:row>
    <x:row r="1122" ht="24" customHeight="1">
      <x:c r="A1122" s="2" t="str">
        <x:v>Ramp</x:v>
      </x:c>
      <x:c r="B1122" s="2" t="str">
        <x:v>Quartiles</x:v>
      </x:c>
      <x:c r="C1122" s="2" t="str">
        <x:v>Q1</x:v>
      </x:c>
      <x:c r="D1122" s="28" t="n">
        <x:v>46054</x:v>
      </x:c>
      <x:c r="E1122" s="2" t="str">
        <x:v>2026Q1</x:v>
      </x:c>
      <x:c r="F1122" s="20" t="n">
        <x:v>54927.4</x:v>
      </x:c>
      <x:c r="G1122" s="20" t="n">
        <x:f>'Quarterly data'!$E$314</x:f>
        <x:v>51302.6333333333</x:v>
      </x:c>
      <x:c r="H1122" s="22" t="n">
        <x:f>100*F1122/G1122</x:f>
        <x:v>107.06545927791888</x:v>
      </x:c>
      <x:c r="I1122" s="24" t="n">
        <x:f>H1122/100-1</x:f>
        <x:v>0.07065459277918884</x:v>
      </x:c>
      <x:c r="J1122" s="26" t="n">
        <x:v>5</x:v>
      </x:c>
      <x:c r="K1122" s="7" t="b">
        <x:v>0</x:v>
      </x:c>
      <x:c r="L1122" s="2" t="str">
        <x:v>April 2026</x:v>
      </x:c>
      <x:c r="M1122" s="2" t="str">
        <x:v>https://datawrapper.dwcdn.net/wQR5S/23/dataset.csv</x:v>
      </x:c>
    </x:row>
    <x:row r="1123" ht="24" customHeight="1">
      <x:c r="A1123" s="2" t="str">
        <x:v>Ramp</x:v>
      </x:c>
      <x:c r="B1123" s="2" t="str">
        <x:v>Quartiles</x:v>
      </x:c>
      <x:c r="C1123" s="2" t="str">
        <x:v>Q2</x:v>
      </x:c>
      <x:c r="D1123" s="28" t="n">
        <x:v>46054</x:v>
      </x:c>
      <x:c r="E1123" s="2" t="str">
        <x:v>2026Q1</x:v>
      </x:c>
      <x:c r="F1123" s="20" t="n">
        <x:v>24964.2</x:v>
      </x:c>
      <x:c r="G1123" s="20" t="n">
        <x:f>'Quarterly data'!$E$315</x:f>
        <x:v>25190.5666666667</x:v>
      </x:c>
      <x:c r="H1123" s="22" t="n">
        <x:f>100*F1123/G1123</x:f>
        <x:v>99.1013831897389</x:v>
      </x:c>
      <x:c r="I1123" s="24" t="n">
        <x:f>H1123/100-1</x:f>
        <x:v>-0.008986168102610992</x:v>
      </x:c>
      <x:c r="J1123" s="26" t="n">
        <x:v>4</x:v>
      </x:c>
      <x:c r="K1123" s="7" t="b">
        <x:v>0</x:v>
      </x:c>
      <x:c r="L1123" s="2" t="str">
        <x:v>April 2026</x:v>
      </x:c>
      <x:c r="M1123" s="2" t="str">
        <x:v>https://datawrapper.dwcdn.net/wQR5S/23/dataset.csv</x:v>
      </x:c>
    </x:row>
    <x:row r="1124" ht="24" customHeight="1">
      <x:c r="A1124" s="2" t="str">
        <x:v>Ramp</x:v>
      </x:c>
      <x:c r="B1124" s="2" t="str">
        <x:v>Quartiles</x:v>
      </x:c>
      <x:c r="C1124" s="2" t="str">
        <x:v>Q3</x:v>
      </x:c>
      <x:c r="D1124" s="28" t="n">
        <x:v>46054</x:v>
      </x:c>
      <x:c r="E1124" s="2" t="str">
        <x:v>2026Q1</x:v>
      </x:c>
      <x:c r="F1124" s="20" t="n">
        <x:v>31653.2</x:v>
      </x:c>
      <x:c r="G1124" s="20" t="n">
        <x:f>'Quarterly data'!$E$316</x:f>
        <x:v>32270.7333333333</x:v>
      </x:c>
      <x:c r="H1124" s="22" t="n">
        <x:f>100*F1124/G1124</x:f>
        <x:v>98.08639820187962</x:v>
      </x:c>
      <x:c r="I1124" s="24" t="n">
        <x:f>H1124/100-1</x:f>
        <x:v>-0.01913601798120379</x:v>
      </x:c>
      <x:c r="J1124" s="26" t="n">
        <x:v>4</x:v>
      </x:c>
      <x:c r="K1124" s="7" t="b">
        <x:v>0</x:v>
      </x:c>
      <x:c r="L1124" s="2" t="str">
        <x:v>April 2026</x:v>
      </x:c>
      <x:c r="M1124" s="2" t="str">
        <x:v>https://datawrapper.dwcdn.net/wQR5S/23/dataset.csv</x:v>
      </x:c>
    </x:row>
    <x:row r="1125" ht="24" customHeight="1">
      <x:c r="A1125" s="2" t="str">
        <x:v>Ramp</x:v>
      </x:c>
      <x:c r="B1125" s="2" t="str">
        <x:v>Quartiles</x:v>
      </x:c>
      <x:c r="C1125" s="2" t="str">
        <x:v>Q4</x:v>
      </x:c>
      <x:c r="D1125" s="28" t="n">
        <x:v>46054</x:v>
      </x:c>
      <x:c r="E1125" s="2" t="str">
        <x:v>2026Q1</x:v>
      </x:c>
      <x:c r="F1125" s="20" t="n">
        <x:v>23534</x:v>
      </x:c>
      <x:c r="G1125" s="20" t="n">
        <x:f>'Quarterly data'!$E$317</x:f>
        <x:v>23648.9</x:v>
      </x:c>
      <x:c r="H1125" s="22" t="n">
        <x:f>100*F1125/G1125</x:f>
        <x:v>99.51414230683034</x:v>
      </x:c>
      <x:c r="I1125" s="24" t="n">
        <x:f>H1125/100-1</x:f>
        <x:v>-0.004858576931696668</x:v>
      </x:c>
      <x:c r="J1125" s="26" t="n">
        <x:v>5</x:v>
      </x:c>
      <x:c r="K1125" s="7" t="b">
        <x:v>0</x:v>
      </x:c>
      <x:c r="L1125" s="2" t="str">
        <x:v>April 2026</x:v>
      </x:c>
      <x:c r="M1125" s="2" t="str">
        <x:v>https://datawrapper.dwcdn.net/wQR5S/23/dataset.csv</x:v>
      </x:c>
    </x:row>
    <x:row r="1126" ht="24" customHeight="1">
      <x:c r="A1126" s="2" t="str">
        <x:v>Ramp</x:v>
      </x:c>
      <x:c r="B1126" s="2" t="str">
        <x:v>Quartiles</x:v>
      </x:c>
      <x:c r="C1126" s="2" t="str">
        <x:v>Q1</x:v>
      </x:c>
      <x:c r="D1126" s="28" t="n">
        <x:v>46082</x:v>
      </x:c>
      <x:c r="E1126" s="2" t="str">
        <x:v>2026Q1</x:v>
      </x:c>
      <x:c r="F1126" s="20" t="n">
        <x:v>55064.7</x:v>
      </x:c>
      <x:c r="G1126" s="20" t="n">
        <x:f>'Quarterly data'!$E$314</x:f>
        <x:v>51302.6333333333</x:v>
      </x:c>
      <x:c r="H1126" s="22" t="n">
        <x:f>100*F1126/G1126</x:f>
        <x:v>107.33308686558657</x:v>
      </x:c>
      <x:c r="I1126" s="24" t="n">
        <x:f>H1126/100-1</x:f>
        <x:v>0.07333086865586558</x:v>
      </x:c>
      <x:c r="J1126" s="26" t="n">
        <x:v>5</x:v>
      </x:c>
      <x:c r="K1126" s="7" t="b">
        <x:v>0</x:v>
      </x:c>
      <x:c r="L1126" s="2" t="str">
        <x:v>April 2026</x:v>
      </x:c>
      <x:c r="M1126" s="2" t="str">
        <x:v>https://datawrapper.dwcdn.net/wQR5S/23/dataset.csv</x:v>
      </x:c>
    </x:row>
    <x:row r="1127" ht="24" customHeight="1">
      <x:c r="A1127" s="2" t="str">
        <x:v>Ramp</x:v>
      </x:c>
      <x:c r="B1127" s="2" t="str">
        <x:v>Quartiles</x:v>
      </x:c>
      <x:c r="C1127" s="2" t="str">
        <x:v>Q2</x:v>
      </x:c>
      <x:c r="D1127" s="28" t="n">
        <x:v>46082</x:v>
      </x:c>
      <x:c r="E1127" s="2" t="str">
        <x:v>2026Q1</x:v>
      </x:c>
      <x:c r="F1127" s="20" t="n">
        <x:v>25002.9</x:v>
      </x:c>
      <x:c r="G1127" s="20" t="n">
        <x:f>'Quarterly data'!$E$315</x:f>
        <x:v>25190.5666666667</x:v>
      </x:c>
      <x:c r="H1127" s="22" t="n">
        <x:f>100*F1127/G1127</x:f>
        <x:v>99.25501212755556</x:v>
      </x:c>
      <x:c r="I1127" s="24" t="n">
        <x:f>H1127/100-1</x:f>
        <x:v>-0.007449878724444359</x:v>
      </x:c>
      <x:c r="J1127" s="26" t="n">
        <x:v>4</x:v>
      </x:c>
      <x:c r="K1127" s="7" t="b">
        <x:v>0</x:v>
      </x:c>
      <x:c r="L1127" s="2" t="str">
        <x:v>April 2026</x:v>
      </x:c>
      <x:c r="M1127" s="2" t="str">
        <x:v>https://datawrapper.dwcdn.net/wQR5S/23/dataset.csv</x:v>
      </x:c>
    </x:row>
    <x:row r="1128" ht="24" customHeight="1">
      <x:c r="A1128" s="2" t="str">
        <x:v>Ramp</x:v>
      </x:c>
      <x:c r="B1128" s="2" t="str">
        <x:v>Quartiles</x:v>
      </x:c>
      <x:c r="C1128" s="2" t="str">
        <x:v>Q3</x:v>
      </x:c>
      <x:c r="D1128" s="28" t="n">
        <x:v>46082</x:v>
      </x:c>
      <x:c r="E1128" s="2" t="str">
        <x:v>2026Q1</x:v>
      </x:c>
      <x:c r="F1128" s="20" t="n">
        <x:v>31713.5</x:v>
      </x:c>
      <x:c r="G1128" s="20" t="n">
        <x:f>'Quarterly data'!$E$316</x:f>
        <x:v>32270.7333333333</x:v>
      </x:c>
      <x:c r="H1128" s="22" t="n">
        <x:f>100*F1128/G1128</x:f>
        <x:v>98.27325481705827</x:v>
      </x:c>
      <x:c r="I1128" s="24" t="n">
        <x:f>H1128/100-1</x:f>
        <x:v>-0.017267451829417246</x:v>
      </x:c>
      <x:c r="J1128" s="26" t="n">
        <x:v>4</x:v>
      </x:c>
      <x:c r="K1128" s="7" t="b">
        <x:v>0</x:v>
      </x:c>
      <x:c r="L1128" s="2" t="str">
        <x:v>April 2026</x:v>
      </x:c>
      <x:c r="M1128" s="2" t="str">
        <x:v>https://datawrapper.dwcdn.net/wQR5S/23/dataset.csv</x:v>
      </x:c>
    </x:row>
    <x:row r="1129" ht="24" customHeight="1">
      <x:c r="A1129" s="2" t="str">
        <x:v>Ramp</x:v>
      </x:c>
      <x:c r="B1129" s="2" t="str">
        <x:v>Quartiles</x:v>
      </x:c>
      <x:c r="C1129" s="2" t="str">
        <x:v>Q4</x:v>
      </x:c>
      <x:c r="D1129" s="28" t="n">
        <x:v>46082</x:v>
      </x:c>
      <x:c r="E1129" s="2" t="str">
        <x:v>2026Q1</x:v>
      </x:c>
      <x:c r="F1129" s="20" t="n">
        <x:v>23498.6</x:v>
      </x:c>
      <x:c r="G1129" s="20" t="n">
        <x:f>'Quarterly data'!$E$317</x:f>
        <x:v>23648.9</x:v>
      </x:c>
      <x:c r="H1129" s="22" t="n">
        <x:f>100*F1129/G1129</x:f>
        <x:v>99.36445246924804</x:v>
      </x:c>
      <x:c r="I1129" s="24" t="n">
        <x:f>H1129/100-1</x:f>
        <x:v>-0.006355475307519676</x:v>
      </x:c>
      <x:c r="J1129" s="26" t="n">
        <x:v>5</x:v>
      </x:c>
      <x:c r="K1129" s="7" t="b">
        <x:v>0</x:v>
      </x:c>
      <x:c r="L1129" s="2" t="str">
        <x:v>April 2026</x:v>
      </x:c>
      <x:c r="M1129" s="2" t="str">
        <x:v>https://datawrapper.dwcdn.net/wQR5S/23/dataset.csv</x:v>
      </x:c>
    </x:row>
    <x:row r="1130" ht="24" customHeight="1">
      <x:c r="A1130" s="2" t="str">
        <x:v>Ramp</x:v>
      </x:c>
      <x:c r="B1130" s="2" t="str">
        <x:v>Quartiles</x:v>
      </x:c>
      <x:c r="C1130" s="2" t="str">
        <x:v>Q1</x:v>
      </x:c>
      <x:c r="D1130" s="28" t="n">
        <x:v>46113</x:v>
      </x:c>
      <x:c r="E1130" s="2" t="str">
        <x:v>2026Q2</x:v>
      </x:c>
      <x:c r="F1130" s="20" t="n">
        <x:v>55128.9</x:v>
      </x:c>
      <x:c r="G1130" s="20" t="n">
        <x:f>'Quarterly data'!$E$314</x:f>
        <x:v>51302.6333333333</x:v>
      </x:c>
      <x:c r="H1130" s="22" t="n">
        <x:f>100*F1130/G1130</x:f>
        <x:v>107.4582266407378</x:v>
      </x:c>
      <x:c r="I1130" s="24" t="n">
        <x:f>H1130/100-1</x:f>
        <x:v>0.07458226640737808</x:v>
      </x:c>
      <x:c r="J1130" s="26" t="n">
        <x:v>5</x:v>
      </x:c>
      <x:c r="K1130" s="7" t="b">
        <x:v>0</x:v>
      </x:c>
      <x:c r="L1130" s="2" t="str">
        <x:v>April 2026</x:v>
      </x:c>
      <x:c r="M1130" s="2" t="str">
        <x:v>https://datawrapper.dwcdn.net/wQR5S/23/dataset.csv</x:v>
      </x:c>
    </x:row>
    <x:row r="1131" ht="24" customHeight="1">
      <x:c r="A1131" s="2" t="str">
        <x:v>Ramp</x:v>
      </x:c>
      <x:c r="B1131" s="2" t="str">
        <x:v>Quartiles</x:v>
      </x:c>
      <x:c r="C1131" s="2" t="str">
        <x:v>Q2</x:v>
      </x:c>
      <x:c r="D1131" s="28" t="n">
        <x:v>46113</x:v>
      </x:c>
      <x:c r="E1131" s="2" t="str">
        <x:v>2026Q2</x:v>
      </x:c>
      <x:c r="F1131" s="20" t="n">
        <x:v>25065.8</x:v>
      </x:c>
      <x:c r="G1131" s="20" t="n">
        <x:f>'Quarterly data'!$E$315</x:f>
        <x:v>25190.5666666667</x:v>
      </x:c>
      <x:c r="H1131" s="22" t="n">
        <x:f>100*F1131/G1131</x:f>
        <x:v>99.50470877325759</x:v>
      </x:c>
      <x:c r="I1131" s="24" t="n">
        <x:f>H1131/100-1</x:f>
        <x:v>-0.004952912267424114</x:v>
      </x:c>
      <x:c r="J1131" s="26" t="n">
        <x:v>4</x:v>
      </x:c>
      <x:c r="K1131" s="7" t="b">
        <x:v>0</x:v>
      </x:c>
      <x:c r="L1131" s="2" t="str">
        <x:v>April 2026</x:v>
      </x:c>
      <x:c r="M1131" s="2" t="str">
        <x:v>https://datawrapper.dwcdn.net/wQR5S/23/dataset.csv</x:v>
      </x:c>
    </x:row>
    <x:row r="1132" ht="24" customHeight="1">
      <x:c r="A1132" s="2" t="str">
        <x:v>Ramp</x:v>
      </x:c>
      <x:c r="B1132" s="2" t="str">
        <x:v>Quartiles</x:v>
      </x:c>
      <x:c r="C1132" s="2" t="str">
        <x:v>Q3</x:v>
      </x:c>
      <x:c r="D1132" s="28" t="n">
        <x:v>46113</x:v>
      </x:c>
      <x:c r="E1132" s="2" t="str">
        <x:v>2026Q2</x:v>
      </x:c>
      <x:c r="F1132" s="20" t="n">
        <x:v>31731.2</x:v>
      </x:c>
      <x:c r="G1132" s="20" t="n">
        <x:f>'Quarterly data'!$E$316</x:f>
        <x:v>32270.7333333333</x:v>
      </x:c>
      <x:c r="H1132" s="22" t="n">
        <x:f>100*F1132/G1132</x:f>
        <x:v>98.32810327624007</x:v>
      </x:c>
      <x:c r="I1132" s="24" t="n">
        <x:f>H1132/100-1</x:f>
        <x:v>-0.016718967237599247</x:v>
      </x:c>
      <x:c r="J1132" s="26" t="n">
        <x:v>4</x:v>
      </x:c>
      <x:c r="K1132" s="7" t="b">
        <x:v>0</x:v>
      </x:c>
      <x:c r="L1132" s="2" t="str">
        <x:v>April 2026</x:v>
      </x:c>
      <x:c r="M1132" s="2" t="str">
        <x:v>https://datawrapper.dwcdn.net/wQR5S/23/dataset.csv</x:v>
      </x:c>
    </x:row>
    <x:row r="1133" ht="24" customHeight="1">
      <x:c r="A1133" s="2" t="str">
        <x:v>Ramp</x:v>
      </x:c>
      <x:c r="B1133" s="2" t="str">
        <x:v>Quartiles</x:v>
      </x:c>
      <x:c r="C1133" s="2" t="str">
        <x:v>Q4</x:v>
      </x:c>
      <x:c r="D1133" s="28" t="n">
        <x:v>46113</x:v>
      </x:c>
      <x:c r="E1133" s="2" t="str">
        <x:v>2026Q2</x:v>
      </x:c>
      <x:c r="F1133" s="20" t="n">
        <x:v>23500.9</x:v>
      </x:c>
      <x:c r="G1133" s="20" t="n">
        <x:f>'Quarterly data'!$E$317</x:f>
        <x:v>23648.9</x:v>
      </x:c>
      <x:c r="H1133" s="22" t="n">
        <x:f>100*F1133/G1133</x:f>
        <x:v>99.3741780801644</x:v>
      </x:c>
      <x:c r="I1133" s="24" t="n">
        <x:f>H1133/100-1</x:f>
        <x:v>-0.006258219198356008</x:v>
      </x:c>
      <x:c r="J1133" s="26" t="n">
        <x:v>5</x:v>
      </x:c>
      <x:c r="K1133" s="7" t="b">
        <x:v>0</x:v>
      </x:c>
      <x:c r="L1133" s="2" t="str">
        <x:v>April 2026</x:v>
      </x:c>
      <x:c r="M1133" s="2" t="str">
        <x:v>https://datawrapper.dwcdn.net/wQR5S/23/dataset.csv</x:v>
      </x:c>
    </x:row>
    <x:row r="1134" ht="24" customHeight="1">
      <x:c r="A1134" s="2" t="str">
        <x:v>Ramp</x:v>
      </x:c>
      <x:c r="B1134" s="2" t="str">
        <x:v>Quartiles</x:v>
      </x:c>
      <x:c r="C1134" s="2" t="str">
        <x:v>Q1</x:v>
      </x:c>
      <x:c r="D1134" s="28" t="n">
        <x:v>46143</x:v>
      </x:c>
      <x:c r="E1134" s="2" t="str">
        <x:v>2026Q2</x:v>
      </x:c>
      <x:c r="F1134" s="20" t="n">
        <x:v>55209.1</x:v>
      </x:c>
      <x:c r="G1134" s="20" t="n">
        <x:f>'Quarterly data'!$E$314</x:f>
        <x:v>51302.6333333333</x:v>
      </x:c>
      <x:c r="H1134" s="22" t="n">
        <x:f>100*F1134/G1134</x:f>
        <x:v>107.61455389879278</x:v>
      </x:c>
      <x:c r="I1134" s="24" t="n">
        <x:f>H1134/100-1</x:f>
        <x:v>0.07614553898792775</x:v>
      </x:c>
      <x:c r="J1134" s="26" t="n">
        <x:v>5</x:v>
      </x:c>
      <x:c r="K1134" s="7" t="b">
        <x:v>0</x:v>
      </x:c>
      <x:c r="L1134" s="2" t="str">
        <x:v>April 2026</x:v>
      </x:c>
      <x:c r="M1134" s="2" t="str">
        <x:v>https://datawrapper.dwcdn.net/wQR5S/23/dataset.csv</x:v>
      </x:c>
    </x:row>
    <x:row r="1135" ht="24" customHeight="1">
      <x:c r="A1135" s="2" t="str">
        <x:v>Ramp</x:v>
      </x:c>
      <x:c r="B1135" s="2" t="str">
        <x:v>Quartiles</x:v>
      </x:c>
      <x:c r="C1135" s="2" t="str">
        <x:v>Q2</x:v>
      </x:c>
      <x:c r="D1135" s="28" t="n">
        <x:v>46143</x:v>
      </x:c>
      <x:c r="E1135" s="2" t="str">
        <x:v>2026Q2</x:v>
      </x:c>
      <x:c r="F1135" s="20" t="n">
        <x:v>25073.5</x:v>
      </x:c>
      <x:c r="G1135" s="20" t="n">
        <x:f>'Quarterly data'!$E$315</x:f>
        <x:v>25190.5666666667</x:v>
      </x:c>
      <x:c r="H1135" s="22" t="n">
        <x:f>100*F1135/G1135</x:f>
        <x:v>99.53527577122111</x:v>
      </x:c>
      <x:c r="I1135" s="24" t="n">
        <x:f>H1135/100-1</x:f>
        <x:v>-0.0046472422877889</x:v>
      </x:c>
      <x:c r="J1135" s="26" t="n">
        <x:v>4</x:v>
      </x:c>
      <x:c r="K1135" s="7" t="b">
        <x:v>0</x:v>
      </x:c>
      <x:c r="L1135" s="2" t="str">
        <x:v>April 2026</x:v>
      </x:c>
      <x:c r="M1135" s="2" t="str">
        <x:v>https://datawrapper.dwcdn.net/wQR5S/23/dataset.csv</x:v>
      </x:c>
    </x:row>
    <x:row r="1136" ht="24" customHeight="1">
      <x:c r="A1136" s="2" t="str">
        <x:v>Ramp</x:v>
      </x:c>
      <x:c r="B1136" s="2" t="str">
        <x:v>Quartiles</x:v>
      </x:c>
      <x:c r="C1136" s="2" t="str">
        <x:v>Q3</x:v>
      </x:c>
      <x:c r="D1136" s="28" t="n">
        <x:v>46143</x:v>
      </x:c>
      <x:c r="E1136" s="2" t="str">
        <x:v>2026Q2</x:v>
      </x:c>
      <x:c r="F1136" s="20" t="n">
        <x:v>31716.4</x:v>
      </x:c>
      <x:c r="G1136" s="20" t="n">
        <x:f>'Quarterly data'!$E$316</x:f>
        <x:v>32270.7333333333</x:v>
      </x:c>
      <x:c r="H1136" s="22" t="n">
        <x:f>100*F1136/G1136</x:f>
        <x:v>98.28224128777168</x:v>
      </x:c>
      <x:c r="I1136" s="24" t="n">
        <x:f>H1136/100-1</x:f>
        <x:v>-0.017177587122283122</x:v>
      </x:c>
      <x:c r="J1136" s="26" t="n">
        <x:v>4</x:v>
      </x:c>
      <x:c r="K1136" s="7" t="b">
        <x:v>0</x:v>
      </x:c>
      <x:c r="L1136" s="2" t="str">
        <x:v>April 2026</x:v>
      </x:c>
      <x:c r="M1136" s="2" t="str">
        <x:v>https://datawrapper.dwcdn.net/wQR5S/23/dataset.csv</x:v>
      </x:c>
    </x:row>
    <x:row r="1137" ht="24" customHeight="1">
      <x:c r="A1137" s="2" t="str">
        <x:v>Ramp</x:v>
      </x:c>
      <x:c r="B1137" s="2" t="str">
        <x:v>Quartiles</x:v>
      </x:c>
      <x:c r="C1137" s="2" t="str">
        <x:v>Q4</x:v>
      </x:c>
      <x:c r="D1137" s="28" t="n">
        <x:v>46143</x:v>
      </x:c>
      <x:c r="E1137" s="2" t="str">
        <x:v>2026Q2</x:v>
      </x:c>
      <x:c r="F1137" s="20" t="n">
        <x:v>23489.5</x:v>
      </x:c>
      <x:c r="G1137" s="20" t="n">
        <x:f>'Quarterly data'!$E$317</x:f>
        <x:v>23648.9</x:v>
      </x:c>
      <x:c r="H1137" s="22" t="n">
        <x:f>100*F1137/G1137</x:f>
        <x:v>99.32597287823111</x:v>
      </x:c>
      <x:c r="I1137" s="24" t="n">
        <x:f>H1137/100-1</x:f>
        <x:v>-0.006740271217688831</x:v>
      </x:c>
      <x:c r="J1137" s="26" t="n">
        <x:v>5</x:v>
      </x:c>
      <x:c r="K1137" s="7" t="b">
        <x:v>0</x:v>
      </x:c>
      <x:c r="L1137" s="2" t="str">
        <x:v>April 2026</x:v>
      </x:c>
      <x:c r="M1137" s="2" t="str">
        <x:v>https://datawrapper.dwcdn.net/wQR5S/23/dataset.csv</x:v>
      </x:c>
    </x:row>
    <x:row r="1138" ht="24" customHeight="1">
      <x:c r="A1138" s="2" t="str">
        <x:v>Ramp</x:v>
      </x:c>
      <x:c r="B1138" s="2" t="str">
        <x:v>Quartiles</x:v>
      </x:c>
      <x:c r="C1138" s="2" t="str">
        <x:v>Q1</x:v>
      </x:c>
      <x:c r="D1138" s="28" t="n">
        <x:v>46174</x:v>
      </x:c>
      <x:c r="E1138" s="2" t="str">
        <x:v>2026Q2</x:v>
      </x:c>
      <x:c r="F1138" s="20" t="n">
        <x:v>55190</x:v>
      </x:c>
      <x:c r="G1138" s="20" t="n">
        <x:f>'Quarterly data'!$E$314</x:f>
        <x:v>51302.6333333333</x:v>
      </x:c>
      <x:c r="H1138" s="22" t="n">
        <x:f>100*F1138/G1138</x:f>
        <x:v>107.57732384107645</x:v>
      </x:c>
      <x:c r="I1138" s="24" t="n">
        <x:f>H1138/100-1</x:f>
        <x:v>0.07577323841076455</x:v>
      </x:c>
      <x:c r="J1138" s="26" t="n">
        <x:v>5</x:v>
      </x:c>
      <x:c r="K1138" s="7" t="b">
        <x:v>0</x:v>
      </x:c>
      <x:c r="L1138" s="2" t="str">
        <x:v>April 2026</x:v>
      </x:c>
      <x:c r="M1138" s="2" t="str">
        <x:v>https://datawrapper.dwcdn.net/wQR5S/23/dataset.csv</x:v>
      </x:c>
    </x:row>
    <x:row r="1139" ht="24" customHeight="1">
      <x:c r="A1139" s="2" t="str">
        <x:v>Ramp</x:v>
      </x:c>
      <x:c r="B1139" s="2" t="str">
        <x:v>Quartiles</x:v>
      </x:c>
      <x:c r="C1139" s="2" t="str">
        <x:v>Q2</x:v>
      </x:c>
      <x:c r="D1139" s="28" t="n">
        <x:v>46174</x:v>
      </x:c>
      <x:c r="E1139" s="2" t="str">
        <x:v>2026Q2</x:v>
      </x:c>
      <x:c r="F1139" s="20" t="n">
        <x:v>25068.4</x:v>
      </x:c>
      <x:c r="G1139" s="20" t="n">
        <x:f>'Quarterly data'!$E$315</x:f>
        <x:v>25190.5666666667</x:v>
      </x:c>
      <x:c r="H1139" s="22" t="n">
        <x:f>100*F1139/G1139</x:f>
        <x:v>99.51503009724527</x:v>
      </x:c>
      <x:c r="I1139" s="24" t="n">
        <x:f>H1139/100-1</x:f>
        <x:v>-0.004849699027547283</x:v>
      </x:c>
      <x:c r="J1139" s="26" t="n">
        <x:v>4</x:v>
      </x:c>
      <x:c r="K1139" s="7" t="b">
        <x:v>0</x:v>
      </x:c>
      <x:c r="L1139" s="2" t="str">
        <x:v>April 2026</x:v>
      </x:c>
      <x:c r="M1139" s="2" t="str">
        <x:v>https://datawrapper.dwcdn.net/wQR5S/23/dataset.csv</x:v>
      </x:c>
    </x:row>
    <x:row r="1140" ht="24" customHeight="1">
      <x:c r="A1140" s="2" t="str">
        <x:v>Ramp</x:v>
      </x:c>
      <x:c r="B1140" s="2" t="str">
        <x:v>Quartiles</x:v>
      </x:c>
      <x:c r="C1140" s="2" t="str">
        <x:v>Q3</x:v>
      </x:c>
      <x:c r="D1140" s="28" t="n">
        <x:v>46174</x:v>
      </x:c>
      <x:c r="E1140" s="2" t="str">
        <x:v>2026Q2</x:v>
      </x:c>
      <x:c r="F1140" s="20" t="n">
        <x:v>31764.4</x:v>
      </x:c>
      <x:c r="G1140" s="20" t="n">
        <x:f>'Quarterly data'!$E$316</x:f>
        <x:v>32270.7333333333</x:v>
      </x:c>
      <x:c r="H1140" s="22" t="n">
        <x:f>100*F1140/G1140</x:f>
        <x:v>98.4309828719935</x:v>
      </x:c>
      <x:c r="I1140" s="24" t="n">
        <x:f>H1140/100-1</x:f>
        <x:v>-0.01569017128006489</x:v>
      </x:c>
      <x:c r="J1140" s="26" t="n">
        <x:v>4</x:v>
      </x:c>
      <x:c r="K1140" s="7" t="b">
        <x:v>0</x:v>
      </x:c>
      <x:c r="L1140" s="2" t="str">
        <x:v>April 2026</x:v>
      </x:c>
      <x:c r="M1140" s="2" t="str">
        <x:v>https://datawrapper.dwcdn.net/wQR5S/23/dataset.csv</x:v>
      </x:c>
    </x:row>
    <x:row r="1141" ht="24" customHeight="1">
      <x:c r="A1141" s="2" t="str">
        <x:v>Ramp</x:v>
      </x:c>
      <x:c r="B1141" s="2" t="str">
        <x:v>Quartiles</x:v>
      </x:c>
      <x:c r="C1141" s="2" t="str">
        <x:v>Q4</x:v>
      </x:c>
      <x:c r="D1141" s="28" t="n">
        <x:v>46174</x:v>
      </x:c>
      <x:c r="E1141" s="2" t="str">
        <x:v>2026Q2</x:v>
      </x:c>
      <x:c r="F1141" s="20" t="n">
        <x:v>23492.7</x:v>
      </x:c>
      <x:c r="G1141" s="20" t="n">
        <x:f>'Quarterly data'!$E$317</x:f>
        <x:v>23648.9</x:v>
      </x:c>
      <x:c r="H1141" s="22" t="n">
        <x:f>100*F1141/G1141</x:f>
        <x:v>99.33950416298431</x:v>
      </x:c>
      <x:c r="I1141" s="24" t="n">
        <x:f>H1141/100-1</x:f>
        <x:v>-0.006604958370156844</x:v>
      </x:c>
      <x:c r="J1141" s="26" t="n">
        <x:v>5</x:v>
      </x:c>
      <x:c r="K1141" s="7" t="b">
        <x:v>0</x:v>
      </x:c>
      <x:c r="L1141" s="2" t="str">
        <x:v>April 2026</x:v>
      </x:c>
      <x:c r="M1141" s="2" t="str">
        <x:v>https://datawrapper.dwcdn.net/wQR5S/23/dataset.csv</x:v>
      </x:c>
    </x:row>
    <x:row r="1142" ht="24" customHeight="1">
      <x:c r="A1142" s="2" t="str">
        <x:v>Ramp</x:v>
      </x:c>
      <x:c r="B1142" s="2" t="str">
        <x:v>Quartiles</x:v>
      </x:c>
      <x:c r="C1142" s="2" t="str">
        <x:v>Q1</x:v>
      </x:c>
      <x:c r="D1142" s="28" t="n">
        <x:v>46204</x:v>
      </x:c>
      <x:c r="E1142" s="2" t="str">
        <x:v>2026Q3</x:v>
      </x:c>
      <x:c r="F1142" s="20" t="n">
        <x:v>55208.6</x:v>
      </x:c>
      <x:c r="G1142" s="20" t="n">
        <x:f>'Quarterly data'!$E$314</x:f>
        <x:v>51302.6333333333</x:v>
      </x:c>
      <x:c r="H1142" s="22" t="n">
        <x:f>100*F1142/G1142</x:f>
        <x:v>107.61357928995204</x:v>
      </x:c>
      <x:c r="I1142" s="24" t="n">
        <x:f>H1142/100-1</x:f>
        <x:v>0.07613579289952033</x:v>
      </x:c>
      <x:c r="J1142" s="26" t="n">
        <x:v>5</x:v>
      </x:c>
      <x:c r="K1142" s="7" t="b">
        <x:v>1</x:v>
      </x:c>
      <x:c r="L1142" s="2" t="str">
        <x:v>April 2026</x:v>
      </x:c>
      <x:c r="M1142" s="2" t="str">
        <x:v>https://datawrapper.dwcdn.net/wQR5S/23/dataset.csv</x:v>
      </x:c>
    </x:row>
    <x:row r="1143" ht="24" customHeight="1">
      <x:c r="A1143" s="2" t="str">
        <x:v>Ramp</x:v>
      </x:c>
      <x:c r="B1143" s="2" t="str">
        <x:v>Quartiles</x:v>
      </x:c>
      <x:c r="C1143" s="2" t="str">
        <x:v>Q2</x:v>
      </x:c>
      <x:c r="D1143" s="28" t="n">
        <x:v>46204</x:v>
      </x:c>
      <x:c r="E1143" s="2" t="str">
        <x:v>2026Q3</x:v>
      </x:c>
      <x:c r="F1143" s="20" t="n">
        <x:v>25093.6</x:v>
      </x:c>
      <x:c r="G1143" s="20" t="n">
        <x:f>'Quarterly data'!$E$315</x:f>
        <x:v>25190.5666666667</x:v>
      </x:c>
      <x:c r="H1143" s="22" t="n">
        <x:f>100*F1143/G1143</x:f>
        <x:v>99.6150675451259</x:v>
      </x:c>
      <x:c r="I1143" s="24" t="n">
        <x:f>H1143/100-1</x:f>
        <x:v>-0.0038493245487409844</x:v>
      </x:c>
      <x:c r="J1143" s="26" t="n">
        <x:v>4</x:v>
      </x:c>
      <x:c r="K1143" s="7" t="b">
        <x:v>1</x:v>
      </x:c>
      <x:c r="L1143" s="2" t="str">
        <x:v>April 2026</x:v>
      </x:c>
      <x:c r="M1143" s="2" t="str">
        <x:v>https://datawrapper.dwcdn.net/wQR5S/23/dataset.csv</x:v>
      </x:c>
    </x:row>
    <x:row r="1144" ht="24" customHeight="1">
      <x:c r="A1144" s="2" t="str">
        <x:v>Ramp</x:v>
      </x:c>
      <x:c r="B1144" s="2" t="str">
        <x:v>Quartiles</x:v>
      </x:c>
      <x:c r="C1144" s="2" t="str">
        <x:v>Q3</x:v>
      </x:c>
      <x:c r="D1144" s="28" t="n">
        <x:v>46204</x:v>
      </x:c>
      <x:c r="E1144" s="2" t="str">
        <x:v>2026Q3</x:v>
      </x:c>
      <x:c r="F1144" s="20" t="n">
        <x:v>31788.9</x:v>
      </x:c>
      <x:c r="G1144" s="20" t="n">
        <x:f>'Quarterly data'!$E$316</x:f>
        <x:v>32270.7333333333</x:v>
      </x:c>
      <x:c r="H1144" s="22" t="n">
        <x:f>100*F1144/G1144</x:f>
        <x:v>98.50690305560673</x:v>
      </x:c>
      <x:c r="I1144" s="24" t="n">
        <x:f>H1144/100-1</x:f>
        <x:v>-0.014930969443932685</x:v>
      </x:c>
      <x:c r="J1144" s="26" t="n">
        <x:v>4</x:v>
      </x:c>
      <x:c r="K1144" s="7" t="b">
        <x:v>1</x:v>
      </x:c>
      <x:c r="L1144" s="2" t="str">
        <x:v>April 2026</x:v>
      </x:c>
      <x:c r="M1144" s="2" t="str">
        <x:v>https://datawrapper.dwcdn.net/wQR5S/23/dataset.csv</x:v>
      </x:c>
    </x:row>
    <x:row r="1145" ht="24" customHeight="1">
      <x:c r="A1145" s="2" t="str">
        <x:v>Ramp</x:v>
      </x:c>
      <x:c r="B1145" s="2" t="str">
        <x:v>Quartiles</x:v>
      </x:c>
      <x:c r="C1145" s="2" t="str">
        <x:v>Q4</x:v>
      </x:c>
      <x:c r="D1145" s="28" t="n">
        <x:v>46204</x:v>
      </x:c>
      <x:c r="E1145" s="2" t="str">
        <x:v>2026Q3</x:v>
      </x:c>
      <x:c r="F1145" s="20" t="n">
        <x:v>23494.3</x:v>
      </x:c>
      <x:c r="G1145" s="20" t="n">
        <x:f>'Quarterly data'!$E$317</x:f>
        <x:v>23648.9</x:v>
      </x:c>
      <x:c r="H1145" s="22" t="n">
        <x:f>100*F1145/G1145</x:f>
        <x:v>99.34626980536092</x:v>
      </x:c>
      <x:c r="I1145" s="24" t="n">
        <x:f>H1145/100-1</x:f>
        <x:v>-0.006537301946390794</x:v>
      </x:c>
      <x:c r="J1145" s="26" t="n">
        <x:v>5</x:v>
      </x:c>
      <x:c r="K1145" s="7" t="b">
        <x:v>1</x:v>
      </x:c>
      <x:c r="L1145" s="2" t="str">
        <x:v>April 2026</x:v>
      </x:c>
      <x:c r="M1145" s="2" t="str">
        <x:v>https://datawrapper.dwcdn.net/wQR5S/23/dataset.csv</x:v>
      </x:c>
    </x:row>
    <x:row r="1146" ht="24" customHeight="1">
      <x:c r="A1146" s="2" t="str">
        <x:v>Ramp</x:v>
      </x:c>
      <x:c r="B1146" s="2" t="str">
        <x:v>Quartiles</x:v>
      </x:c>
      <x:c r="C1146" s="2" t="str">
        <x:v>Q1</x:v>
      </x:c>
      <x:c r="D1146" s="28" t="n">
        <x:v>46235</x:v>
      </x:c>
      <x:c r="E1146" s="2" t="str">
        <x:v>2026Q3</x:v>
      </x:c>
      <x:c r="F1146" s="20" t="n">
        <x:v>55323.5</x:v>
      </x:c>
      <x:c r="G1146" s="20" t="n">
        <x:f>'Quarterly data'!$E$314</x:f>
        <x:v>51302.6333333333</x:v>
      </x:c>
      <x:c r="H1146" s="22" t="n">
        <x:f>100*F1146/G1146</x:f>
        <x:v>107.8375444015545</x:v>
      </x:c>
      <x:c r="I1146" s="24" t="n">
        <x:f>H1146/100-1</x:f>
        <x:v>0.07837544401554486</x:v>
      </x:c>
      <x:c r="J1146" s="26" t="n">
        <x:v>5</x:v>
      </x:c>
      <x:c r="K1146" s="7" t="b">
        <x:v>1</x:v>
      </x:c>
      <x:c r="L1146" s="2" t="str">
        <x:v>April 2026</x:v>
      </x:c>
      <x:c r="M1146" s="2" t="str">
        <x:v>https://datawrapper.dwcdn.net/wQR5S/23/dataset.csv</x:v>
      </x:c>
    </x:row>
    <x:row r="1147" ht="24" customHeight="1">
      <x:c r="A1147" s="2" t="str">
        <x:v>Ramp</x:v>
      </x:c>
      <x:c r="B1147" s="2" t="str">
        <x:v>Quartiles</x:v>
      </x:c>
      <x:c r="C1147" s="2" t="str">
        <x:v>Q2</x:v>
      </x:c>
      <x:c r="D1147" s="28" t="n">
        <x:v>46235</x:v>
      </x:c>
      <x:c r="E1147" s="2" t="str">
        <x:v>2026Q3</x:v>
      </x:c>
      <x:c r="F1147" s="20" t="n">
        <x:v>25099.5</x:v>
      </x:c>
      <x:c r="G1147" s="20" t="n">
        <x:f>'Quarterly data'!$E$315</x:f>
        <x:v>25190.5666666667</x:v>
      </x:c>
      <x:c r="H1147" s="22" t="n">
        <x:f>100*F1147/G1147</x:f>
        <x:v>99.63848901109795</x:v>
      </x:c>
      <x:c r="I1147" s="24" t="n">
        <x:f>H1147/100-1</x:f>
        <x:v>-0.0036151098890205846</x:v>
      </x:c>
      <x:c r="J1147" s="26" t="n">
        <x:v>4</x:v>
      </x:c>
      <x:c r="K1147" s="7" t="b">
        <x:v>1</x:v>
      </x:c>
      <x:c r="L1147" s="2" t="str">
        <x:v>April 2026</x:v>
      </x:c>
      <x:c r="M1147" s="2" t="str">
        <x:v>https://datawrapper.dwcdn.net/wQR5S/23/dataset.csv</x:v>
      </x:c>
    </x:row>
    <x:row r="1148" ht="24" customHeight="1">
      <x:c r="A1148" s="2" t="str">
        <x:v>Ramp</x:v>
      </x:c>
      <x:c r="B1148" s="2" t="str">
        <x:v>Quartiles</x:v>
      </x:c>
      <x:c r="C1148" s="2" t="str">
        <x:v>Q3</x:v>
      </x:c>
      <x:c r="D1148" s="28" t="n">
        <x:v>46235</x:v>
      </x:c>
      <x:c r="E1148" s="2" t="str">
        <x:v>2026Q3</x:v>
      </x:c>
      <x:c r="F1148" s="20" t="n">
        <x:v>31818.2</x:v>
      </x:c>
      <x:c r="G1148" s="20" t="n">
        <x:f>'Quarterly data'!$E$316</x:f>
        <x:v>32270.7333333333</x:v>
      </x:c>
      <x:c r="H1148" s="22" t="n">
        <x:f>100*F1148/G1148</x:f>
        <x:v>98.59769739764214</x:v>
      </x:c>
      <x:c r="I1148" s="24" t="n">
        <x:f>H1148/100-1</x:f>
        <x:v>-0.014023026023578633</x:v>
      </x:c>
      <x:c r="J1148" s="26" t="n">
        <x:v>4</x:v>
      </x:c>
      <x:c r="K1148" s="7" t="b">
        <x:v>1</x:v>
      </x:c>
      <x:c r="L1148" s="2" t="str">
        <x:v>April 2026</x:v>
      </x:c>
      <x:c r="M1148" s="2" t="str">
        <x:v>https://datawrapper.dwcdn.net/wQR5S/23/dataset.csv</x:v>
      </x:c>
    </x:row>
    <x:row r="1149" ht="24" customHeight="1">
      <x:c r="A1149" s="2" t="str">
        <x:v>Ramp</x:v>
      </x:c>
      <x:c r="B1149" s="2" t="str">
        <x:v>Quartiles</x:v>
      </x:c>
      <x:c r="C1149" s="2" t="str">
        <x:v>Q4</x:v>
      </x:c>
      <x:c r="D1149" s="28" t="n">
        <x:v>46235</x:v>
      </x:c>
      <x:c r="E1149" s="2" t="str">
        <x:v>2026Q3</x:v>
      </x:c>
      <x:c r="F1149" s="20" t="n">
        <x:v>23472</x:v>
      </x:c>
      <x:c r="G1149" s="20" t="n">
        <x:f>'Quarterly data'!$E$317</x:f>
        <x:v>23648.9</x:v>
      </x:c>
      <x:c r="H1149" s="22" t="n">
        <x:f>100*F1149/G1149</x:f>
        <x:v>99.25197366473704</x:v>
      </x:c>
      <x:c r="I1149" s="24" t="n">
        <x:f>H1149/100-1</x:f>
        <x:v>-0.007480263352629635</x:v>
      </x:c>
      <x:c r="J1149" s="26" t="n">
        <x:v>5</x:v>
      </x:c>
      <x:c r="K1149" s="7" t="b">
        <x:v>1</x:v>
      </x:c>
      <x:c r="L1149" s="2" t="str">
        <x:v>April 2026</x:v>
      </x:c>
      <x:c r="M1149" s="2" t="str">
        <x:v>https://datawrapper.dwcdn.net/wQR5S/23/dataset.csv</x:v>
      </x:c>
    </x:row>
    <x:row r="1150" ht="24" customHeight="1">
      <x:c r="A1150" s="2" t="str">
        <x:v>Ramp</x:v>
      </x:c>
      <x:c r="B1150" s="2" t="str">
        <x:v>Quintiles</x:v>
      </x:c>
      <x:c r="C1150" s="2" t="str">
        <x:v>Q1</x:v>
      </x:c>
      <x:c r="D1150" s="28" t="n">
        <x:v>44927</x:v>
      </x:c>
      <x:c r="E1150" s="2" t="str">
        <x:v>2023Q1</x:v>
      </x:c>
      <x:c r="F1150" s="20" t="n">
        <x:v>30068.8</x:v>
      </x:c>
      <x:c r="G1150" s="20" t="n">
        <x:f>'Quarterly data'!$E$370</x:f>
        <x:v>30131.1</x:v>
      </x:c>
      <x:c r="H1150" s="22" t="n">
        <x:f>100*F1150/G1150</x:f>
        <x:v>99.7932368881322</x:v>
      </x:c>
      <x:c r="I1150" s="24" t="n">
        <x:f>H1150/100-1</x:f>
        <x:v>-0.002067631118678026</x:v>
      </x:c>
      <x:c r="J1150" s="26" t="n">
        <x:v>4</x:v>
      </x:c>
      <x:c r="K1150" s="7" t="b">
        <x:v>0</x:v>
      </x:c>
      <x:c r="L1150" s="2" t="str">
        <x:v>April 2026</x:v>
      </x:c>
      <x:c r="M1150" s="2" t="str">
        <x:v>https://datawrapper.dwcdn.net/wQR5S/23/dataset.csv</x:v>
      </x:c>
    </x:row>
    <x:row r="1151" ht="24" customHeight="1">
      <x:c r="A1151" s="2" t="str">
        <x:v>Ramp</x:v>
      </x:c>
      <x:c r="B1151" s="2" t="str">
        <x:v>Quintiles</x:v>
      </x:c>
      <x:c r="C1151" s="2" t="str">
        <x:v>Q2</x:v>
      </x:c>
      <x:c r="D1151" s="28" t="n">
        <x:v>44927</x:v>
      </x:c>
      <x:c r="E1151" s="2" t="str">
        <x:v>2023Q1</x:v>
      </x:c>
      <x:c r="F1151" s="20" t="n">
        <x:v>30146.2</x:v>
      </x:c>
      <x:c r="G1151" s="20" t="n">
        <x:f>'Quarterly data'!$E$371</x:f>
        <x:v>30200.9333333333</x:v>
      </x:c>
      <x:c r="H1151" s="22" t="n">
        <x:f>100*F1151/G1151</x:f>
        <x:v>99.81876939785536</x:v>
      </x:c>
      <x:c r="I1151" s="24" t="n">
        <x:f>H1151/100-1</x:f>
        <x:v>-0.0018123060214463305</x:v>
      </x:c>
      <x:c r="J1151" s="26" t="n">
        <x:v>3</x:v>
      </x:c>
      <x:c r="K1151" s="7" t="b">
        <x:v>0</x:v>
      </x:c>
      <x:c r="L1151" s="2" t="str">
        <x:v>April 2026</x:v>
      </x:c>
      <x:c r="M1151" s="2" t="str">
        <x:v>https://datawrapper.dwcdn.net/wQR5S/23/dataset.csv</x:v>
      </x:c>
    </x:row>
    <x:row r="1152" ht="24" customHeight="1">
      <x:c r="A1152" s="2" t="str">
        <x:v>Ramp</x:v>
      </x:c>
      <x:c r="B1152" s="2" t="str">
        <x:v>Quintiles</x:v>
      </x:c>
      <x:c r="C1152" s="2" t="str">
        <x:v>Q3</x:v>
      </x:c>
      <x:c r="D1152" s="28" t="n">
        <x:v>44927</x:v>
      </x:c>
      <x:c r="E1152" s="2" t="str">
        <x:v>2023Q1</x:v>
      </x:c>
      <x:c r="F1152" s="20" t="n">
        <x:v>31716.1</x:v>
      </x:c>
      <x:c r="G1152" s="20" t="n">
        <x:f>'Quarterly data'!$E$372</x:f>
        <x:v>31749.8333333333</x:v>
      </x:c>
      <x:c r="H1152" s="22" t="n">
        <x:f>100*F1152/G1152</x:f>
        <x:v>99.89375272311152</x:v>
      </x:c>
      <x:c r="I1152" s="24" t="n">
        <x:f>H1152/100-1</x:f>
        <x:v>-0.0010624727688848257</x:v>
      </x:c>
      <x:c r="J1152" s="26" t="n">
        <x:v>4</x:v>
      </x:c>
      <x:c r="K1152" s="7" t="b">
        <x:v>0</x:v>
      </x:c>
      <x:c r="L1152" s="2" t="str">
        <x:v>April 2026</x:v>
      </x:c>
      <x:c r="M1152" s="2" t="str">
        <x:v>https://datawrapper.dwcdn.net/wQR5S/23/dataset.csv</x:v>
      </x:c>
    </x:row>
    <x:row r="1153" ht="24" customHeight="1">
      <x:c r="A1153" s="2" t="str">
        <x:v>Ramp</x:v>
      </x:c>
      <x:c r="B1153" s="2" t="str">
        <x:v>Quintiles</x:v>
      </x:c>
      <x:c r="C1153" s="2" t="str">
        <x:v>Q4</x:v>
      </x:c>
      <x:c r="D1153" s="28" t="n">
        <x:v>44927</x:v>
      </x:c>
      <x:c r="E1153" s="2" t="str">
        <x:v>2023Q1</x:v>
      </x:c>
      <x:c r="F1153" s="20" t="n">
        <x:v>19276.9</x:v>
      </x:c>
      <x:c r="G1153" s="20" t="n">
        <x:f>'Quarterly data'!$E$373</x:f>
        <x:v>19279.9666666667</x:v>
      </x:c>
      <x:c r="H1153" s="22" t="n">
        <x:f>100*F1153/G1153</x:f>
        <x:v>99.98409402505867</x:v>
      </x:c>
      <x:c r="I1153" s="24" t="n">
        <x:f>H1153/100-1</x:f>
        <x:v>-0.00015905974941332612</x:v>
      </x:c>
      <x:c r="J1153" s="26" t="n">
        <x:v>3</x:v>
      </x:c>
      <x:c r="K1153" s="7" t="b">
        <x:v>0</x:v>
      </x:c>
      <x:c r="L1153" s="2" t="str">
        <x:v>April 2026</x:v>
      </x:c>
      <x:c r="M1153" s="2" t="str">
        <x:v>https://datawrapper.dwcdn.net/wQR5S/23/dataset.csv</x:v>
      </x:c>
    </x:row>
    <x:row r="1154" ht="24" customHeight="1">
      <x:c r="A1154" s="2" t="str">
        <x:v>Ramp</x:v>
      </x:c>
      <x:c r="B1154" s="2" t="str">
        <x:v>Quintiles</x:v>
      </x:c>
      <x:c r="C1154" s="2" t="str">
        <x:v>Q5</x:v>
      </x:c>
      <x:c r="D1154" s="28" t="n">
        <x:v>44927</x:v>
      </x:c>
      <x:c r="E1154" s="2" t="str">
        <x:v>2023Q1</x:v>
      </x:c>
      <x:c r="F1154" s="20" t="n">
        <x:v>21037.5</x:v>
      </x:c>
      <x:c r="G1154" s="20" t="n">
        <x:f>'Quarterly data'!$E$374</x:f>
        <x:v>21051</x:v>
      </x:c>
      <x:c r="H1154" s="22" t="n">
        <x:f>100*F1154/G1154</x:f>
        <x:v>99.93587002992732</x:v>
      </x:c>
      <x:c r="I1154" s="24" t="n">
        <x:f>H1154/100-1</x:f>
        <x:v>-0.000641299700726794</x:v>
      </x:c>
      <x:c r="J1154" s="26" t="n">
        <x:v>4</x:v>
      </x:c>
      <x:c r="K1154" s="7" t="b">
        <x:v>0</x:v>
      </x:c>
      <x:c r="L1154" s="2" t="str">
        <x:v>April 2026</x:v>
      </x:c>
      <x:c r="M1154" s="2" t="str">
        <x:v>https://datawrapper.dwcdn.net/wQR5S/23/dataset.csv</x:v>
      </x:c>
    </x:row>
    <x:row r="1155" ht="24" customHeight="1">
      <x:c r="A1155" s="2" t="str">
        <x:v>Ramp</x:v>
      </x:c>
      <x:c r="B1155" s="2" t="str">
        <x:v>Quintiles</x:v>
      </x:c>
      <x:c r="C1155" s="2" t="str">
        <x:v>Q1</x:v>
      </x:c>
      <x:c r="D1155" s="28" t="n">
        <x:v>44958</x:v>
      </x:c>
      <x:c r="E1155" s="2" t="str">
        <x:v>2023Q1</x:v>
      </x:c>
      <x:c r="F1155" s="20" t="n">
        <x:v>30159.2</x:v>
      </x:c>
      <x:c r="G1155" s="20" t="n">
        <x:f>'Quarterly data'!$E$370</x:f>
        <x:v>30131.1</x:v>
      </x:c>
      <x:c r="H1155" s="22" t="n">
        <x:f>100*F1155/G1155</x:f>
        <x:v>100.09325912429351</x:v>
      </x:c>
      <x:c r="I1155" s="24" t="n">
        <x:f>H1155/100-1</x:f>
        <x:v>0.0009325912429352101</x:v>
      </x:c>
      <x:c r="J1155" s="26" t="n">
        <x:v>4</x:v>
      </x:c>
      <x:c r="K1155" s="7" t="b">
        <x:v>0</x:v>
      </x:c>
      <x:c r="L1155" s="2" t="str">
        <x:v>April 2026</x:v>
      </x:c>
      <x:c r="M1155" s="2" t="str">
        <x:v>https://datawrapper.dwcdn.net/wQR5S/23/dataset.csv</x:v>
      </x:c>
    </x:row>
    <x:row r="1156" ht="24" customHeight="1">
      <x:c r="A1156" s="2" t="str">
        <x:v>Ramp</x:v>
      </x:c>
      <x:c r="B1156" s="2" t="str">
        <x:v>Quintiles</x:v>
      </x:c>
      <x:c r="C1156" s="2" t="str">
        <x:v>Q2</x:v>
      </x:c>
      <x:c r="D1156" s="28" t="n">
        <x:v>44958</x:v>
      </x:c>
      <x:c r="E1156" s="2" t="str">
        <x:v>2023Q1</x:v>
      </x:c>
      <x:c r="F1156" s="20" t="n">
        <x:v>30200.7</x:v>
      </x:c>
      <x:c r="G1156" s="20" t="n">
        <x:f>'Quarterly data'!$E$371</x:f>
        <x:v>30200.9333333333</x:v>
      </x:c>
      <x:c r="H1156" s="22" t="n">
        <x:f>100*F1156/G1156</x:f>
        <x:v>99.9992273969459</x:v>
      </x:c>
      <x:c r="I1156" s="24" t="n">
        <x:f>H1156/100-1</x:f>
        <x:v>-0.000007726030540999851</x:v>
      </x:c>
      <x:c r="J1156" s="26" t="n">
        <x:v>3</x:v>
      </x:c>
      <x:c r="K1156" s="7" t="b">
        <x:v>0</x:v>
      </x:c>
      <x:c r="L1156" s="2" t="str">
        <x:v>April 2026</x:v>
      </x:c>
      <x:c r="M1156" s="2" t="str">
        <x:v>https://datawrapper.dwcdn.net/wQR5S/23/dataset.csv</x:v>
      </x:c>
    </x:row>
    <x:row r="1157" ht="24" customHeight="1">
      <x:c r="A1157" s="2" t="str">
        <x:v>Ramp</x:v>
      </x:c>
      <x:c r="B1157" s="2" t="str">
        <x:v>Quintiles</x:v>
      </x:c>
      <x:c r="C1157" s="2" t="str">
        <x:v>Q3</x:v>
      </x:c>
      <x:c r="D1157" s="28" t="n">
        <x:v>44958</x:v>
      </x:c>
      <x:c r="E1157" s="2" t="str">
        <x:v>2023Q1</x:v>
      </x:c>
      <x:c r="F1157" s="20" t="n">
        <x:v>31794.6</x:v>
      </x:c>
      <x:c r="G1157" s="20" t="n">
        <x:f>'Quarterly data'!$E$372</x:f>
        <x:v>31749.8333333333</x:v>
      </x:c>
      <x:c r="H1157" s="22" t="n">
        <x:f>100*F1157/G1157</x:f>
        <x:v>100.14099811547578</x:v>
      </x:c>
      <x:c r="I1157" s="24" t="n">
        <x:f>H1157/100-1</x:f>
        <x:v>0.0014099811547578778</x:v>
      </x:c>
      <x:c r="J1157" s="26" t="n">
        <x:v>4</x:v>
      </x:c>
      <x:c r="K1157" s="7" t="b">
        <x:v>0</x:v>
      </x:c>
      <x:c r="L1157" s="2" t="str">
        <x:v>April 2026</x:v>
      </x:c>
      <x:c r="M1157" s="2" t="str">
        <x:v>https://datawrapper.dwcdn.net/wQR5S/23/dataset.csv</x:v>
      </x:c>
    </x:row>
    <x:row r="1158" ht="24" customHeight="1">
      <x:c r="A1158" s="2" t="str">
        <x:v>Ramp</x:v>
      </x:c>
      <x:c r="B1158" s="2" t="str">
        <x:v>Quintiles</x:v>
      </x:c>
      <x:c r="C1158" s="2" t="str">
        <x:v>Q4</x:v>
      </x:c>
      <x:c r="D1158" s="28" t="n">
        <x:v>44958</x:v>
      </x:c>
      <x:c r="E1158" s="2" t="str">
        <x:v>2023Q1</x:v>
      </x:c>
      <x:c r="F1158" s="20" t="n">
        <x:v>19282</x:v>
      </x:c>
      <x:c r="G1158" s="20" t="n">
        <x:f>'Quarterly data'!$E$373</x:f>
        <x:v>19279.9666666667</x:v>
      </x:c>
      <x:c r="H1158" s="22" t="n">
        <x:f>100*F1158/G1158</x:f>
        <x:v>100.01054635294996</x:v>
      </x:c>
      <x:c r="I1158" s="24" t="n">
        <x:f>H1158/100-1</x:f>
        <x:v>0.00010546352949969418</x:v>
      </x:c>
      <x:c r="J1158" s="26" t="n">
        <x:v>3</x:v>
      </x:c>
      <x:c r="K1158" s="7" t="b">
        <x:v>0</x:v>
      </x:c>
      <x:c r="L1158" s="2" t="str">
        <x:v>April 2026</x:v>
      </x:c>
      <x:c r="M1158" s="2" t="str">
        <x:v>https://datawrapper.dwcdn.net/wQR5S/23/dataset.csv</x:v>
      </x:c>
    </x:row>
    <x:row r="1159" ht="24" customHeight="1">
      <x:c r="A1159" s="2" t="str">
        <x:v>Ramp</x:v>
      </x:c>
      <x:c r="B1159" s="2" t="str">
        <x:v>Quintiles</x:v>
      </x:c>
      <x:c r="C1159" s="2" t="str">
        <x:v>Q5</x:v>
      </x:c>
      <x:c r="D1159" s="28" t="n">
        <x:v>44958</x:v>
      </x:c>
      <x:c r="E1159" s="2" t="str">
        <x:v>2023Q1</x:v>
      </x:c>
      <x:c r="F1159" s="20" t="n">
        <x:v>21047</x:v>
      </x:c>
      <x:c r="G1159" s="20" t="n">
        <x:f>'Quarterly data'!$E$374</x:f>
        <x:v>21051</x:v>
      </x:c>
      <x:c r="H1159" s="22" t="n">
        <x:f>100*F1159/G1159</x:f>
        <x:v>99.98099852738588</x:v>
      </x:c>
      <x:c r="I1159" s="24" t="n">
        <x:f>H1159/100-1</x:f>
        <x:v>-0.00019001472614121884</x:v>
      </x:c>
      <x:c r="J1159" s="26" t="n">
        <x:v>4</x:v>
      </x:c>
      <x:c r="K1159" s="7" t="b">
        <x:v>0</x:v>
      </x:c>
      <x:c r="L1159" s="2" t="str">
        <x:v>April 2026</x:v>
      </x:c>
      <x:c r="M1159" s="2" t="str">
        <x:v>https://datawrapper.dwcdn.net/wQR5S/23/dataset.csv</x:v>
      </x:c>
    </x:row>
    <x:row r="1160" ht="24" customHeight="1">
      <x:c r="A1160" s="2" t="str">
        <x:v>Ramp</x:v>
      </x:c>
      <x:c r="B1160" s="2" t="str">
        <x:v>Quintiles</x:v>
      </x:c>
      <x:c r="C1160" s="2" t="str">
        <x:v>Q1</x:v>
      </x:c>
      <x:c r="D1160" s="28" t="n">
        <x:v>44986</x:v>
      </x:c>
      <x:c r="E1160" s="2" t="str">
        <x:v>2023Q1</x:v>
      </x:c>
      <x:c r="F1160" s="20" t="n">
        <x:v>30165.3</x:v>
      </x:c>
      <x:c r="G1160" s="20" t="n">
        <x:f>'Quarterly data'!$E$370</x:f>
        <x:v>30131.1</x:v>
      </x:c>
      <x:c r="H1160" s="22" t="n">
        <x:f>100*F1160/G1160</x:f>
        <x:v>100.1135039875743</x:v>
      </x:c>
      <x:c r="I1160" s="24" t="n">
        <x:f>H1160/100-1</x:f>
        <x:v>0.001135039875743038</x:v>
      </x:c>
      <x:c r="J1160" s="26" t="n">
        <x:v>4</x:v>
      </x:c>
      <x:c r="K1160" s="7" t="b">
        <x:v>0</x:v>
      </x:c>
      <x:c r="L1160" s="2" t="str">
        <x:v>April 2026</x:v>
      </x:c>
      <x:c r="M1160" s="2" t="str">
        <x:v>https://datawrapper.dwcdn.net/wQR5S/23/dataset.csv</x:v>
      </x:c>
    </x:row>
    <x:row r="1161" ht="24" customHeight="1">
      <x:c r="A1161" s="2" t="str">
        <x:v>Ramp</x:v>
      </x:c>
      <x:c r="B1161" s="2" t="str">
        <x:v>Quintiles</x:v>
      </x:c>
      <x:c r="C1161" s="2" t="str">
        <x:v>Q2</x:v>
      </x:c>
      <x:c r="D1161" s="28" t="n">
        <x:v>44986</x:v>
      </x:c>
      <x:c r="E1161" s="2" t="str">
        <x:v>2023Q1</x:v>
      </x:c>
      <x:c r="F1161" s="20" t="n">
        <x:v>30255.9</x:v>
      </x:c>
      <x:c r="G1161" s="20" t="n">
        <x:f>'Quarterly data'!$E$371</x:f>
        <x:v>30200.9333333333</x:v>
      </x:c>
      <x:c r="H1161" s="22" t="n">
        <x:f>100*F1161/G1161</x:f>
        <x:v>100.18200320519907</x:v>
      </x:c>
      <x:c r="I1161" s="24" t="n">
        <x:f>H1161/100-1</x:f>
        <x:v>0.001820032051990772</x:v>
      </x:c>
      <x:c r="J1161" s="26" t="n">
        <x:v>3</x:v>
      </x:c>
      <x:c r="K1161" s="7" t="b">
        <x:v>0</x:v>
      </x:c>
      <x:c r="L1161" s="2" t="str">
        <x:v>April 2026</x:v>
      </x:c>
      <x:c r="M1161" s="2" t="str">
        <x:v>https://datawrapper.dwcdn.net/wQR5S/23/dataset.csv</x:v>
      </x:c>
    </x:row>
    <x:row r="1162" ht="24" customHeight="1">
      <x:c r="A1162" s="2" t="str">
        <x:v>Ramp</x:v>
      </x:c>
      <x:c r="B1162" s="2" t="str">
        <x:v>Quintiles</x:v>
      </x:c>
      <x:c r="C1162" s="2" t="str">
        <x:v>Q3</x:v>
      </x:c>
      <x:c r="D1162" s="28" t="n">
        <x:v>44986</x:v>
      </x:c>
      <x:c r="E1162" s="2" t="str">
        <x:v>2023Q1</x:v>
      </x:c>
      <x:c r="F1162" s="20" t="n">
        <x:v>31738.8</x:v>
      </x:c>
      <x:c r="G1162" s="20" t="n">
        <x:f>'Quarterly data'!$E$372</x:f>
        <x:v>31749.8333333333</x:v>
      </x:c>
      <x:c r="H1162" s="22" t="n">
        <x:f>100*F1162/G1162</x:f>
        <x:v>99.96524916141303</x:v>
      </x:c>
      <x:c r="I1162" s="24" t="n">
        <x:f>H1162/100-1</x:f>
        <x:v>-0.00034750838586972144</x:v>
      </x:c>
      <x:c r="J1162" s="26" t="n">
        <x:v>4</x:v>
      </x:c>
      <x:c r="K1162" s="7" t="b">
        <x:v>0</x:v>
      </x:c>
      <x:c r="L1162" s="2" t="str">
        <x:v>April 2026</x:v>
      </x:c>
      <x:c r="M1162" s="2" t="str">
        <x:v>https://datawrapper.dwcdn.net/wQR5S/23/dataset.csv</x:v>
      </x:c>
    </x:row>
    <x:row r="1163" ht="24" customHeight="1">
      <x:c r="A1163" s="2" t="str">
        <x:v>Ramp</x:v>
      </x:c>
      <x:c r="B1163" s="2" t="str">
        <x:v>Quintiles</x:v>
      </x:c>
      <x:c r="C1163" s="2" t="str">
        <x:v>Q4</x:v>
      </x:c>
      <x:c r="D1163" s="28" t="n">
        <x:v>44986</x:v>
      </x:c>
      <x:c r="E1163" s="2" t="str">
        <x:v>2023Q1</x:v>
      </x:c>
      <x:c r="F1163" s="20" t="n">
        <x:v>19281</x:v>
      </x:c>
      <x:c r="G1163" s="20" t="n">
        <x:f>'Quarterly data'!$E$373</x:f>
        <x:v>19279.9666666667</x:v>
      </x:c>
      <x:c r="H1163" s="22" t="n">
        <x:f>100*F1163/G1163</x:f>
        <x:v>100.00535962199088</x:v>
      </x:c>
      <x:c r="I1163" s="24" t="n">
        <x:f>H1163/100-1</x:f>
        <x:v>0.00005359621990885799</x:v>
      </x:c>
      <x:c r="J1163" s="26" t="n">
        <x:v>3</x:v>
      </x:c>
      <x:c r="K1163" s="7" t="b">
        <x:v>0</x:v>
      </x:c>
      <x:c r="L1163" s="2" t="str">
        <x:v>April 2026</x:v>
      </x:c>
      <x:c r="M1163" s="2" t="str">
        <x:v>https://datawrapper.dwcdn.net/wQR5S/23/dataset.csv</x:v>
      </x:c>
    </x:row>
    <x:row r="1164" ht="24" customHeight="1">
      <x:c r="A1164" s="2" t="str">
        <x:v>Ramp</x:v>
      </x:c>
      <x:c r="B1164" s="2" t="str">
        <x:v>Quintiles</x:v>
      </x:c>
      <x:c r="C1164" s="2" t="str">
        <x:v>Q5</x:v>
      </x:c>
      <x:c r="D1164" s="28" t="n">
        <x:v>44986</x:v>
      </x:c>
      <x:c r="E1164" s="2" t="str">
        <x:v>2023Q1</x:v>
      </x:c>
      <x:c r="F1164" s="20" t="n">
        <x:v>21068.5</x:v>
      </x:c>
      <x:c r="G1164" s="20" t="n">
        <x:f>'Quarterly data'!$E$374</x:f>
        <x:v>21051</x:v>
      </x:c>
      <x:c r="H1164" s="22" t="n">
        <x:f>100*F1164/G1164</x:f>
        <x:v>100.0831314426868</x:v>
      </x:c>
      <x:c r="I1164" s="24" t="n">
        <x:f>H1164/100-1</x:f>
        <x:v>0.0008313144268681238</x:v>
      </x:c>
      <x:c r="J1164" s="26" t="n">
        <x:v>4</x:v>
      </x:c>
      <x:c r="K1164" s="7" t="b">
        <x:v>0</x:v>
      </x:c>
      <x:c r="L1164" s="2" t="str">
        <x:v>April 2026</x:v>
      </x:c>
      <x:c r="M1164" s="2" t="str">
        <x:v>https://datawrapper.dwcdn.net/wQR5S/23/dataset.csv</x:v>
      </x:c>
    </x:row>
    <x:row r="1165" ht="24" customHeight="1">
      <x:c r="A1165" s="2" t="str">
        <x:v>Ramp</x:v>
      </x:c>
      <x:c r="B1165" s="2" t="str">
        <x:v>Quintiles</x:v>
      </x:c>
      <x:c r="C1165" s="2" t="str">
        <x:v>Q1</x:v>
      </x:c>
      <x:c r="D1165" s="28" t="n">
        <x:v>45017</x:v>
      </x:c>
      <x:c r="E1165" s="2" t="str">
        <x:v>2023Q2</x:v>
      </x:c>
      <x:c r="F1165" s="20" t="n">
        <x:v>30239.7</x:v>
      </x:c>
      <x:c r="G1165" s="20" t="n">
        <x:f>'Quarterly data'!$E$370</x:f>
        <x:v>30131.1</x:v>
      </x:c>
      <x:c r="H1165" s="22" t="n">
        <x:f>100*F1165/G1165</x:f>
        <x:v>100.3604249429991</x:v>
      </x:c>
      <x:c r="I1165" s="24" t="n">
        <x:f>H1165/100-1</x:f>
        <x:v>0.0036042494299910466</x:v>
      </x:c>
      <x:c r="J1165" s="26" t="n">
        <x:v>4</x:v>
      </x:c>
      <x:c r="K1165" s="7" t="b">
        <x:v>0</x:v>
      </x:c>
      <x:c r="L1165" s="2" t="str">
        <x:v>April 2026</x:v>
      </x:c>
      <x:c r="M1165" s="2" t="str">
        <x:v>https://datawrapper.dwcdn.net/wQR5S/23/dataset.csv</x:v>
      </x:c>
    </x:row>
    <x:row r="1166" ht="24" customHeight="1">
      <x:c r="A1166" s="2" t="str">
        <x:v>Ramp</x:v>
      </x:c>
      <x:c r="B1166" s="2" t="str">
        <x:v>Quintiles</x:v>
      </x:c>
      <x:c r="C1166" s="2" t="str">
        <x:v>Q2</x:v>
      </x:c>
      <x:c r="D1166" s="28" t="n">
        <x:v>45017</x:v>
      </x:c>
      <x:c r="E1166" s="2" t="str">
        <x:v>2023Q2</x:v>
      </x:c>
      <x:c r="F1166" s="20" t="n">
        <x:v>30344</x:v>
      </x:c>
      <x:c r="G1166" s="20" t="n">
        <x:f>'Quarterly data'!$E$371</x:f>
        <x:v>30200.9333333333</x:v>
      </x:c>
      <x:c r="H1166" s="22" t="n">
        <x:f>100*F1166/G1166</x:f>
        <x:v>100.47371604409587</x:v>
      </x:c>
      <x:c r="I1166" s="24" t="n">
        <x:f>H1166/100-1</x:f>
        <x:v>0.004737160440958732</x:v>
      </x:c>
      <x:c r="J1166" s="26" t="n">
        <x:v>3</x:v>
      </x:c>
      <x:c r="K1166" s="7" t="b">
        <x:v>0</x:v>
      </x:c>
      <x:c r="L1166" s="2" t="str">
        <x:v>April 2026</x:v>
      </x:c>
      <x:c r="M1166" s="2" t="str">
        <x:v>https://datawrapper.dwcdn.net/wQR5S/23/dataset.csv</x:v>
      </x:c>
    </x:row>
    <x:row r="1167" ht="24" customHeight="1">
      <x:c r="A1167" s="2" t="str">
        <x:v>Ramp</x:v>
      </x:c>
      <x:c r="B1167" s="2" t="str">
        <x:v>Quintiles</x:v>
      </x:c>
      <x:c r="C1167" s="2" t="str">
        <x:v>Q3</x:v>
      </x:c>
      <x:c r="D1167" s="28" t="n">
        <x:v>45017</x:v>
      </x:c>
      <x:c r="E1167" s="2" t="str">
        <x:v>2023Q2</x:v>
      </x:c>
      <x:c r="F1167" s="20" t="n">
        <x:v>31715</x:v>
      </x:c>
      <x:c r="G1167" s="20" t="n">
        <x:f>'Quarterly data'!$E$372</x:f>
        <x:v>31749.8333333333</x:v>
      </x:c>
      <x:c r="H1167" s="22" t="n">
        <x:f>100*F1167/G1167</x:f>
        <x:v>99.89028813799558</x:v>
      </x:c>
      <x:c r="I1167" s="24" t="n">
        <x:f>H1167/100-1</x:f>
        <x:v>-0.0010971186200441352</x:v>
      </x:c>
      <x:c r="J1167" s="26" t="n">
        <x:v>4</x:v>
      </x:c>
      <x:c r="K1167" s="7" t="b">
        <x:v>0</x:v>
      </x:c>
      <x:c r="L1167" s="2" t="str">
        <x:v>April 2026</x:v>
      </x:c>
      <x:c r="M1167" s="2" t="str">
        <x:v>https://datawrapper.dwcdn.net/wQR5S/23/dataset.csv</x:v>
      </x:c>
    </x:row>
    <x:row r="1168" ht="24" customHeight="1">
      <x:c r="A1168" s="2" t="str">
        <x:v>Ramp</x:v>
      </x:c>
      <x:c r="B1168" s="2" t="str">
        <x:v>Quintiles</x:v>
      </x:c>
      <x:c r="C1168" s="2" t="str">
        <x:v>Q4</x:v>
      </x:c>
      <x:c r="D1168" s="28" t="n">
        <x:v>45017</x:v>
      </x:c>
      <x:c r="E1168" s="2" t="str">
        <x:v>2023Q2</x:v>
      </x:c>
      <x:c r="F1168" s="20" t="n">
        <x:v>19294.4</x:v>
      </x:c>
      <x:c r="G1168" s="20" t="n">
        <x:f>'Quarterly data'!$E$373</x:f>
        <x:v>19279.9666666667</x:v>
      </x:c>
      <x:c r="H1168" s="22" t="n">
        <x:f>100*F1168/G1168</x:f>
        <x:v>100.07486181684254</x:v>
      </x:c>
      <x:c r="I1168" s="24" t="n">
        <x:f>H1168/100-1</x:f>
        <x:v>0.00074861816842553</x:v>
      </x:c>
      <x:c r="J1168" s="26" t="n">
        <x:v>3</x:v>
      </x:c>
      <x:c r="K1168" s="7" t="b">
        <x:v>0</x:v>
      </x:c>
      <x:c r="L1168" s="2" t="str">
        <x:v>April 2026</x:v>
      </x:c>
      <x:c r="M1168" s="2" t="str">
        <x:v>https://datawrapper.dwcdn.net/wQR5S/23/dataset.csv</x:v>
      </x:c>
    </x:row>
    <x:row r="1169" ht="24" customHeight="1">
      <x:c r="A1169" s="2" t="str">
        <x:v>Ramp</x:v>
      </x:c>
      <x:c r="B1169" s="2" t="str">
        <x:v>Quintiles</x:v>
      </x:c>
      <x:c r="C1169" s="2" t="str">
        <x:v>Q5</x:v>
      </x:c>
      <x:c r="D1169" s="28" t="n">
        <x:v>45017</x:v>
      </x:c>
      <x:c r="E1169" s="2" t="str">
        <x:v>2023Q2</x:v>
      </x:c>
      <x:c r="F1169" s="20" t="n">
        <x:v>21093.9</x:v>
      </x:c>
      <x:c r="G1169" s="20" t="n">
        <x:f>'Quarterly data'!$E$374</x:f>
        <x:v>21051</x:v>
      </x:c>
      <x:c r="H1169" s="22" t="n">
        <x:f>100*F1169/G1169</x:f>
        <x:v>100.20379079378652</x:v>
      </x:c>
      <x:c r="I1169" s="24" t="n">
        <x:f>H1169/100-1</x:f>
        <x:v>0.00203790793786518</x:v>
      </x:c>
      <x:c r="J1169" s="26" t="n">
        <x:v>4</x:v>
      </x:c>
      <x:c r="K1169" s="7" t="b">
        <x:v>0</x:v>
      </x:c>
      <x:c r="L1169" s="2" t="str">
        <x:v>April 2026</x:v>
      </x:c>
      <x:c r="M1169" s="2" t="str">
        <x:v>https://datawrapper.dwcdn.net/wQR5S/23/dataset.csv</x:v>
      </x:c>
    </x:row>
    <x:row r="1170" ht="24" customHeight="1">
      <x:c r="A1170" s="2" t="str">
        <x:v>Ramp</x:v>
      </x:c>
      <x:c r="B1170" s="2" t="str">
        <x:v>Quintiles</x:v>
      </x:c>
      <x:c r="C1170" s="2" t="str">
        <x:v>Q1</x:v>
      </x:c>
      <x:c r="D1170" s="28" t="n">
        <x:v>45047</x:v>
      </x:c>
      <x:c r="E1170" s="2" t="str">
        <x:v>2023Q2</x:v>
      </x:c>
      <x:c r="F1170" s="20" t="n">
        <x:v>30312</x:v>
      </x:c>
      <x:c r="G1170" s="20" t="n">
        <x:f>'Quarterly data'!$E$370</x:f>
        <x:v>30131.1</x:v>
      </x:c>
      <x:c r="H1170" s="22" t="n">
        <x:f>100*F1170/G1170</x:f>
        <x:v>100.60037635532723</x:v>
      </x:c>
      <x:c r="I1170" s="24" t="n">
        <x:f>H1170/100-1</x:f>
        <x:v>0.006003763553272368</x:v>
      </x:c>
      <x:c r="J1170" s="26" t="n">
        <x:v>4</x:v>
      </x:c>
      <x:c r="K1170" s="7" t="b">
        <x:v>0</x:v>
      </x:c>
      <x:c r="L1170" s="2" t="str">
        <x:v>April 2026</x:v>
      </x:c>
      <x:c r="M1170" s="2" t="str">
        <x:v>https://datawrapper.dwcdn.net/wQR5S/23/dataset.csv</x:v>
      </x:c>
    </x:row>
    <x:row r="1171" ht="24" customHeight="1">
      <x:c r="A1171" s="2" t="str">
        <x:v>Ramp</x:v>
      </x:c>
      <x:c r="B1171" s="2" t="str">
        <x:v>Quintiles</x:v>
      </x:c>
      <x:c r="C1171" s="2" t="str">
        <x:v>Q2</x:v>
      </x:c>
      <x:c r="D1171" s="28" t="n">
        <x:v>45047</x:v>
      </x:c>
      <x:c r="E1171" s="2" t="str">
        <x:v>2023Q2</x:v>
      </x:c>
      <x:c r="F1171" s="20" t="n">
        <x:v>30431.7</x:v>
      </x:c>
      <x:c r="G1171" s="20" t="n">
        <x:f>'Quarterly data'!$E$371</x:f>
        <x:v>30200.9333333333</x:v>
      </x:c>
      <x:c r="H1171" s="22" t="n">
        <x:f>100*F1171/G1171</x:f>
        <x:v>100.76410442061403</x:v>
      </x:c>
      <x:c r="I1171" s="24" t="n">
        <x:f>H1171/100-1</x:f>
        <x:v>0.007641044206140313</x:v>
      </x:c>
      <x:c r="J1171" s="26" t="n">
        <x:v>3</x:v>
      </x:c>
      <x:c r="K1171" s="7" t="b">
        <x:v>0</x:v>
      </x:c>
      <x:c r="L1171" s="2" t="str">
        <x:v>April 2026</x:v>
      </x:c>
      <x:c r="M1171" s="2" t="str">
        <x:v>https://datawrapper.dwcdn.net/wQR5S/23/dataset.csv</x:v>
      </x:c>
    </x:row>
    <x:row r="1172" ht="24" customHeight="1">
      <x:c r="A1172" s="2" t="str">
        <x:v>Ramp</x:v>
      </x:c>
      <x:c r="B1172" s="2" t="str">
        <x:v>Quintiles</x:v>
      </x:c>
      <x:c r="C1172" s="2" t="str">
        <x:v>Q3</x:v>
      </x:c>
      <x:c r="D1172" s="28" t="n">
        <x:v>45047</x:v>
      </x:c>
      <x:c r="E1172" s="2" t="str">
        <x:v>2023Q2</x:v>
      </x:c>
      <x:c r="F1172" s="20" t="n">
        <x:v>31716</x:v>
      </x:c>
      <x:c r="G1172" s="20" t="n">
        <x:f>'Quarterly data'!$E$372</x:f>
        <x:v>31749.8333333333</x:v>
      </x:c>
      <x:c r="H1172" s="22" t="n">
        <x:f>100*F1172/G1172</x:f>
        <x:v>99.89343776082825</x:v>
      </x:c>
      <x:c r="I1172" s="24" t="n">
        <x:f>H1172/100-1</x:f>
        <x:v>-0.00106562239171748</x:v>
      </x:c>
      <x:c r="J1172" s="26" t="n">
        <x:v>4</x:v>
      </x:c>
      <x:c r="K1172" s="7" t="b">
        <x:v>0</x:v>
      </x:c>
      <x:c r="L1172" s="2" t="str">
        <x:v>April 2026</x:v>
      </x:c>
      <x:c r="M1172" s="2" t="str">
        <x:v>https://datawrapper.dwcdn.net/wQR5S/23/dataset.csv</x:v>
      </x:c>
    </x:row>
    <x:row r="1173" ht="24" customHeight="1">
      <x:c r="A1173" s="2" t="str">
        <x:v>Ramp</x:v>
      </x:c>
      <x:c r="B1173" s="2" t="str">
        <x:v>Quintiles</x:v>
      </x:c>
      <x:c r="C1173" s="2" t="str">
        <x:v>Q4</x:v>
      </x:c>
      <x:c r="D1173" s="28" t="n">
        <x:v>45047</x:v>
      </x:c>
      <x:c r="E1173" s="2" t="str">
        <x:v>2023Q2</x:v>
      </x:c>
      <x:c r="F1173" s="20" t="n">
        <x:v>19316.1</x:v>
      </x:c>
      <x:c r="G1173" s="20" t="n">
        <x:f>'Quarterly data'!$E$373</x:f>
        <x:v>19279.9666666667</x:v>
      </x:c>
      <x:c r="H1173" s="22" t="n">
        <x:f>100*F1173/G1173</x:f>
        <x:v>100.18741387865451</x:v>
      </x:c>
      <x:c r="I1173" s="24" t="n">
        <x:f>H1173/100-1</x:f>
        <x:v>0.0018741387865450765</x:v>
      </x:c>
      <x:c r="J1173" s="26" t="n">
        <x:v>3</x:v>
      </x:c>
      <x:c r="K1173" s="7" t="b">
        <x:v>0</x:v>
      </x:c>
      <x:c r="L1173" s="2" t="str">
        <x:v>April 2026</x:v>
      </x:c>
      <x:c r="M1173" s="2" t="str">
        <x:v>https://datawrapper.dwcdn.net/wQR5S/23/dataset.csv</x:v>
      </x:c>
    </x:row>
    <x:row r="1174" ht="24" customHeight="1">
      <x:c r="A1174" s="2" t="str">
        <x:v>Ramp</x:v>
      </x:c>
      <x:c r="B1174" s="2" t="str">
        <x:v>Quintiles</x:v>
      </x:c>
      <x:c r="C1174" s="2" t="str">
        <x:v>Q5</x:v>
      </x:c>
      <x:c r="D1174" s="28" t="n">
        <x:v>45047</x:v>
      </x:c>
      <x:c r="E1174" s="2" t="str">
        <x:v>2023Q2</x:v>
      </x:c>
      <x:c r="F1174" s="20" t="n">
        <x:v>21111.3</x:v>
      </x:c>
      <x:c r="G1174" s="20" t="n">
        <x:f>'Quarterly data'!$E$374</x:f>
        <x:v>21051</x:v>
      </x:c>
      <x:c r="H1174" s="22" t="n">
        <x:f>100*F1174/G1174</x:f>
        <x:v>100.28644719965797</x:v>
      </x:c>
      <x:c r="I1174" s="24" t="n">
        <x:f>H1174/100-1</x:f>
        <x:v>0.0028644719965797982</x:v>
      </x:c>
      <x:c r="J1174" s="26" t="n">
        <x:v>4</x:v>
      </x:c>
      <x:c r="K1174" s="7" t="b">
        <x:v>0</x:v>
      </x:c>
      <x:c r="L1174" s="2" t="str">
        <x:v>April 2026</x:v>
      </x:c>
      <x:c r="M1174" s="2" t="str">
        <x:v>https://datawrapper.dwcdn.net/wQR5S/23/dataset.csv</x:v>
      </x:c>
    </x:row>
    <x:row r="1175" ht="24" customHeight="1">
      <x:c r="A1175" s="2" t="str">
        <x:v>Ramp</x:v>
      </x:c>
      <x:c r="B1175" s="2" t="str">
        <x:v>Quintiles</x:v>
      </x:c>
      <x:c r="C1175" s="2" t="str">
        <x:v>Q1</x:v>
      </x:c>
      <x:c r="D1175" s="28" t="n">
        <x:v>45078</x:v>
      </x:c>
      <x:c r="E1175" s="2" t="str">
        <x:v>2023Q2</x:v>
      </x:c>
      <x:c r="F1175" s="20" t="n">
        <x:v>30431.1</x:v>
      </x:c>
      <x:c r="G1175" s="20" t="n">
        <x:f>'Quarterly data'!$E$370</x:f>
        <x:v>30131.1</x:v>
      </x:c>
      <x:c r="H1175" s="22" t="n">
        <x:f>100*F1175/G1175</x:f>
        <x:v>100.99564901380965</x:v>
      </x:c>
      <x:c r="I1175" s="24" t="n">
        <x:f>H1175/100-1</x:f>
        <x:v>0.00995649013809663</x:v>
      </x:c>
      <x:c r="J1175" s="26" t="n">
        <x:v>4</x:v>
      </x:c>
      <x:c r="K1175" s="7" t="b">
        <x:v>0</x:v>
      </x:c>
      <x:c r="L1175" s="2" t="str">
        <x:v>April 2026</x:v>
      </x:c>
      <x:c r="M1175" s="2" t="str">
        <x:v>https://datawrapper.dwcdn.net/wQR5S/23/dataset.csv</x:v>
      </x:c>
    </x:row>
    <x:row r="1176" ht="24" customHeight="1">
      <x:c r="A1176" s="2" t="str">
        <x:v>Ramp</x:v>
      </x:c>
      <x:c r="B1176" s="2" t="str">
        <x:v>Quintiles</x:v>
      </x:c>
      <x:c r="C1176" s="2" t="str">
        <x:v>Q2</x:v>
      </x:c>
      <x:c r="D1176" s="28" t="n">
        <x:v>45078</x:v>
      </x:c>
      <x:c r="E1176" s="2" t="str">
        <x:v>2023Q2</x:v>
      </x:c>
      <x:c r="F1176" s="20" t="n">
        <x:v>30507.3</x:v>
      </x:c>
      <x:c r="G1176" s="20" t="n">
        <x:f>'Quarterly data'!$E$371</x:f>
        <x:v>30200.9333333333</x:v>
      </x:c>
      <x:c r="H1176" s="22" t="n">
        <x:f>100*F1176/G1176</x:f>
        <x:v>101.01442781017816</x:v>
      </x:c>
      <x:c r="I1176" s="24" t="n">
        <x:f>H1176/100-1</x:f>
        <x:v>0.010144278101781534</x:v>
      </x:c>
      <x:c r="J1176" s="26" t="n">
        <x:v>3</x:v>
      </x:c>
      <x:c r="K1176" s="7" t="b">
        <x:v>0</x:v>
      </x:c>
      <x:c r="L1176" s="2" t="str">
        <x:v>April 2026</x:v>
      </x:c>
      <x:c r="M1176" s="2" t="str">
        <x:v>https://datawrapper.dwcdn.net/wQR5S/23/dataset.csv</x:v>
      </x:c>
    </x:row>
    <x:row r="1177" ht="24" customHeight="1">
      <x:c r="A1177" s="2" t="str">
        <x:v>Ramp</x:v>
      </x:c>
      <x:c r="B1177" s="2" t="str">
        <x:v>Quintiles</x:v>
      </x:c>
      <x:c r="C1177" s="2" t="str">
        <x:v>Q3</x:v>
      </x:c>
      <x:c r="D1177" s="28" t="n">
        <x:v>45078</x:v>
      </x:c>
      <x:c r="E1177" s="2" t="str">
        <x:v>2023Q2</x:v>
      </x:c>
      <x:c r="F1177" s="20" t="n">
        <x:v>31669.2</x:v>
      </x:c>
      <x:c r="G1177" s="20" t="n">
        <x:f>'Quarterly data'!$E$372</x:f>
        <x:v>31749.8333333333</x:v>
      </x:c>
      <x:c r="H1177" s="22" t="n">
        <x:f>100*F1177/G1177</x:f>
        <x:v>99.74603541225949</x:v>
      </x:c>
      <x:c r="I1177" s="24" t="n">
        <x:f>H1177/100-1</x:f>
        <x:v>-0.0025396458774050723</x:v>
      </x:c>
      <x:c r="J1177" s="26" t="n">
        <x:v>4</x:v>
      </x:c>
      <x:c r="K1177" s="7" t="b">
        <x:v>0</x:v>
      </x:c>
      <x:c r="L1177" s="2" t="str">
        <x:v>April 2026</x:v>
      </x:c>
      <x:c r="M1177" s="2" t="str">
        <x:v>https://datawrapper.dwcdn.net/wQR5S/23/dataset.csv</x:v>
      </x:c>
    </x:row>
    <x:row r="1178" ht="24" customHeight="1">
      <x:c r="A1178" s="2" t="str">
        <x:v>Ramp</x:v>
      </x:c>
      <x:c r="B1178" s="2" t="str">
        <x:v>Quintiles</x:v>
      </x:c>
      <x:c r="C1178" s="2" t="str">
        <x:v>Q4</x:v>
      </x:c>
      <x:c r="D1178" s="28" t="n">
        <x:v>45078</x:v>
      </x:c>
      <x:c r="E1178" s="2" t="str">
        <x:v>2023Q2</x:v>
      </x:c>
      <x:c r="F1178" s="20" t="n">
        <x:v>19335.3</x:v>
      </x:c>
      <x:c r="G1178" s="20" t="n">
        <x:f>'Quarterly data'!$E$373</x:f>
        <x:v>19279.9666666667</x:v>
      </x:c>
      <x:c r="H1178" s="22" t="n">
        <x:f>100*F1178/G1178</x:f>
        <x:v>100.28699911306883</x:v>
      </x:c>
      <x:c r="I1178" s="24" t="n">
        <x:f>H1178/100-1</x:f>
        <x:v>0.0028699911306881987</x:v>
      </x:c>
      <x:c r="J1178" s="26" t="n">
        <x:v>3</x:v>
      </x:c>
      <x:c r="K1178" s="7" t="b">
        <x:v>0</x:v>
      </x:c>
      <x:c r="L1178" s="2" t="str">
        <x:v>April 2026</x:v>
      </x:c>
      <x:c r="M1178" s="2" t="str">
        <x:v>https://datawrapper.dwcdn.net/wQR5S/23/dataset.csv</x:v>
      </x:c>
    </x:row>
    <x:row r="1179" ht="24" customHeight="1">
      <x:c r="A1179" s="2" t="str">
        <x:v>Ramp</x:v>
      </x:c>
      <x:c r="B1179" s="2" t="str">
        <x:v>Quintiles</x:v>
      </x:c>
      <x:c r="C1179" s="2" t="str">
        <x:v>Q5</x:v>
      </x:c>
      <x:c r="D1179" s="28" t="n">
        <x:v>45078</x:v>
      </x:c>
      <x:c r="E1179" s="2" t="str">
        <x:v>2023Q2</x:v>
      </x:c>
      <x:c r="F1179" s="20" t="n">
        <x:v>21100.2</x:v>
      </x:c>
      <x:c r="G1179" s="20" t="n">
        <x:f>'Quarterly data'!$E$374</x:f>
        <x:v>21051</x:v>
      </x:c>
      <x:c r="H1179" s="22" t="n">
        <x:f>100*F1179/G1179</x:f>
        <x:v>100.23371811315377</x:v>
      </x:c>
      <x:c r="I1179" s="24" t="n">
        <x:f>H1179/100-1</x:f>
        <x:v>0.002337181131537802</x:v>
      </x:c>
      <x:c r="J1179" s="26" t="n">
        <x:v>4</x:v>
      </x:c>
      <x:c r="K1179" s="7" t="b">
        <x:v>0</x:v>
      </x:c>
      <x:c r="L1179" s="2" t="str">
        <x:v>April 2026</x:v>
      </x:c>
      <x:c r="M1179" s="2" t="str">
        <x:v>https://datawrapper.dwcdn.net/wQR5S/23/dataset.csv</x:v>
      </x:c>
    </x:row>
    <x:row r="1180" ht="24" customHeight="1">
      <x:c r="A1180" s="2" t="str">
        <x:v>Ramp</x:v>
      </x:c>
      <x:c r="B1180" s="2" t="str">
        <x:v>Quintiles</x:v>
      </x:c>
      <x:c r="C1180" s="2" t="str">
        <x:v>Q1</x:v>
      </x:c>
      <x:c r="D1180" s="28" t="n">
        <x:v>45108</x:v>
      </x:c>
      <x:c r="E1180" s="2" t="str">
        <x:v>2023Q3</x:v>
      </x:c>
      <x:c r="F1180" s="20" t="n">
        <x:v>30478.2</x:v>
      </x:c>
      <x:c r="G1180" s="20" t="n">
        <x:f>'Quarterly data'!$E$370</x:f>
        <x:v>30131.1</x:v>
      </x:c>
      <x:c r="H1180" s="22" t="n">
        <x:f>100*F1180/G1180</x:f>
        <x:v>101.15196590897777</x:v>
      </x:c>
      <x:c r="I1180" s="24" t="n">
        <x:f>H1180/100-1</x:f>
        <x:v>0.0115196590897777</x:v>
      </x:c>
      <x:c r="J1180" s="26" t="n">
        <x:v>4</x:v>
      </x:c>
      <x:c r="K1180" s="7" t="b">
        <x:v>0</x:v>
      </x:c>
      <x:c r="L1180" s="2" t="str">
        <x:v>April 2026</x:v>
      </x:c>
      <x:c r="M1180" s="2" t="str">
        <x:v>https://datawrapper.dwcdn.net/wQR5S/23/dataset.csv</x:v>
      </x:c>
    </x:row>
    <x:row r="1181" ht="24" customHeight="1">
      <x:c r="A1181" s="2" t="str">
        <x:v>Ramp</x:v>
      </x:c>
      <x:c r="B1181" s="2" t="str">
        <x:v>Quintiles</x:v>
      </x:c>
      <x:c r="C1181" s="2" t="str">
        <x:v>Q2</x:v>
      </x:c>
      <x:c r="D1181" s="28" t="n">
        <x:v>45108</x:v>
      </x:c>
      <x:c r="E1181" s="2" t="str">
        <x:v>2023Q3</x:v>
      </x:c>
      <x:c r="F1181" s="20" t="n">
        <x:v>30627.9</x:v>
      </x:c>
      <x:c r="G1181" s="20" t="n">
        <x:f>'Quarterly data'!$E$371</x:f>
        <x:v>30200.9333333333</x:v>
      </x:c>
      <x:c r="H1181" s="22" t="n">
        <x:f>100*F1181/G1181</x:f>
        <x:v>101.41375321733997</x:v>
      </x:c>
      <x:c r="I1181" s="24" t="n">
        <x:f>H1181/100-1</x:f>
        <x:v>0.014137532173399636</x:v>
      </x:c>
      <x:c r="J1181" s="26" t="n">
        <x:v>3</x:v>
      </x:c>
      <x:c r="K1181" s="7" t="b">
        <x:v>0</x:v>
      </x:c>
      <x:c r="L1181" s="2" t="str">
        <x:v>April 2026</x:v>
      </x:c>
      <x:c r="M1181" s="2" t="str">
        <x:v>https://datawrapper.dwcdn.net/wQR5S/23/dataset.csv</x:v>
      </x:c>
    </x:row>
    <x:row r="1182" ht="24" customHeight="1">
      <x:c r="A1182" s="2" t="str">
        <x:v>Ramp</x:v>
      </x:c>
      <x:c r="B1182" s="2" t="str">
        <x:v>Quintiles</x:v>
      </x:c>
      <x:c r="C1182" s="2" t="str">
        <x:v>Q3</x:v>
      </x:c>
      <x:c r="D1182" s="28" t="n">
        <x:v>45108</x:v>
      </x:c>
      <x:c r="E1182" s="2" t="str">
        <x:v>2023Q3</x:v>
      </x:c>
      <x:c r="F1182" s="20" t="n">
        <x:v>31637.3</x:v>
      </x:c>
      <x:c r="G1182" s="20" t="n">
        <x:f>'Quarterly data'!$E$372</x:f>
        <x:v>31749.8333333333</x:v>
      </x:c>
      <x:c r="H1182" s="22" t="n">
        <x:f>100*F1182/G1182</x:f>
        <x:v>99.64556244389745</x:v>
      </x:c>
      <x:c r="I1182" s="24" t="n">
        <x:f>H1182/100-1</x:f>
        <x:v>-0.0035443755610254923</x:v>
      </x:c>
      <x:c r="J1182" s="26" t="n">
        <x:v>4</x:v>
      </x:c>
      <x:c r="K1182" s="7" t="b">
        <x:v>0</x:v>
      </x:c>
      <x:c r="L1182" s="2" t="str">
        <x:v>April 2026</x:v>
      </x:c>
      <x:c r="M1182" s="2" t="str">
        <x:v>https://datawrapper.dwcdn.net/wQR5S/23/dataset.csv</x:v>
      </x:c>
    </x:row>
    <x:row r="1183" ht="24" customHeight="1">
      <x:c r="A1183" s="2" t="str">
        <x:v>Ramp</x:v>
      </x:c>
      <x:c r="B1183" s="2" t="str">
        <x:v>Quintiles</x:v>
      </x:c>
      <x:c r="C1183" s="2" t="str">
        <x:v>Q4</x:v>
      </x:c>
      <x:c r="D1183" s="28" t="n">
        <x:v>45108</x:v>
      </x:c>
      <x:c r="E1183" s="2" t="str">
        <x:v>2023Q3</x:v>
      </x:c>
      <x:c r="F1183" s="20" t="n">
        <x:v>19323</x:v>
      </x:c>
      <x:c r="G1183" s="20" t="n">
        <x:f>'Quarterly data'!$E$373</x:f>
        <x:v>19279.9666666667</x:v>
      </x:c>
      <x:c r="H1183" s="22" t="n">
        <x:f>100*F1183/G1183</x:f>
        <x:v>100.22320232227217</x:v>
      </x:c>
      <x:c r="I1183" s="24" t="n">
        <x:f>H1183/100-1</x:f>
        <x:v>0.0022320232227217573</x:v>
      </x:c>
      <x:c r="J1183" s="26" t="n">
        <x:v>3</x:v>
      </x:c>
      <x:c r="K1183" s="7" t="b">
        <x:v>0</x:v>
      </x:c>
      <x:c r="L1183" s="2" t="str">
        <x:v>April 2026</x:v>
      </x:c>
      <x:c r="M1183" s="2" t="str">
        <x:v>https://datawrapper.dwcdn.net/wQR5S/23/dataset.csv</x:v>
      </x:c>
    </x:row>
    <x:row r="1184" ht="24" customHeight="1">
      <x:c r="A1184" s="2" t="str">
        <x:v>Ramp</x:v>
      </x:c>
      <x:c r="B1184" s="2" t="str">
        <x:v>Quintiles</x:v>
      </x:c>
      <x:c r="C1184" s="2" t="str">
        <x:v>Q5</x:v>
      </x:c>
      <x:c r="D1184" s="28" t="n">
        <x:v>45108</x:v>
      </x:c>
      <x:c r="E1184" s="2" t="str">
        <x:v>2023Q3</x:v>
      </x:c>
      <x:c r="F1184" s="20" t="n">
        <x:v>21092.8</x:v>
      </x:c>
      <x:c r="G1184" s="20" t="n">
        <x:f>'Quarterly data'!$E$374</x:f>
        <x:v>21051</x:v>
      </x:c>
      <x:c r="H1184" s="22" t="n">
        <x:f>100*F1184/G1184</x:f>
        <x:v>100.19856538881763</x:v>
      </x:c>
      <x:c r="I1184" s="24" t="n">
        <x:f>H1184/100-1</x:f>
        <x:v>0.0019856538881761754</x:v>
      </x:c>
      <x:c r="J1184" s="26" t="n">
        <x:v>4</x:v>
      </x:c>
      <x:c r="K1184" s="7" t="b">
        <x:v>0</x:v>
      </x:c>
      <x:c r="L1184" s="2" t="str">
        <x:v>April 2026</x:v>
      </x:c>
      <x:c r="M1184" s="2" t="str">
        <x:v>https://datawrapper.dwcdn.net/wQR5S/23/dataset.csv</x:v>
      </x:c>
    </x:row>
    <x:row r="1185" ht="24" customHeight="1">
      <x:c r="A1185" s="2" t="str">
        <x:v>Ramp</x:v>
      </x:c>
      <x:c r="B1185" s="2" t="str">
        <x:v>Quintiles</x:v>
      </x:c>
      <x:c r="C1185" s="2" t="str">
        <x:v>Q1</x:v>
      </x:c>
      <x:c r="D1185" s="28" t="n">
        <x:v>45139</x:v>
      </x:c>
      <x:c r="E1185" s="2" t="str">
        <x:v>2023Q3</x:v>
      </x:c>
      <x:c r="F1185" s="20" t="n">
        <x:v>30566.5</x:v>
      </x:c>
      <x:c r="G1185" s="20" t="n">
        <x:f>'Quarterly data'!$E$370</x:f>
        <x:v>30131.1</x:v>
      </x:c>
      <x:c r="H1185" s="22" t="n">
        <x:f>100*F1185/G1185</x:f>
        <x:v>101.44501860204241</x:v>
      </x:c>
      <x:c r="I1185" s="24" t="n">
        <x:f>H1185/100-1</x:f>
        <x:v>0.014450186020424027</x:v>
      </x:c>
      <x:c r="J1185" s="26" t="n">
        <x:v>4</x:v>
      </x:c>
      <x:c r="K1185" s="7" t="b">
        <x:v>0</x:v>
      </x:c>
      <x:c r="L1185" s="2" t="str">
        <x:v>April 2026</x:v>
      </x:c>
      <x:c r="M1185" s="2" t="str">
        <x:v>https://datawrapper.dwcdn.net/wQR5S/23/dataset.csv</x:v>
      </x:c>
    </x:row>
    <x:row r="1186" ht="24" customHeight="1">
      <x:c r="A1186" s="2" t="str">
        <x:v>Ramp</x:v>
      </x:c>
      <x:c r="B1186" s="2" t="str">
        <x:v>Quintiles</x:v>
      </x:c>
      <x:c r="C1186" s="2" t="str">
        <x:v>Q2</x:v>
      </x:c>
      <x:c r="D1186" s="28" t="n">
        <x:v>45139</x:v>
      </x:c>
      <x:c r="E1186" s="2" t="str">
        <x:v>2023Q3</x:v>
      </x:c>
      <x:c r="F1186" s="20" t="n">
        <x:v>30714.6</x:v>
      </x:c>
      <x:c r="G1186" s="20" t="n">
        <x:f>'Quarterly data'!$E$371</x:f>
        <x:v>30200.9333333333</x:v>
      </x:c>
      <x:c r="H1186" s="22" t="n">
        <x:f>100*F1186/G1186</x:f>
        <x:v>101.70083043791152</x:v>
      </x:c>
      <x:c r="I1186" s="24" t="n">
        <x:f>H1186/100-1</x:f>
        <x:v>0.017008304379115158</x:v>
      </x:c>
      <x:c r="J1186" s="26" t="n">
        <x:v>3</x:v>
      </x:c>
      <x:c r="K1186" s="7" t="b">
        <x:v>0</x:v>
      </x:c>
      <x:c r="L1186" s="2" t="str">
        <x:v>April 2026</x:v>
      </x:c>
      <x:c r="M1186" s="2" t="str">
        <x:v>https://datawrapper.dwcdn.net/wQR5S/23/dataset.csv</x:v>
      </x:c>
    </x:row>
    <x:row r="1187" ht="24" customHeight="1">
      <x:c r="A1187" s="2" t="str">
        <x:v>Ramp</x:v>
      </x:c>
      <x:c r="B1187" s="2" t="str">
        <x:v>Quintiles</x:v>
      </x:c>
      <x:c r="C1187" s="2" t="str">
        <x:v>Q3</x:v>
      </x:c>
      <x:c r="D1187" s="28" t="n">
        <x:v>45139</x:v>
      </x:c>
      <x:c r="E1187" s="2" t="str">
        <x:v>2023Q3</x:v>
      </x:c>
      <x:c r="F1187" s="20" t="n">
        <x:v>31607.8</x:v>
      </x:c>
      <x:c r="G1187" s="20" t="n">
        <x:f>'Quarterly data'!$E$372</x:f>
        <x:v>31749.8333333333</x:v>
      </x:c>
      <x:c r="H1187" s="22" t="n">
        <x:f>100*F1187/G1187</x:f>
        <x:v>99.55264857033382</x:v>
      </x:c>
      <x:c r="I1187" s="24" t="n">
        <x:f>H1187/100-1</x:f>
        <x:v>-0.0044735142966618735</x:v>
      </x:c>
      <x:c r="J1187" s="26" t="n">
        <x:v>4</x:v>
      </x:c>
      <x:c r="K1187" s="7" t="b">
        <x:v>0</x:v>
      </x:c>
      <x:c r="L1187" s="2" t="str">
        <x:v>April 2026</x:v>
      </x:c>
      <x:c r="M1187" s="2" t="str">
        <x:v>https://datawrapper.dwcdn.net/wQR5S/23/dataset.csv</x:v>
      </x:c>
    </x:row>
    <x:row r="1188" ht="24" customHeight="1">
      <x:c r="A1188" s="2" t="str">
        <x:v>Ramp</x:v>
      </x:c>
      <x:c r="B1188" s="2" t="str">
        <x:v>Quintiles</x:v>
      </x:c>
      <x:c r="C1188" s="2" t="str">
        <x:v>Q4</x:v>
      </x:c>
      <x:c r="D1188" s="28" t="n">
        <x:v>45139</x:v>
      </x:c>
      <x:c r="E1188" s="2" t="str">
        <x:v>2023Q3</x:v>
      </x:c>
      <x:c r="F1188" s="20" t="n">
        <x:v>19345</x:v>
      </x:c>
      <x:c r="G1188" s="20" t="n">
        <x:f>'Quarterly data'!$E$373</x:f>
        <x:v>19279.9666666667</x:v>
      </x:c>
      <x:c r="H1188" s="22" t="n">
        <x:f>100*F1188/G1188</x:f>
        <x:v>100.33731040337189</x:v>
      </x:c>
      <x:c r="I1188" s="24" t="n">
        <x:f>H1188/100-1</x:f>
        <x:v>0.003373104033718821</x:v>
      </x:c>
      <x:c r="J1188" s="26" t="n">
        <x:v>3</x:v>
      </x:c>
      <x:c r="K1188" s="7" t="b">
        <x:v>0</x:v>
      </x:c>
      <x:c r="L1188" s="2" t="str">
        <x:v>April 2026</x:v>
      </x:c>
      <x:c r="M1188" s="2" t="str">
        <x:v>https://datawrapper.dwcdn.net/wQR5S/23/dataset.csv</x:v>
      </x:c>
    </x:row>
    <x:row r="1189" ht="24" customHeight="1">
      <x:c r="A1189" s="2" t="str">
        <x:v>Ramp</x:v>
      </x:c>
      <x:c r="B1189" s="2" t="str">
        <x:v>Quintiles</x:v>
      </x:c>
      <x:c r="C1189" s="2" t="str">
        <x:v>Q5</x:v>
      </x:c>
      <x:c r="D1189" s="28" t="n">
        <x:v>45139</x:v>
      </x:c>
      <x:c r="E1189" s="2" t="str">
        <x:v>2023Q3</x:v>
      </x:c>
      <x:c r="F1189" s="20" t="n">
        <x:v>21074.9</x:v>
      </x:c>
      <x:c r="G1189" s="20" t="n">
        <x:f>'Quarterly data'!$E$374</x:f>
        <x:v>21051</x:v>
      </x:c>
      <x:c r="H1189" s="22" t="n">
        <x:f>100*F1189/G1189</x:f>
        <x:v>100.11353379886941</x:v>
      </x:c>
      <x:c r="I1189" s="24" t="n">
        <x:f>H1189/100-1</x:f>
        <x:v>0.0011353379886940296</x:v>
      </x:c>
      <x:c r="J1189" s="26" t="n">
        <x:v>4</x:v>
      </x:c>
      <x:c r="K1189" s="7" t="b">
        <x:v>0</x:v>
      </x:c>
      <x:c r="L1189" s="2" t="str">
        <x:v>April 2026</x:v>
      </x:c>
      <x:c r="M1189" s="2" t="str">
        <x:v>https://datawrapper.dwcdn.net/wQR5S/23/dataset.csv</x:v>
      </x:c>
    </x:row>
    <x:row r="1190" ht="24" customHeight="1">
      <x:c r="A1190" s="2" t="str">
        <x:v>Ramp</x:v>
      </x:c>
      <x:c r="B1190" s="2" t="str">
        <x:v>Quintiles</x:v>
      </x:c>
      <x:c r="C1190" s="2" t="str">
        <x:v>Q1</x:v>
      </x:c>
      <x:c r="D1190" s="28" t="n">
        <x:v>45170</x:v>
      </x:c>
      <x:c r="E1190" s="2" t="str">
        <x:v>2023Q3</x:v>
      </x:c>
      <x:c r="F1190" s="20" t="n">
        <x:v>30579.1</x:v>
      </x:c>
      <x:c r="G1190" s="20" t="n">
        <x:f>'Quarterly data'!$E$370</x:f>
        <x:v>30131.1</x:v>
      </x:c>
      <x:c r="H1190" s="22" t="n">
        <x:f>100*F1190/G1190</x:f>
        <x:v>101.48683586062242</x:v>
      </x:c>
      <x:c r="I1190" s="24" t="n">
        <x:f>H1190/100-1</x:f>
        <x:v>0.014868358606224152</x:v>
      </x:c>
      <x:c r="J1190" s="26" t="n">
        <x:v>4</x:v>
      </x:c>
      <x:c r="K1190" s="7" t="b">
        <x:v>0</x:v>
      </x:c>
      <x:c r="L1190" s="2" t="str">
        <x:v>April 2026</x:v>
      </x:c>
      <x:c r="M1190" s="2" t="str">
        <x:v>https://datawrapper.dwcdn.net/wQR5S/23/dataset.csv</x:v>
      </x:c>
    </x:row>
    <x:row r="1191" ht="24" customHeight="1">
      <x:c r="A1191" s="2" t="str">
        <x:v>Ramp</x:v>
      </x:c>
      <x:c r="B1191" s="2" t="str">
        <x:v>Quintiles</x:v>
      </x:c>
      <x:c r="C1191" s="2" t="str">
        <x:v>Q2</x:v>
      </x:c>
      <x:c r="D1191" s="28" t="n">
        <x:v>45170</x:v>
      </x:c>
      <x:c r="E1191" s="2" t="str">
        <x:v>2023Q3</x:v>
      </x:c>
      <x:c r="F1191" s="20" t="n">
        <x:v>30823</x:v>
      </x:c>
      <x:c r="G1191" s="20" t="n">
        <x:f>'Quarterly data'!$E$371</x:f>
        <x:v>30200.9333333333</x:v>
      </x:c>
      <x:c r="H1191" s="22" t="n">
        <x:f>100*F1191/G1191</x:f>
        <x:v>102.05975974252462</x:v>
      </x:c>
      <x:c r="I1191" s="24" t="n">
        <x:f>H1191/100-1</x:f>
        <x:v>0.02059759742524614</x:v>
      </x:c>
      <x:c r="J1191" s="26" t="n">
        <x:v>3</x:v>
      </x:c>
      <x:c r="K1191" s="7" t="b">
        <x:v>0</x:v>
      </x:c>
      <x:c r="L1191" s="2" t="str">
        <x:v>April 2026</x:v>
      </x:c>
      <x:c r="M1191" s="2" t="str">
        <x:v>https://datawrapper.dwcdn.net/wQR5S/23/dataset.csv</x:v>
      </x:c>
    </x:row>
    <x:row r="1192" ht="24" customHeight="1">
      <x:c r="A1192" s="2" t="str">
        <x:v>Ramp</x:v>
      </x:c>
      <x:c r="B1192" s="2" t="str">
        <x:v>Quintiles</x:v>
      </x:c>
      <x:c r="C1192" s="2" t="str">
        <x:v>Q3</x:v>
      </x:c>
      <x:c r="D1192" s="28" t="n">
        <x:v>45170</x:v>
      </x:c>
      <x:c r="E1192" s="2" t="str">
        <x:v>2023Q3</x:v>
      </x:c>
      <x:c r="F1192" s="20" t="n">
        <x:v>31593.7</x:v>
      </x:c>
      <x:c r="G1192" s="20" t="n">
        <x:f>'Quarterly data'!$E$372</x:f>
        <x:v>31749.8333333333</x:v>
      </x:c>
      <x:c r="H1192" s="22" t="n">
        <x:f>100*F1192/G1192</x:f>
        <x:v>99.50823888839322</x:v>
      </x:c>
      <x:c r="I1192" s="24" t="n">
        <x:f>H1192/100-1</x:f>
        <x:v>-0.00491761111606781</x:v>
      </x:c>
      <x:c r="J1192" s="26" t="n">
        <x:v>4</x:v>
      </x:c>
      <x:c r="K1192" s="7" t="b">
        <x:v>0</x:v>
      </x:c>
      <x:c r="L1192" s="2" t="str">
        <x:v>April 2026</x:v>
      </x:c>
      <x:c r="M1192" s="2" t="str">
        <x:v>https://datawrapper.dwcdn.net/wQR5S/23/dataset.csv</x:v>
      </x:c>
    </x:row>
    <x:row r="1193" ht="24" customHeight="1">
      <x:c r="A1193" s="2" t="str">
        <x:v>Ramp</x:v>
      </x:c>
      <x:c r="B1193" s="2" t="str">
        <x:v>Quintiles</x:v>
      </x:c>
      <x:c r="C1193" s="2" t="str">
        <x:v>Q4</x:v>
      </x:c>
      <x:c r="D1193" s="28" t="n">
        <x:v>45170</x:v>
      </x:c>
      <x:c r="E1193" s="2" t="str">
        <x:v>2023Q3</x:v>
      </x:c>
      <x:c r="F1193" s="20" t="n">
        <x:v>19368.4</x:v>
      </x:c>
      <x:c r="G1193" s="20" t="n">
        <x:f>'Quarterly data'!$E$373</x:f>
        <x:v>19279.9666666667</x:v>
      </x:c>
      <x:c r="H1193" s="22" t="n">
        <x:f>100*F1193/G1193</x:f>
        <x:v>100.45867990781434</x:v>
      </x:c>
      <x:c r="I1193" s="24" t="n">
        <x:f>H1193/100-1</x:f>
        <x:v>0.004586799078143411</x:v>
      </x:c>
      <x:c r="J1193" s="26" t="n">
        <x:v>3</x:v>
      </x:c>
      <x:c r="K1193" s="7" t="b">
        <x:v>0</x:v>
      </x:c>
      <x:c r="L1193" s="2" t="str">
        <x:v>April 2026</x:v>
      </x:c>
      <x:c r="M1193" s="2" t="str">
        <x:v>https://datawrapper.dwcdn.net/wQR5S/23/dataset.csv</x:v>
      </x:c>
    </x:row>
    <x:row r="1194" ht="24" customHeight="1">
      <x:c r="A1194" s="2" t="str">
        <x:v>Ramp</x:v>
      </x:c>
      <x:c r="B1194" s="2" t="str">
        <x:v>Quintiles</x:v>
      </x:c>
      <x:c r="C1194" s="2" t="str">
        <x:v>Q5</x:v>
      </x:c>
      <x:c r="D1194" s="28" t="n">
        <x:v>45170</x:v>
      </x:c>
      <x:c r="E1194" s="2" t="str">
        <x:v>2023Q3</x:v>
      </x:c>
      <x:c r="F1194" s="20" t="n">
        <x:v>21058.5</x:v>
      </x:c>
      <x:c r="G1194" s="20" t="n">
        <x:f>'Quarterly data'!$E$374</x:f>
        <x:v>21051</x:v>
      </x:c>
      <x:c r="H1194" s="22" t="n">
        <x:f>100*F1194/G1194</x:f>
        <x:v>100.03562776115149</x:v>
      </x:c>
      <x:c r="I1194" s="24" t="n">
        <x:f>H1194/100-1</x:f>
        <x:v>0.0003562776115149102</x:v>
      </x:c>
      <x:c r="J1194" s="26" t="n">
        <x:v>4</x:v>
      </x:c>
      <x:c r="K1194" s="7" t="b">
        <x:v>0</x:v>
      </x:c>
      <x:c r="L1194" s="2" t="str">
        <x:v>April 2026</x:v>
      </x:c>
      <x:c r="M1194" s="2" t="str">
        <x:v>https://datawrapper.dwcdn.net/wQR5S/23/dataset.csv</x:v>
      </x:c>
    </x:row>
    <x:row r="1195" ht="24" customHeight="1">
      <x:c r="A1195" s="2" t="str">
        <x:v>Ramp</x:v>
      </x:c>
      <x:c r="B1195" s="2" t="str">
        <x:v>Quintiles</x:v>
      </x:c>
      <x:c r="C1195" s="2" t="str">
        <x:v>Q1</x:v>
      </x:c>
      <x:c r="D1195" s="28" t="n">
        <x:v>45200</x:v>
      </x:c>
      <x:c r="E1195" s="2" t="str">
        <x:v>2023Q4</x:v>
      </x:c>
      <x:c r="F1195" s="20" t="n">
        <x:v>30662</x:v>
      </x:c>
      <x:c r="G1195" s="20" t="n">
        <x:f>'Quarterly data'!$E$370</x:f>
        <x:v>30131.1</x:v>
      </x:c>
      <x:c r="H1195" s="22" t="n">
        <x:f>100*F1195/G1195</x:f>
        <x:v>101.76196687143849</x:v>
      </x:c>
      <x:c r="I1195" s="24" t="n">
        <x:f>H1195/100-1</x:f>
        <x:v>0.017619668714384806</x:v>
      </x:c>
      <x:c r="J1195" s="26" t="n">
        <x:v>4</x:v>
      </x:c>
      <x:c r="K1195" s="7" t="b">
        <x:v>0</x:v>
      </x:c>
      <x:c r="L1195" s="2" t="str">
        <x:v>April 2026</x:v>
      </x:c>
      <x:c r="M1195" s="2" t="str">
        <x:v>https://datawrapper.dwcdn.net/wQR5S/23/dataset.csv</x:v>
      </x:c>
    </x:row>
    <x:row r="1196" ht="24" customHeight="1">
      <x:c r="A1196" s="2" t="str">
        <x:v>Ramp</x:v>
      </x:c>
      <x:c r="B1196" s="2" t="str">
        <x:v>Quintiles</x:v>
      </x:c>
      <x:c r="C1196" s="2" t="str">
        <x:v>Q2</x:v>
      </x:c>
      <x:c r="D1196" s="28" t="n">
        <x:v>45200</x:v>
      </x:c>
      <x:c r="E1196" s="2" t="str">
        <x:v>2023Q4</x:v>
      </x:c>
      <x:c r="F1196" s="20" t="n">
        <x:v>30916.6</x:v>
      </x:c>
      <x:c r="G1196" s="20" t="n">
        <x:f>'Quarterly data'!$E$371</x:f>
        <x:v>30200.9333333333</x:v>
      </x:c>
      <x:c r="H1196" s="22" t="n">
        <x:f>100*F1196/G1196</x:f>
        <x:v>102.36968393912781</x:v>
      </x:c>
      <x:c r="I1196" s="24" t="n">
        <x:f>H1196/100-1</x:f>
        <x:v>0.0236968393912782</x:v>
      </x:c>
      <x:c r="J1196" s="26" t="n">
        <x:v>3</x:v>
      </x:c>
      <x:c r="K1196" s="7" t="b">
        <x:v>0</x:v>
      </x:c>
      <x:c r="L1196" s="2" t="str">
        <x:v>April 2026</x:v>
      </x:c>
      <x:c r="M1196" s="2" t="str">
        <x:v>https://datawrapper.dwcdn.net/wQR5S/23/dataset.csv</x:v>
      </x:c>
    </x:row>
    <x:row r="1197" ht="24" customHeight="1">
      <x:c r="A1197" s="2" t="str">
        <x:v>Ramp</x:v>
      </x:c>
      <x:c r="B1197" s="2" t="str">
        <x:v>Quintiles</x:v>
      </x:c>
      <x:c r="C1197" s="2" t="str">
        <x:v>Q3</x:v>
      </x:c>
      <x:c r="D1197" s="28" t="n">
        <x:v>45200</x:v>
      </x:c>
      <x:c r="E1197" s="2" t="str">
        <x:v>2023Q4</x:v>
      </x:c>
      <x:c r="F1197" s="20" t="n">
        <x:v>31582.5</x:v>
      </x:c>
      <x:c r="G1197" s="20" t="n">
        <x:f>'Quarterly data'!$E$372</x:f>
        <x:v>31749.8333333333</x:v>
      </x:c>
      <x:c r="H1197" s="22" t="n">
        <x:f>100*F1197/G1197</x:f>
        <x:v>99.47296311266736</x:v>
      </x:c>
      <x:c r="I1197" s="24" t="n">
        <x:f>H1197/100-1</x:f>
        <x:v>-0.0052703688733264364</x:v>
      </x:c>
      <x:c r="J1197" s="26" t="n">
        <x:v>4</x:v>
      </x:c>
      <x:c r="K1197" s="7" t="b">
        <x:v>0</x:v>
      </x:c>
      <x:c r="L1197" s="2" t="str">
        <x:v>April 2026</x:v>
      </x:c>
      <x:c r="M1197" s="2" t="str">
        <x:v>https://datawrapper.dwcdn.net/wQR5S/23/dataset.csv</x:v>
      </x:c>
    </x:row>
    <x:row r="1198" ht="24" customHeight="1">
      <x:c r="A1198" s="2" t="str">
        <x:v>Ramp</x:v>
      </x:c>
      <x:c r="B1198" s="2" t="str">
        <x:v>Quintiles</x:v>
      </x:c>
      <x:c r="C1198" s="2" t="str">
        <x:v>Q4</x:v>
      </x:c>
      <x:c r="D1198" s="28" t="n">
        <x:v>45200</x:v>
      </x:c>
      <x:c r="E1198" s="2" t="str">
        <x:v>2023Q4</x:v>
      </x:c>
      <x:c r="F1198" s="20" t="n">
        <x:v>19349.1</x:v>
      </x:c>
      <x:c r="G1198" s="20" t="n">
        <x:f>'Quarterly data'!$E$373</x:f>
        <x:v>19279.9666666667</x:v>
      </x:c>
      <x:c r="H1198" s="22" t="n">
        <x:f>100*F1198/G1198</x:f>
        <x:v>100.3585760003041</x:v>
      </x:c>
      <x:c r="I1198" s="24" t="n">
        <x:f>H1198/100-1</x:f>
        <x:v>0.0035857600030408943</x:v>
      </x:c>
      <x:c r="J1198" s="26" t="n">
        <x:v>3</x:v>
      </x:c>
      <x:c r="K1198" s="7" t="b">
        <x:v>0</x:v>
      </x:c>
      <x:c r="L1198" s="2" t="str">
        <x:v>April 2026</x:v>
      </x:c>
      <x:c r="M1198" s="2" t="str">
        <x:v>https://datawrapper.dwcdn.net/wQR5S/23/dataset.csv</x:v>
      </x:c>
    </x:row>
    <x:row r="1199" ht="24" customHeight="1">
      <x:c r="A1199" s="2" t="str">
        <x:v>Ramp</x:v>
      </x:c>
      <x:c r="B1199" s="2" t="str">
        <x:v>Quintiles</x:v>
      </x:c>
      <x:c r="C1199" s="2" t="str">
        <x:v>Q5</x:v>
      </x:c>
      <x:c r="D1199" s="28" t="n">
        <x:v>45200</x:v>
      </x:c>
      <x:c r="E1199" s="2" t="str">
        <x:v>2023Q4</x:v>
      </x:c>
      <x:c r="F1199" s="20" t="n">
        <x:v>21026.1</x:v>
      </x:c>
      <x:c r="G1199" s="20" t="n">
        <x:f>'Quarterly data'!$E$374</x:f>
        <x:v>21051</x:v>
      </x:c>
      <x:c r="H1199" s="22" t="n">
        <x:f>100*F1199/G1199</x:f>
        <x:v>99.88171583297705</x:v>
      </x:c>
      <x:c r="I1199" s="24" t="n">
        <x:f>H1199/100-1</x:f>
        <x:v>-0.0011828416702295286</x:v>
      </x:c>
      <x:c r="J1199" s="26" t="n">
        <x:v>4</x:v>
      </x:c>
      <x:c r="K1199" s="7" t="b">
        <x:v>0</x:v>
      </x:c>
      <x:c r="L1199" s="2" t="str">
        <x:v>April 2026</x:v>
      </x:c>
      <x:c r="M1199" s="2" t="str">
        <x:v>https://datawrapper.dwcdn.net/wQR5S/23/dataset.csv</x:v>
      </x:c>
    </x:row>
    <x:row r="1200" ht="24" customHeight="1">
      <x:c r="A1200" s="2" t="str">
        <x:v>Ramp</x:v>
      </x:c>
      <x:c r="B1200" s="2" t="str">
        <x:v>Quintiles</x:v>
      </x:c>
      <x:c r="C1200" s="2" t="str">
        <x:v>Q1</x:v>
      </x:c>
      <x:c r="D1200" s="28" t="n">
        <x:v>45231</x:v>
      </x:c>
      <x:c r="E1200" s="2" t="str">
        <x:v>2023Q4</x:v>
      </x:c>
      <x:c r="F1200" s="20" t="n">
        <x:v>30687.4</x:v>
      </x:c>
      <x:c r="G1200" s="20" t="n">
        <x:f>'Quarterly data'!$E$370</x:f>
        <x:v>30131.1</x:v>
      </x:c>
      <x:c r="H1200" s="22" t="n">
        <x:f>100*F1200/G1200</x:f>
        <x:v>101.8462651546077</x:v>
      </x:c>
      <x:c r="I1200" s="24" t="n">
        <x:f>H1200/100-1</x:f>
        <x:v>0.01846265154607707</x:v>
      </x:c>
      <x:c r="J1200" s="26" t="n">
        <x:v>4</x:v>
      </x:c>
      <x:c r="K1200" s="7" t="b">
        <x:v>0</x:v>
      </x:c>
      <x:c r="L1200" s="2" t="str">
        <x:v>April 2026</x:v>
      </x:c>
      <x:c r="M1200" s="2" t="str">
        <x:v>https://datawrapper.dwcdn.net/wQR5S/23/dataset.csv</x:v>
      </x:c>
    </x:row>
    <x:row r="1201" ht="24" customHeight="1">
      <x:c r="A1201" s="2" t="str">
        <x:v>Ramp</x:v>
      </x:c>
      <x:c r="B1201" s="2" t="str">
        <x:v>Quintiles</x:v>
      </x:c>
      <x:c r="C1201" s="2" t="str">
        <x:v>Q2</x:v>
      </x:c>
      <x:c r="D1201" s="28" t="n">
        <x:v>45231</x:v>
      </x:c>
      <x:c r="E1201" s="2" t="str">
        <x:v>2023Q4</x:v>
      </x:c>
      <x:c r="F1201" s="20" t="n">
        <x:v>31024.9</x:v>
      </x:c>
      <x:c r="G1201" s="20" t="n">
        <x:f>'Quarterly data'!$E$371</x:f>
        <x:v>30200.9333333333</x:v>
      </x:c>
      <x:c r="H1201" s="22" t="n">
        <x:f>100*F1201/G1201</x:f>
        <x:v>102.72828212814626</x:v>
      </x:c>
      <x:c r="I1201" s="24" t="n">
        <x:f>H1201/100-1</x:f>
        <x:v>0.027282821281462644</x:v>
      </x:c>
      <x:c r="J1201" s="26" t="n">
        <x:v>3</x:v>
      </x:c>
      <x:c r="K1201" s="7" t="b">
        <x:v>0</x:v>
      </x:c>
      <x:c r="L1201" s="2" t="str">
        <x:v>April 2026</x:v>
      </x:c>
      <x:c r="M1201" s="2" t="str">
        <x:v>https://datawrapper.dwcdn.net/wQR5S/23/dataset.csv</x:v>
      </x:c>
    </x:row>
    <x:row r="1202" ht="24" customHeight="1">
      <x:c r="A1202" s="2" t="str">
        <x:v>Ramp</x:v>
      </x:c>
      <x:c r="B1202" s="2" t="str">
        <x:v>Quintiles</x:v>
      </x:c>
      <x:c r="C1202" s="2" t="str">
        <x:v>Q3</x:v>
      </x:c>
      <x:c r="D1202" s="28" t="n">
        <x:v>45231</x:v>
      </x:c>
      <x:c r="E1202" s="2" t="str">
        <x:v>2023Q4</x:v>
      </x:c>
      <x:c r="F1202" s="20" t="n">
        <x:v>31502.8</x:v>
      </x:c>
      <x:c r="G1202" s="20" t="n">
        <x:f>'Quarterly data'!$E$372</x:f>
        <x:v>31749.8333333333</x:v>
      </x:c>
      <x:c r="H1202" s="22" t="n">
        <x:f>100*F1202/G1202</x:f>
        <x:v>99.2219381729039</x:v>
      </x:c>
      <x:c r="I1202" s="24" t="n">
        <x:f>H1202/100-1</x:f>
        <x:v>-0.007780618270960993</x:v>
      </x:c>
      <x:c r="J1202" s="26" t="n">
        <x:v>4</x:v>
      </x:c>
      <x:c r="K1202" s="7" t="b">
        <x:v>0</x:v>
      </x:c>
      <x:c r="L1202" s="2" t="str">
        <x:v>April 2026</x:v>
      </x:c>
      <x:c r="M1202" s="2" t="str">
        <x:v>https://datawrapper.dwcdn.net/wQR5S/23/dataset.csv</x:v>
      </x:c>
    </x:row>
    <x:row r="1203" ht="24" customHeight="1">
      <x:c r="A1203" s="2" t="str">
        <x:v>Ramp</x:v>
      </x:c>
      <x:c r="B1203" s="2" t="str">
        <x:v>Quintiles</x:v>
      </x:c>
      <x:c r="C1203" s="2" t="str">
        <x:v>Q4</x:v>
      </x:c>
      <x:c r="D1203" s="28" t="n">
        <x:v>45231</x:v>
      </x:c>
      <x:c r="E1203" s="2" t="str">
        <x:v>2023Q4</x:v>
      </x:c>
      <x:c r="F1203" s="20" t="n">
        <x:v>19382.2</x:v>
      </x:c>
      <x:c r="G1203" s="20" t="n">
        <x:f>'Quarterly data'!$E$373</x:f>
        <x:v>19279.9666666667</x:v>
      </x:c>
      <x:c r="H1203" s="22" t="n">
        <x:f>100*F1203/G1203</x:f>
        <x:v>100.53025679504961</x:v>
      </x:c>
      <x:c r="I1203" s="24" t="n">
        <x:f>H1203/100-1</x:f>
        <x:v>0.0053025679504961065</x:v>
      </x:c>
      <x:c r="J1203" s="26" t="n">
        <x:v>3</x:v>
      </x:c>
      <x:c r="K1203" s="7" t="b">
        <x:v>0</x:v>
      </x:c>
      <x:c r="L1203" s="2" t="str">
        <x:v>April 2026</x:v>
      </x:c>
      <x:c r="M1203" s="2" t="str">
        <x:v>https://datawrapper.dwcdn.net/wQR5S/23/dataset.csv</x:v>
      </x:c>
    </x:row>
    <x:row r="1204" ht="24" customHeight="1">
      <x:c r="A1204" s="2" t="str">
        <x:v>Ramp</x:v>
      </x:c>
      <x:c r="B1204" s="2" t="str">
        <x:v>Quintiles</x:v>
      </x:c>
      <x:c r="C1204" s="2" t="str">
        <x:v>Q5</x:v>
      </x:c>
      <x:c r="D1204" s="28" t="n">
        <x:v>45231</x:v>
      </x:c>
      <x:c r="E1204" s="2" t="str">
        <x:v>2023Q4</x:v>
      </x:c>
      <x:c r="F1204" s="20" t="n">
        <x:v>21026</x:v>
      </x:c>
      <x:c r="G1204" s="20" t="n">
        <x:f>'Quarterly data'!$E$374</x:f>
        <x:v>21051</x:v>
      </x:c>
      <x:c r="H1204" s="22" t="n">
        <x:f>100*F1204/G1204</x:f>
        <x:v>99.8812407961617</x:v>
      </x:c>
      <x:c r="I1204" s="24" t="n">
        <x:f>H1204/100-1</x:f>
        <x:v>-0.001187592038382923</x:v>
      </x:c>
      <x:c r="J1204" s="26" t="n">
        <x:v>4</x:v>
      </x:c>
      <x:c r="K1204" s="7" t="b">
        <x:v>0</x:v>
      </x:c>
      <x:c r="L1204" s="2" t="str">
        <x:v>April 2026</x:v>
      </x:c>
      <x:c r="M1204" s="2" t="str">
        <x:v>https://datawrapper.dwcdn.net/wQR5S/23/dataset.csv</x:v>
      </x:c>
    </x:row>
    <x:row r="1205" ht="24" customHeight="1">
      <x:c r="A1205" s="2" t="str">
        <x:v>Ramp</x:v>
      </x:c>
      <x:c r="B1205" s="2" t="str">
        <x:v>Quintiles</x:v>
      </x:c>
      <x:c r="C1205" s="2" t="str">
        <x:v>Q1</x:v>
      </x:c>
      <x:c r="D1205" s="28" t="n">
        <x:v>45261</x:v>
      </x:c>
      <x:c r="E1205" s="2" t="str">
        <x:v>2023Q4</x:v>
      </x:c>
      <x:c r="F1205" s="20" t="n">
        <x:v>30710.2</x:v>
      </x:c>
      <x:c r="G1205" s="20" t="n">
        <x:f>'Quarterly data'!$E$370</x:f>
        <x:v>30131.1</x:v>
      </x:c>
      <x:c r="H1205" s="22" t="n">
        <x:f>100*F1205/G1205</x:f>
        <x:v>101.92193447965724</x:v>
      </x:c>
      <x:c r="I1205" s="24" t="n">
        <x:f>H1205/100-1</x:f>
        <x:v>0.01921934479657228</x:v>
      </x:c>
      <x:c r="J1205" s="26" t="n">
        <x:v>4</x:v>
      </x:c>
      <x:c r="K1205" s="7" t="b">
        <x:v>0</x:v>
      </x:c>
      <x:c r="L1205" s="2" t="str">
        <x:v>April 2026</x:v>
      </x:c>
      <x:c r="M1205" s="2" t="str">
        <x:v>https://datawrapper.dwcdn.net/wQR5S/23/dataset.csv</x:v>
      </x:c>
    </x:row>
    <x:row r="1206" ht="24" customHeight="1">
      <x:c r="A1206" s="2" t="str">
        <x:v>Ramp</x:v>
      </x:c>
      <x:c r="B1206" s="2" t="str">
        <x:v>Quintiles</x:v>
      </x:c>
      <x:c r="C1206" s="2" t="str">
        <x:v>Q2</x:v>
      </x:c>
      <x:c r="D1206" s="28" t="n">
        <x:v>45261</x:v>
      </x:c>
      <x:c r="E1206" s="2" t="str">
        <x:v>2023Q4</x:v>
      </x:c>
      <x:c r="F1206" s="20" t="n">
        <x:v>31051.1</x:v>
      </x:c>
      <x:c r="G1206" s="20" t="n">
        <x:f>'Quarterly data'!$E$371</x:f>
        <x:v>30200.9333333333</x:v>
      </x:c>
      <x:c r="H1206" s="22" t="n">
        <x:f>100*F1206/G1206</x:f>
        <x:v>102.81503441394759</x:v>
      </x:c>
      <x:c r="I1206" s="24" t="n">
        <x:f>H1206/100-1</x:f>
        <x:v>0.028150344139475925</x:v>
      </x:c>
      <x:c r="J1206" s="26" t="n">
        <x:v>3</x:v>
      </x:c>
      <x:c r="K1206" s="7" t="b">
        <x:v>0</x:v>
      </x:c>
      <x:c r="L1206" s="2" t="str">
        <x:v>April 2026</x:v>
      </x:c>
      <x:c r="M1206" s="2" t="str">
        <x:v>https://datawrapper.dwcdn.net/wQR5S/23/dataset.csv</x:v>
      </x:c>
    </x:row>
    <x:row r="1207" ht="24" customHeight="1">
      <x:c r="A1207" s="2" t="str">
        <x:v>Ramp</x:v>
      </x:c>
      <x:c r="B1207" s="2" t="str">
        <x:v>Quintiles</x:v>
      </x:c>
      <x:c r="C1207" s="2" t="str">
        <x:v>Q3</x:v>
      </x:c>
      <x:c r="D1207" s="28" t="n">
        <x:v>45261</x:v>
      </x:c>
      <x:c r="E1207" s="2" t="str">
        <x:v>2023Q4</x:v>
      </x:c>
      <x:c r="F1207" s="20" t="n">
        <x:v>31506.7</x:v>
      </x:c>
      <x:c r="G1207" s="20" t="n">
        <x:f>'Quarterly data'!$E$372</x:f>
        <x:v>31749.8333333333</x:v>
      </x:c>
      <x:c r="H1207" s="22" t="n">
        <x:f>100*F1207/G1207</x:f>
        <x:v>99.2342217019513</x:v>
      </x:c>
      <x:c r="I1207" s="24" t="n">
        <x:f>H1207/100-1</x:f>
        <x:v>-0.007657782980487027</x:v>
      </x:c>
      <x:c r="J1207" s="26" t="n">
        <x:v>4</x:v>
      </x:c>
      <x:c r="K1207" s="7" t="b">
        <x:v>0</x:v>
      </x:c>
      <x:c r="L1207" s="2" t="str">
        <x:v>April 2026</x:v>
      </x:c>
      <x:c r="M1207" s="2" t="str">
        <x:v>https://datawrapper.dwcdn.net/wQR5S/23/dataset.csv</x:v>
      </x:c>
    </x:row>
    <x:row r="1208" ht="24" customHeight="1">
      <x:c r="A1208" s="2" t="str">
        <x:v>Ramp</x:v>
      </x:c>
      <x:c r="B1208" s="2" t="str">
        <x:v>Quintiles</x:v>
      </x:c>
      <x:c r="C1208" s="2" t="str">
        <x:v>Q4</x:v>
      </x:c>
      <x:c r="D1208" s="28" t="n">
        <x:v>45261</x:v>
      </x:c>
      <x:c r="E1208" s="2" t="str">
        <x:v>2023Q4</x:v>
      </x:c>
      <x:c r="F1208" s="20" t="n">
        <x:v>19402.7</x:v>
      </x:c>
      <x:c r="G1208" s="20" t="n">
        <x:f>'Quarterly data'!$E$373</x:f>
        <x:v>19279.9666666667</x:v>
      </x:c>
      <x:c r="H1208" s="22" t="n">
        <x:f>100*F1208/G1208</x:f>
        <x:v>100.63658477971072</x:v>
      </x:c>
      <x:c r="I1208" s="24" t="n">
        <x:f>H1208/100-1</x:f>
        <x:v>0.006365847797107138</x:v>
      </x:c>
      <x:c r="J1208" s="26" t="n">
        <x:v>3</x:v>
      </x:c>
      <x:c r="K1208" s="7" t="b">
        <x:v>0</x:v>
      </x:c>
      <x:c r="L1208" s="2" t="str">
        <x:v>April 2026</x:v>
      </x:c>
      <x:c r="M1208" s="2" t="str">
        <x:v>https://datawrapper.dwcdn.net/wQR5S/23/dataset.csv</x:v>
      </x:c>
    </x:row>
    <x:row r="1209" ht="24" customHeight="1">
      <x:c r="A1209" s="2" t="str">
        <x:v>Ramp</x:v>
      </x:c>
      <x:c r="B1209" s="2" t="str">
        <x:v>Quintiles</x:v>
      </x:c>
      <x:c r="C1209" s="2" t="str">
        <x:v>Q5</x:v>
      </x:c>
      <x:c r="D1209" s="28" t="n">
        <x:v>45261</x:v>
      </x:c>
      <x:c r="E1209" s="2" t="str">
        <x:v>2023Q4</x:v>
      </x:c>
      <x:c r="F1209" s="20" t="n">
        <x:v>21051.8</x:v>
      </x:c>
      <x:c r="G1209" s="20" t="n">
        <x:f>'Quarterly data'!$E$374</x:f>
        <x:v>21051</x:v>
      </x:c>
      <x:c r="H1209" s="22" t="n">
        <x:f>100*F1209/G1209</x:f>
        <x:v>100.00380029452282</x:v>
      </x:c>
      <x:c r="I1209" s="24" t="n">
        <x:f>H1209/100-1</x:f>
        <x:v>0.00003800294522826597</x:v>
      </x:c>
      <x:c r="J1209" s="26" t="n">
        <x:v>4</x:v>
      </x:c>
      <x:c r="K1209" s="7" t="b">
        <x:v>0</x:v>
      </x:c>
      <x:c r="L1209" s="2" t="str">
        <x:v>April 2026</x:v>
      </x:c>
      <x:c r="M1209" s="2" t="str">
        <x:v>https://datawrapper.dwcdn.net/wQR5S/23/dataset.csv</x:v>
      </x:c>
    </x:row>
    <x:row r="1210" ht="24" customHeight="1">
      <x:c r="A1210" s="2" t="str">
        <x:v>Ramp</x:v>
      </x:c>
      <x:c r="B1210" s="2" t="str">
        <x:v>Quintiles</x:v>
      </x:c>
      <x:c r="C1210" s="2" t="str">
        <x:v>Q1</x:v>
      </x:c>
      <x:c r="D1210" s="28" t="n">
        <x:v>45292</x:v>
      </x:c>
      <x:c r="E1210" s="2" t="str">
        <x:v>2024Q1</x:v>
      </x:c>
      <x:c r="F1210" s="20" t="n">
        <x:v>30755.9</x:v>
      </x:c>
      <x:c r="G1210" s="20" t="n">
        <x:f>'Quarterly data'!$E$370</x:f>
        <x:v>30131.1</x:v>
      </x:c>
      <x:c r="H1210" s="22" t="n">
        <x:f>100*F1210/G1210</x:f>
        <x:v>102.07360501276091</x:v>
      </x:c>
      <x:c r="I1210" s="24" t="n">
        <x:f>H1210/100-1</x:f>
        <x:v>0.02073605012760904</x:v>
      </x:c>
      <x:c r="J1210" s="26" t="n">
        <x:v>4</x:v>
      </x:c>
      <x:c r="K1210" s="7" t="b">
        <x:v>0</x:v>
      </x:c>
      <x:c r="L1210" s="2" t="str">
        <x:v>April 2026</x:v>
      </x:c>
      <x:c r="M1210" s="2" t="str">
        <x:v>https://datawrapper.dwcdn.net/wQR5S/23/dataset.csv</x:v>
      </x:c>
    </x:row>
    <x:row r="1211" ht="24" customHeight="1">
      <x:c r="A1211" s="2" t="str">
        <x:v>Ramp</x:v>
      </x:c>
      <x:c r="B1211" s="2" t="str">
        <x:v>Quintiles</x:v>
      </x:c>
      <x:c r="C1211" s="2" t="str">
        <x:v>Q2</x:v>
      </x:c>
      <x:c r="D1211" s="28" t="n">
        <x:v>45292</x:v>
      </x:c>
      <x:c r="E1211" s="2" t="str">
        <x:v>2024Q1</x:v>
      </x:c>
      <x:c r="F1211" s="20" t="n">
        <x:v>31125</x:v>
      </x:c>
      <x:c r="G1211" s="20" t="n">
        <x:f>'Quarterly data'!$E$371</x:f>
        <x:v>30200.9333333333</x:v>
      </x:c>
      <x:c r="H1211" s="22" t="n">
        <x:f>100*F1211/G1211</x:f>
        <x:v>103.05972883840245</x:v>
      </x:c>
      <x:c r="I1211" s="24" t="n">
        <x:f>H1211/100-1</x:f>
        <x:v>0.030597288384024424</x:v>
      </x:c>
      <x:c r="J1211" s="26" t="n">
        <x:v>3</x:v>
      </x:c>
      <x:c r="K1211" s="7" t="b">
        <x:v>0</x:v>
      </x:c>
      <x:c r="L1211" s="2" t="str">
        <x:v>April 2026</x:v>
      </x:c>
      <x:c r="M1211" s="2" t="str">
        <x:v>https://datawrapper.dwcdn.net/wQR5S/23/dataset.csv</x:v>
      </x:c>
    </x:row>
    <x:row r="1212" ht="24" customHeight="1">
      <x:c r="A1212" s="2" t="str">
        <x:v>Ramp</x:v>
      </x:c>
      <x:c r="B1212" s="2" t="str">
        <x:v>Quintiles</x:v>
      </x:c>
      <x:c r="C1212" s="2" t="str">
        <x:v>Q3</x:v>
      </x:c>
      <x:c r="D1212" s="28" t="n">
        <x:v>45292</x:v>
      </x:c>
      <x:c r="E1212" s="2" t="str">
        <x:v>2024Q1</x:v>
      </x:c>
      <x:c r="F1212" s="20" t="n">
        <x:v>31485.2</x:v>
      </x:c>
      <x:c r="G1212" s="20" t="n">
        <x:f>'Quarterly data'!$E$372</x:f>
        <x:v>31749.8333333333</x:v>
      </x:c>
      <x:c r="H1212" s="22" t="n">
        <x:f>100*F1212/G1212</x:f>
        <x:v>99.16650481104898</x:v>
      </x:c>
      <x:c r="I1212" s="24" t="n">
        <x:f>H1212/100-1</x:f>
        <x:v>-0.008334951889510167</x:v>
      </x:c>
      <x:c r="J1212" s="26" t="n">
        <x:v>4</x:v>
      </x:c>
      <x:c r="K1212" s="7" t="b">
        <x:v>0</x:v>
      </x:c>
      <x:c r="L1212" s="2" t="str">
        <x:v>April 2026</x:v>
      </x:c>
      <x:c r="M1212" s="2" t="str">
        <x:v>https://datawrapper.dwcdn.net/wQR5S/23/dataset.csv</x:v>
      </x:c>
    </x:row>
    <x:row r="1213" ht="24" customHeight="1">
      <x:c r="A1213" s="2" t="str">
        <x:v>Ramp</x:v>
      </x:c>
      <x:c r="B1213" s="2" t="str">
        <x:v>Quintiles</x:v>
      </x:c>
      <x:c r="C1213" s="2" t="str">
        <x:v>Q4</x:v>
      </x:c>
      <x:c r="D1213" s="28" t="n">
        <x:v>45292</x:v>
      </x:c>
      <x:c r="E1213" s="2" t="str">
        <x:v>2024Q1</x:v>
      </x:c>
      <x:c r="F1213" s="20" t="n">
        <x:v>19428.5</x:v>
      </x:c>
      <x:c r="G1213" s="20" t="n">
        <x:f>'Quarterly data'!$E$373</x:f>
        <x:v>19279.9666666667</x:v>
      </x:c>
      <x:c r="H1213" s="22" t="n">
        <x:f>100*F1213/G1213</x:f>
        <x:v>100.77040243845494</x:v>
      </x:c>
      <x:c r="I1213" s="24" t="n">
        <x:f>H1213/100-1</x:f>
        <x:v>0.007704024384549424</x:v>
      </x:c>
      <x:c r="J1213" s="26" t="n">
        <x:v>3</x:v>
      </x:c>
      <x:c r="K1213" s="7" t="b">
        <x:v>0</x:v>
      </x:c>
      <x:c r="L1213" s="2" t="str">
        <x:v>April 2026</x:v>
      </x:c>
      <x:c r="M1213" s="2" t="str">
        <x:v>https://datawrapper.dwcdn.net/wQR5S/23/dataset.csv</x:v>
      </x:c>
    </x:row>
    <x:row r="1214" ht="24" customHeight="1">
      <x:c r="A1214" s="2" t="str">
        <x:v>Ramp</x:v>
      </x:c>
      <x:c r="B1214" s="2" t="str">
        <x:v>Quintiles</x:v>
      </x:c>
      <x:c r="C1214" s="2" t="str">
        <x:v>Q5</x:v>
      </x:c>
      <x:c r="D1214" s="28" t="n">
        <x:v>45292</x:v>
      </x:c>
      <x:c r="E1214" s="2" t="str">
        <x:v>2024Q1</x:v>
      </x:c>
      <x:c r="F1214" s="20" t="n">
        <x:v>21054.1</x:v>
      </x:c>
      <x:c r="G1214" s="20" t="n">
        <x:f>'Quarterly data'!$E$374</x:f>
        <x:v>21051</x:v>
      </x:c>
      <x:c r="H1214" s="22" t="n">
        <x:f>100*F1214/G1214</x:f>
        <x:v>100.01472614127594</x:v>
      </x:c>
      <x:c r="I1214" s="24" t="n">
        <x:f>H1214/100-1</x:f>
        <x:v>0.00014726141275933635</x:v>
      </x:c>
      <x:c r="J1214" s="26" t="n">
        <x:v>4</x:v>
      </x:c>
      <x:c r="K1214" s="7" t="b">
        <x:v>0</x:v>
      </x:c>
      <x:c r="L1214" s="2" t="str">
        <x:v>April 2026</x:v>
      </x:c>
      <x:c r="M1214" s="2" t="str">
        <x:v>https://datawrapper.dwcdn.net/wQR5S/23/dataset.csv</x:v>
      </x:c>
    </x:row>
    <x:row r="1215" ht="24" customHeight="1">
      <x:c r="A1215" s="2" t="str">
        <x:v>Ramp</x:v>
      </x:c>
      <x:c r="B1215" s="2" t="str">
        <x:v>Quintiles</x:v>
      </x:c>
      <x:c r="C1215" s="2" t="str">
        <x:v>Q1</x:v>
      </x:c>
      <x:c r="D1215" s="28" t="n">
        <x:v>45323</x:v>
      </x:c>
      <x:c r="E1215" s="2" t="str">
        <x:v>2024Q1</x:v>
      </x:c>
      <x:c r="F1215" s="20" t="n">
        <x:v>30805.5</x:v>
      </x:c>
      <x:c r="G1215" s="20" t="n">
        <x:f>'Quarterly data'!$E$370</x:f>
        <x:v>30131.1</x:v>
      </x:c>
      <x:c r="H1215" s="22" t="n">
        <x:f>100*F1215/G1215</x:f>
        <x:v>102.2382189830441</x:v>
      </x:c>
      <x:c r="I1215" s="24" t="n">
        <x:f>H1215/100-1</x:f>
        <x:v>0.022382189830441046</x:v>
      </x:c>
      <x:c r="J1215" s="26" t="n">
        <x:v>4</x:v>
      </x:c>
      <x:c r="K1215" s="7" t="b">
        <x:v>0</x:v>
      </x:c>
      <x:c r="L1215" s="2" t="str">
        <x:v>April 2026</x:v>
      </x:c>
      <x:c r="M1215" s="2" t="str">
        <x:v>https://datawrapper.dwcdn.net/wQR5S/23/dataset.csv</x:v>
      </x:c>
    </x:row>
    <x:row r="1216" ht="24" customHeight="1">
      <x:c r="A1216" s="2" t="str">
        <x:v>Ramp</x:v>
      </x:c>
      <x:c r="B1216" s="2" t="str">
        <x:v>Quintiles</x:v>
      </x:c>
      <x:c r="C1216" s="2" t="str">
        <x:v>Q2</x:v>
      </x:c>
      <x:c r="D1216" s="28" t="n">
        <x:v>45323</x:v>
      </x:c>
      <x:c r="E1216" s="2" t="str">
        <x:v>2024Q1</x:v>
      </x:c>
      <x:c r="F1216" s="20" t="n">
        <x:v>31255.3</x:v>
      </x:c>
      <x:c r="G1216" s="20" t="n">
        <x:f>'Quarterly data'!$E$371</x:f>
        <x:v>30200.9333333333</x:v>
      </x:c>
      <x:c r="H1216" s="22" t="n">
        <x:f>100*F1216/G1216</x:f>
        <x:v>103.49117245824644</x:v>
      </x:c>
      <x:c r="I1216" s="24" t="n">
        <x:f>H1216/100-1</x:f>
        <x:v>0.03491172458246439</x:v>
      </x:c>
      <x:c r="J1216" s="26" t="n">
        <x:v>3</x:v>
      </x:c>
      <x:c r="K1216" s="7" t="b">
        <x:v>0</x:v>
      </x:c>
      <x:c r="L1216" s="2" t="str">
        <x:v>April 2026</x:v>
      </x:c>
      <x:c r="M1216" s="2" t="str">
        <x:v>https://datawrapper.dwcdn.net/wQR5S/23/dataset.csv</x:v>
      </x:c>
    </x:row>
    <x:row r="1217" ht="24" customHeight="1">
      <x:c r="A1217" s="2" t="str">
        <x:v>Ramp</x:v>
      </x:c>
      <x:c r="B1217" s="2" t="str">
        <x:v>Quintiles</x:v>
      </x:c>
      <x:c r="C1217" s="2" t="str">
        <x:v>Q3</x:v>
      </x:c>
      <x:c r="D1217" s="28" t="n">
        <x:v>45323</x:v>
      </x:c>
      <x:c r="E1217" s="2" t="str">
        <x:v>2024Q1</x:v>
      </x:c>
      <x:c r="F1217" s="20" t="n">
        <x:v>31467</x:v>
      </x:c>
      <x:c r="G1217" s="20" t="n">
        <x:f>'Quarterly data'!$E$372</x:f>
        <x:v>31749.8333333333</x:v>
      </x:c>
      <x:c r="H1217" s="22" t="n">
        <x:f>100*F1217/G1217</x:f>
        <x:v>99.10918167549447</x:v>
      </x:c>
      <x:c r="I1217" s="24" t="n">
        <x:f>H1217/100-1</x:f>
        <x:v>-0.008908183245055268</x:v>
      </x:c>
      <x:c r="J1217" s="26" t="n">
        <x:v>4</x:v>
      </x:c>
      <x:c r="K1217" s="7" t="b">
        <x:v>0</x:v>
      </x:c>
      <x:c r="L1217" s="2" t="str">
        <x:v>April 2026</x:v>
      </x:c>
      <x:c r="M1217" s="2" t="str">
        <x:v>https://datawrapper.dwcdn.net/wQR5S/23/dataset.csv</x:v>
      </x:c>
    </x:row>
    <x:row r="1218" ht="24" customHeight="1">
      <x:c r="A1218" s="2" t="str">
        <x:v>Ramp</x:v>
      </x:c>
      <x:c r="B1218" s="2" t="str">
        <x:v>Quintiles</x:v>
      </x:c>
      <x:c r="C1218" s="2" t="str">
        <x:v>Q4</x:v>
      </x:c>
      <x:c r="D1218" s="28" t="n">
        <x:v>45323</x:v>
      </x:c>
      <x:c r="E1218" s="2" t="str">
        <x:v>2024Q1</x:v>
      </x:c>
      <x:c r="F1218" s="20" t="n">
        <x:v>19412.2</x:v>
      </x:c>
      <x:c r="G1218" s="20" t="n">
        <x:f>'Quarterly data'!$E$373</x:f>
        <x:v>19279.9666666667</x:v>
      </x:c>
      <x:c r="H1218" s="22" t="n">
        <x:f>100*F1218/G1218</x:f>
        <x:v>100.68585872382197</x:v>
      </x:c>
      <x:c r="I1218" s="24" t="n">
        <x:f>H1218/100-1</x:f>
        <x:v>0.006858587238219638</x:v>
      </x:c>
      <x:c r="J1218" s="26" t="n">
        <x:v>3</x:v>
      </x:c>
      <x:c r="K1218" s="7" t="b">
        <x:v>0</x:v>
      </x:c>
      <x:c r="L1218" s="2" t="str">
        <x:v>April 2026</x:v>
      </x:c>
      <x:c r="M1218" s="2" t="str">
        <x:v>https://datawrapper.dwcdn.net/wQR5S/23/dataset.csv</x:v>
      </x:c>
    </x:row>
    <x:row r="1219" ht="24" customHeight="1">
      <x:c r="A1219" s="2" t="str">
        <x:v>Ramp</x:v>
      </x:c>
      <x:c r="B1219" s="2" t="str">
        <x:v>Quintiles</x:v>
      </x:c>
      <x:c r="C1219" s="2" t="str">
        <x:v>Q5</x:v>
      </x:c>
      <x:c r="D1219" s="28" t="n">
        <x:v>45323</x:v>
      </x:c>
      <x:c r="E1219" s="2" t="str">
        <x:v>2024Q1</x:v>
      </x:c>
      <x:c r="F1219" s="20" t="n">
        <x:v>21044.3</x:v>
      </x:c>
      <x:c r="G1219" s="20" t="n">
        <x:f>'Quarterly data'!$E$374</x:f>
        <x:v>21051</x:v>
      </x:c>
      <x:c r="H1219" s="22" t="n">
        <x:f>100*F1219/G1219</x:f>
        <x:v>99.96817253337133</x:v>
      </x:c>
      <x:c r="I1219" s="24" t="n">
        <x:f>H1219/100-1</x:f>
        <x:v>-0.00031827466628664425</x:v>
      </x:c>
      <x:c r="J1219" s="26" t="n">
        <x:v>4</x:v>
      </x:c>
      <x:c r="K1219" s="7" t="b">
        <x:v>0</x:v>
      </x:c>
      <x:c r="L1219" s="2" t="str">
        <x:v>April 2026</x:v>
      </x:c>
      <x:c r="M1219" s="2" t="str">
        <x:v>https://datawrapper.dwcdn.net/wQR5S/23/dataset.csv</x:v>
      </x:c>
    </x:row>
    <x:row r="1220" ht="24" customHeight="1">
      <x:c r="A1220" s="2" t="str">
        <x:v>Ramp</x:v>
      </x:c>
      <x:c r="B1220" s="2" t="str">
        <x:v>Quintiles</x:v>
      </x:c>
      <x:c r="C1220" s="2" t="str">
        <x:v>Q1</x:v>
      </x:c>
      <x:c r="D1220" s="28" t="n">
        <x:v>45352</x:v>
      </x:c>
      <x:c r="E1220" s="2" t="str">
        <x:v>2024Q1</x:v>
      </x:c>
      <x:c r="F1220" s="20" t="n">
        <x:v>30887.3</x:v>
      </x:c>
      <x:c r="G1220" s="20" t="n">
        <x:f>'Quarterly data'!$E$370</x:f>
        <x:v>30131.1</x:v>
      </x:c>
      <x:c r="H1220" s="22" t="n">
        <x:f>100*F1220/G1220</x:f>
        <x:v>102.50969928080953</x:v>
      </x:c>
      <x:c r="I1220" s="24" t="n">
        <x:f>H1220/100-1</x:f>
        <x:v>0.025096992808095298</x:v>
      </x:c>
      <x:c r="J1220" s="26" t="n">
        <x:v>4</x:v>
      </x:c>
      <x:c r="K1220" s="7" t="b">
        <x:v>0</x:v>
      </x:c>
      <x:c r="L1220" s="2" t="str">
        <x:v>April 2026</x:v>
      </x:c>
      <x:c r="M1220" s="2" t="str">
        <x:v>https://datawrapper.dwcdn.net/wQR5S/23/dataset.csv</x:v>
      </x:c>
    </x:row>
    <x:row r="1221" ht="24" customHeight="1">
      <x:c r="A1221" s="2" t="str">
        <x:v>Ramp</x:v>
      </x:c>
      <x:c r="B1221" s="2" t="str">
        <x:v>Quintiles</x:v>
      </x:c>
      <x:c r="C1221" s="2" t="str">
        <x:v>Q2</x:v>
      </x:c>
      <x:c r="D1221" s="28" t="n">
        <x:v>45352</x:v>
      </x:c>
      <x:c r="E1221" s="2" t="str">
        <x:v>2024Q1</x:v>
      </x:c>
      <x:c r="F1221" s="20" t="n">
        <x:v>31349.4</x:v>
      </x:c>
      <x:c r="G1221" s="20" t="n">
        <x:f>'Quarterly data'!$E$371</x:f>
        <x:v>30200.9333333333</x:v>
      </x:c>
      <x:c r="H1221" s="22" t="n">
        <x:f>100*F1221/G1221</x:f>
        <x:v>103.80275223282294</x:v>
      </x:c>
      <x:c r="I1221" s="24" t="n">
        <x:f>H1221/100-1</x:f>
        <x:v>0.03802752232822937</x:v>
      </x:c>
      <x:c r="J1221" s="26" t="n">
        <x:v>3</x:v>
      </x:c>
      <x:c r="K1221" s="7" t="b">
        <x:v>0</x:v>
      </x:c>
      <x:c r="L1221" s="2" t="str">
        <x:v>April 2026</x:v>
      </x:c>
      <x:c r="M1221" s="2" t="str">
        <x:v>https://datawrapper.dwcdn.net/wQR5S/23/dataset.csv</x:v>
      </x:c>
    </x:row>
    <x:row r="1222" ht="24" customHeight="1">
      <x:c r="A1222" s="2" t="str">
        <x:v>Ramp</x:v>
      </x:c>
      <x:c r="B1222" s="2" t="str">
        <x:v>Quintiles</x:v>
      </x:c>
      <x:c r="C1222" s="2" t="str">
        <x:v>Q3</x:v>
      </x:c>
      <x:c r="D1222" s="28" t="n">
        <x:v>45352</x:v>
      </x:c>
      <x:c r="E1222" s="2" t="str">
        <x:v>2024Q1</x:v>
      </x:c>
      <x:c r="F1222" s="20" t="n">
        <x:v>31474.3</x:v>
      </x:c>
      <x:c r="G1222" s="20" t="n">
        <x:f>'Quarterly data'!$E$372</x:f>
        <x:v>31749.8333333333</x:v>
      </x:c>
      <x:c r="H1222" s="22" t="n">
        <x:f>100*F1222/G1222</x:f>
        <x:v>99.13217392217292</x:v>
      </x:c>
      <x:c r="I1222" s="24" t="n">
        <x:f>H1222/100-1</x:f>
        <x:v>-0.008678260778270719</x:v>
      </x:c>
      <x:c r="J1222" s="26" t="n">
        <x:v>4</x:v>
      </x:c>
      <x:c r="K1222" s="7" t="b">
        <x:v>0</x:v>
      </x:c>
      <x:c r="L1222" s="2" t="str">
        <x:v>April 2026</x:v>
      </x:c>
      <x:c r="M1222" s="2" t="str">
        <x:v>https://datawrapper.dwcdn.net/wQR5S/23/dataset.csv</x:v>
      </x:c>
    </x:row>
    <x:row r="1223" ht="24" customHeight="1">
      <x:c r="A1223" s="2" t="str">
        <x:v>Ramp</x:v>
      </x:c>
      <x:c r="B1223" s="2" t="str">
        <x:v>Quintiles</x:v>
      </x:c>
      <x:c r="C1223" s="2" t="str">
        <x:v>Q4</x:v>
      </x:c>
      <x:c r="D1223" s="28" t="n">
        <x:v>45352</x:v>
      </x:c>
      <x:c r="E1223" s="2" t="str">
        <x:v>2024Q1</x:v>
      </x:c>
      <x:c r="F1223" s="20" t="n">
        <x:v>19400.6</x:v>
      </x:c>
      <x:c r="G1223" s="20" t="n">
        <x:f>'Quarterly data'!$E$373</x:f>
        <x:v>19279.9666666667</x:v>
      </x:c>
      <x:c r="H1223" s="22" t="n">
        <x:f>100*F1223/G1223</x:f>
        <x:v>100.62569264469664</x:v>
      </x:c>
      <x:c r="I1223" s="24" t="n">
        <x:f>H1223/100-1</x:f>
        <x:v>0.006256926446966515</x:v>
      </x:c>
      <x:c r="J1223" s="26" t="n">
        <x:v>3</x:v>
      </x:c>
      <x:c r="K1223" s="7" t="b">
        <x:v>0</x:v>
      </x:c>
      <x:c r="L1223" s="2" t="str">
        <x:v>April 2026</x:v>
      </x:c>
      <x:c r="M1223" s="2" t="str">
        <x:v>https://datawrapper.dwcdn.net/wQR5S/23/dataset.csv</x:v>
      </x:c>
    </x:row>
    <x:row r="1224" ht="24" customHeight="1">
      <x:c r="A1224" s="2" t="str">
        <x:v>Ramp</x:v>
      </x:c>
      <x:c r="B1224" s="2" t="str">
        <x:v>Quintiles</x:v>
      </x:c>
      <x:c r="C1224" s="2" t="str">
        <x:v>Q5</x:v>
      </x:c>
      <x:c r="D1224" s="28" t="n">
        <x:v>45352</x:v>
      </x:c>
      <x:c r="E1224" s="2" t="str">
        <x:v>2024Q1</x:v>
      </x:c>
      <x:c r="F1224" s="20" t="n">
        <x:v>21016.4</x:v>
      </x:c>
      <x:c r="G1224" s="20" t="n">
        <x:f>'Quarterly data'!$E$374</x:f>
        <x:v>21051</x:v>
      </x:c>
      <x:c r="H1224" s="22" t="n">
        <x:f>100*F1224/G1224</x:f>
        <x:v>99.8356372618878</x:v>
      </x:c>
      <x:c r="I1224" s="24" t="n">
        <x:f>H1224/100-1</x:f>
        <x:v>-0.0016436273811220037</x:v>
      </x:c>
      <x:c r="J1224" s="26" t="n">
        <x:v>4</x:v>
      </x:c>
      <x:c r="K1224" s="7" t="b">
        <x:v>0</x:v>
      </x:c>
      <x:c r="L1224" s="2" t="str">
        <x:v>April 2026</x:v>
      </x:c>
      <x:c r="M1224" s="2" t="str">
        <x:v>https://datawrapper.dwcdn.net/wQR5S/23/dataset.csv</x:v>
      </x:c>
    </x:row>
    <x:row r="1225" ht="24" customHeight="1">
      <x:c r="A1225" s="2" t="str">
        <x:v>Ramp</x:v>
      </x:c>
      <x:c r="B1225" s="2" t="str">
        <x:v>Quintiles</x:v>
      </x:c>
      <x:c r="C1225" s="2" t="str">
        <x:v>Q1</x:v>
      </x:c>
      <x:c r="D1225" s="28" t="n">
        <x:v>45383</x:v>
      </x:c>
      <x:c r="E1225" s="2" t="str">
        <x:v>2024Q2</x:v>
      </x:c>
      <x:c r="F1225" s="20" t="n">
        <x:v>30879.4</x:v>
      </x:c>
      <x:c r="G1225" s="20" t="n">
        <x:f>'Quarterly data'!$E$370</x:f>
        <x:v>30131.1</x:v>
      </x:c>
      <x:c r="H1225" s="22" t="n">
        <x:f>100*F1225/G1225</x:f>
        <x:v>102.48348052344588</x:v>
      </x:c>
      <x:c r="I1225" s="24" t="n">
        <x:f>H1225/100-1</x:f>
        <x:v>0.02483480523445869</x:v>
      </x:c>
      <x:c r="J1225" s="26" t="n">
        <x:v>4</x:v>
      </x:c>
      <x:c r="K1225" s="7" t="b">
        <x:v>0</x:v>
      </x:c>
      <x:c r="L1225" s="2" t="str">
        <x:v>April 2026</x:v>
      </x:c>
      <x:c r="M1225" s="2" t="str">
        <x:v>https://datawrapper.dwcdn.net/wQR5S/23/dataset.csv</x:v>
      </x:c>
    </x:row>
    <x:row r="1226" ht="24" customHeight="1">
      <x:c r="A1226" s="2" t="str">
        <x:v>Ramp</x:v>
      </x:c>
      <x:c r="B1226" s="2" t="str">
        <x:v>Quintiles</x:v>
      </x:c>
      <x:c r="C1226" s="2" t="str">
        <x:v>Q2</x:v>
      </x:c>
      <x:c r="D1226" s="28" t="n">
        <x:v>45383</x:v>
      </x:c>
      <x:c r="E1226" s="2" t="str">
        <x:v>2024Q2</x:v>
      </x:c>
      <x:c r="F1226" s="20" t="n">
        <x:v>31444</x:v>
      </x:c>
      <x:c r="G1226" s="20" t="n">
        <x:f>'Quarterly data'!$E$371</x:f>
        <x:v>30200.9333333333</x:v>
      </x:c>
      <x:c r="H1226" s="22" t="n">
        <x:f>100*F1226/G1226</x:f>
        <x:v>104.11598758537275</x:v>
      </x:c>
      <x:c r="I1226" s="24" t="n">
        <x:f>H1226/100-1</x:f>
        <x:v>0.04115987585372749</x:v>
      </x:c>
      <x:c r="J1226" s="26" t="n">
        <x:v>3</x:v>
      </x:c>
      <x:c r="K1226" s="7" t="b">
        <x:v>0</x:v>
      </x:c>
      <x:c r="L1226" s="2" t="str">
        <x:v>April 2026</x:v>
      </x:c>
      <x:c r="M1226" s="2" t="str">
        <x:v>https://datawrapper.dwcdn.net/wQR5S/23/dataset.csv</x:v>
      </x:c>
    </x:row>
    <x:row r="1227" ht="24" customHeight="1">
      <x:c r="A1227" s="2" t="str">
        <x:v>Ramp</x:v>
      </x:c>
      <x:c r="B1227" s="2" t="str">
        <x:v>Quintiles</x:v>
      </x:c>
      <x:c r="C1227" s="2" t="str">
        <x:v>Q3</x:v>
      </x:c>
      <x:c r="D1227" s="28" t="n">
        <x:v>45383</x:v>
      </x:c>
      <x:c r="E1227" s="2" t="str">
        <x:v>2024Q2</x:v>
      </x:c>
      <x:c r="F1227" s="20" t="n">
        <x:v>31454.9</x:v>
      </x:c>
      <x:c r="G1227" s="20" t="n">
        <x:f>'Quarterly data'!$E$372</x:f>
        <x:v>31749.8333333333</x:v>
      </x:c>
      <x:c r="H1227" s="22" t="n">
        <x:f>100*F1227/G1227</x:f>
        <x:v>99.07107123921921</x:v>
      </x:c>
      <x:c r="I1227" s="24" t="n">
        <x:f>H1227/100-1</x:f>
        <x:v>-0.009289287607807895</x:v>
      </x:c>
      <x:c r="J1227" s="26" t="n">
        <x:v>4</x:v>
      </x:c>
      <x:c r="K1227" s="7" t="b">
        <x:v>0</x:v>
      </x:c>
      <x:c r="L1227" s="2" t="str">
        <x:v>April 2026</x:v>
      </x:c>
      <x:c r="M1227" s="2" t="str">
        <x:v>https://datawrapper.dwcdn.net/wQR5S/23/dataset.csv</x:v>
      </x:c>
    </x:row>
    <x:row r="1228" ht="24" customHeight="1">
      <x:c r="A1228" s="2" t="str">
        <x:v>Ramp</x:v>
      </x:c>
      <x:c r="B1228" s="2" t="str">
        <x:v>Quintiles</x:v>
      </x:c>
      <x:c r="C1228" s="2" t="str">
        <x:v>Q4</x:v>
      </x:c>
      <x:c r="D1228" s="28" t="n">
        <x:v>45383</x:v>
      </x:c>
      <x:c r="E1228" s="2" t="str">
        <x:v>2024Q2</x:v>
      </x:c>
      <x:c r="F1228" s="20" t="n">
        <x:v>19400.3</x:v>
      </x:c>
      <x:c r="G1228" s="20" t="n">
        <x:f>'Quarterly data'!$E$373</x:f>
        <x:v>19279.9666666667</x:v>
      </x:c>
      <x:c r="H1228" s="22" t="n">
        <x:f>100*F1228/G1228</x:f>
        <x:v>100.62413662540892</x:v>
      </x:c>
      <x:c r="I1228" s="24" t="n">
        <x:f>H1228/100-1</x:f>
        <x:v>0.00624136625408922</x:v>
      </x:c>
      <x:c r="J1228" s="26" t="n">
        <x:v>3</x:v>
      </x:c>
      <x:c r="K1228" s="7" t="b">
        <x:v>0</x:v>
      </x:c>
      <x:c r="L1228" s="2" t="str">
        <x:v>April 2026</x:v>
      </x:c>
      <x:c r="M1228" s="2" t="str">
        <x:v>https://datawrapper.dwcdn.net/wQR5S/23/dataset.csv</x:v>
      </x:c>
    </x:row>
    <x:row r="1229" ht="24" customHeight="1">
      <x:c r="A1229" s="2" t="str">
        <x:v>Ramp</x:v>
      </x:c>
      <x:c r="B1229" s="2" t="str">
        <x:v>Quintiles</x:v>
      </x:c>
      <x:c r="C1229" s="2" t="str">
        <x:v>Q5</x:v>
      </x:c>
      <x:c r="D1229" s="28" t="n">
        <x:v>45383</x:v>
      </x:c>
      <x:c r="E1229" s="2" t="str">
        <x:v>2024Q2</x:v>
      </x:c>
      <x:c r="F1229" s="20" t="n">
        <x:v>21013.3</x:v>
      </x:c>
      <x:c r="G1229" s="20" t="n">
        <x:f>'Quarterly data'!$E$374</x:f>
        <x:v>21051</x:v>
      </x:c>
      <x:c r="H1229" s="22" t="n">
        <x:f>100*F1229/G1229</x:f>
        <x:v>99.82091112061185</x:v>
      </x:c>
      <x:c r="I1229" s="24" t="n">
        <x:f>H1229/100-1</x:f>
        <x:v>-0.001790888793881451</x:v>
      </x:c>
      <x:c r="J1229" s="26" t="n">
        <x:v>4</x:v>
      </x:c>
      <x:c r="K1229" s="7" t="b">
        <x:v>0</x:v>
      </x:c>
      <x:c r="L1229" s="2" t="str">
        <x:v>April 2026</x:v>
      </x:c>
      <x:c r="M1229" s="2" t="str">
        <x:v>https://datawrapper.dwcdn.net/wQR5S/23/dataset.csv</x:v>
      </x:c>
    </x:row>
    <x:row r="1230" ht="24" customHeight="1">
      <x:c r="A1230" s="2" t="str">
        <x:v>Ramp</x:v>
      </x:c>
      <x:c r="B1230" s="2" t="str">
        <x:v>Quintiles</x:v>
      </x:c>
      <x:c r="C1230" s="2" t="str">
        <x:v>Q1</x:v>
      </x:c>
      <x:c r="D1230" s="28" t="n">
        <x:v>45413</x:v>
      </x:c>
      <x:c r="E1230" s="2" t="str">
        <x:v>2024Q2</x:v>
      </x:c>
      <x:c r="F1230" s="20" t="n">
        <x:v>30856.1</x:v>
      </x:c>
      <x:c r="G1230" s="20" t="n">
        <x:f>'Quarterly data'!$E$370</x:f>
        <x:v>30131.1</x:v>
      </x:c>
      <x:c r="H1230" s="22" t="n">
        <x:f>100*F1230/G1230</x:f>
        <x:v>102.40615178337333</x:v>
      </x:c>
      <x:c r="I1230" s="24" t="n">
        <x:f>H1230/100-1</x:f>
        <x:v>0.024061517833733337</x:v>
      </x:c>
      <x:c r="J1230" s="26" t="n">
        <x:v>4</x:v>
      </x:c>
      <x:c r="K1230" s="7" t="b">
        <x:v>0</x:v>
      </x:c>
      <x:c r="L1230" s="2" t="str">
        <x:v>April 2026</x:v>
      </x:c>
      <x:c r="M1230" s="2" t="str">
        <x:v>https://datawrapper.dwcdn.net/wQR5S/23/dataset.csv</x:v>
      </x:c>
    </x:row>
    <x:row r="1231" ht="24" customHeight="1">
      <x:c r="A1231" s="2" t="str">
        <x:v>Ramp</x:v>
      </x:c>
      <x:c r="B1231" s="2" t="str">
        <x:v>Quintiles</x:v>
      </x:c>
      <x:c r="C1231" s="2" t="str">
        <x:v>Q2</x:v>
      </x:c>
      <x:c r="D1231" s="28" t="n">
        <x:v>45413</x:v>
      </x:c>
      <x:c r="E1231" s="2" t="str">
        <x:v>2024Q2</x:v>
      </x:c>
      <x:c r="F1231" s="20" t="n">
        <x:v>31519.8</x:v>
      </x:c>
      <x:c r="G1231" s="20" t="n">
        <x:f>'Quarterly data'!$E$371</x:f>
        <x:v>30200.9333333333</x:v>
      </x:c>
      <x:c r="H1231" s="22" t="n">
        <x:f>100*F1231/G1231</x:f>
        <x:v>104.36697320612619</x:v>
      </x:c>
      <x:c r="I1231" s="24" t="n">
        <x:f>H1231/100-1</x:f>
        <x:v>0.04366973206126179</x:v>
      </x:c>
      <x:c r="J1231" s="26" t="n">
        <x:v>3</x:v>
      </x:c>
      <x:c r="K1231" s="7" t="b">
        <x:v>0</x:v>
      </x:c>
      <x:c r="L1231" s="2" t="str">
        <x:v>April 2026</x:v>
      </x:c>
      <x:c r="M1231" s="2" t="str">
        <x:v>https://datawrapper.dwcdn.net/wQR5S/23/dataset.csv</x:v>
      </x:c>
    </x:row>
    <x:row r="1232" ht="24" customHeight="1">
      <x:c r="A1232" s="2" t="str">
        <x:v>Ramp</x:v>
      </x:c>
      <x:c r="B1232" s="2" t="str">
        <x:v>Quintiles</x:v>
      </x:c>
      <x:c r="C1232" s="2" t="str">
        <x:v>Q3</x:v>
      </x:c>
      <x:c r="D1232" s="28" t="n">
        <x:v>45413</x:v>
      </x:c>
      <x:c r="E1232" s="2" t="str">
        <x:v>2024Q2</x:v>
      </x:c>
      <x:c r="F1232" s="20" t="n">
        <x:v>31434.1</x:v>
      </x:c>
      <x:c r="G1232" s="20" t="n">
        <x:f>'Quarterly data'!$E$372</x:f>
        <x:v>31749.8333333333</x:v>
      </x:c>
      <x:c r="H1232" s="22" t="n">
        <x:f>100*F1232/G1232</x:f>
        <x:v>99.00555908429976</x:v>
      </x:c>
      <x:c r="I1232" s="24" t="n">
        <x:f>H1232/100-1</x:f>
        <x:v>-0.009944409157002343</x:v>
      </x:c>
      <x:c r="J1232" s="26" t="n">
        <x:v>4</x:v>
      </x:c>
      <x:c r="K1232" s="7" t="b">
        <x:v>0</x:v>
      </x:c>
      <x:c r="L1232" s="2" t="str">
        <x:v>April 2026</x:v>
      </x:c>
      <x:c r="M1232" s="2" t="str">
        <x:v>https://datawrapper.dwcdn.net/wQR5S/23/dataset.csv</x:v>
      </x:c>
    </x:row>
    <x:row r="1233" ht="24" customHeight="1">
      <x:c r="A1233" s="2" t="str">
        <x:v>Ramp</x:v>
      </x:c>
      <x:c r="B1233" s="2" t="str">
        <x:v>Quintiles</x:v>
      </x:c>
      <x:c r="C1233" s="2" t="str">
        <x:v>Q4</x:v>
      </x:c>
      <x:c r="D1233" s="28" t="n">
        <x:v>45413</x:v>
      </x:c>
      <x:c r="E1233" s="2" t="str">
        <x:v>2024Q2</x:v>
      </x:c>
      <x:c r="F1233" s="20" t="n">
        <x:v>19394.3</x:v>
      </x:c>
      <x:c r="G1233" s="20" t="n">
        <x:f>'Quarterly data'!$E$373</x:f>
        <x:v>19279.9666666667</x:v>
      </x:c>
      <x:c r="H1233" s="22" t="n">
        <x:f>100*F1233/G1233</x:f>
        <x:v>100.59301623965446</x:v>
      </x:c>
      <x:c r="I1233" s="24" t="n">
        <x:f>H1233/100-1</x:f>
        <x:v>0.005930162396544647</x:v>
      </x:c>
      <x:c r="J1233" s="26" t="n">
        <x:v>3</x:v>
      </x:c>
      <x:c r="K1233" s="7" t="b">
        <x:v>0</x:v>
      </x:c>
      <x:c r="L1233" s="2" t="str">
        <x:v>April 2026</x:v>
      </x:c>
      <x:c r="M1233" s="2" t="str">
        <x:v>https://datawrapper.dwcdn.net/wQR5S/23/dataset.csv</x:v>
      </x:c>
    </x:row>
    <x:row r="1234" ht="24" customHeight="1">
      <x:c r="A1234" s="2" t="str">
        <x:v>Ramp</x:v>
      </x:c>
      <x:c r="B1234" s="2" t="str">
        <x:v>Quintiles</x:v>
      </x:c>
      <x:c r="C1234" s="2" t="str">
        <x:v>Q5</x:v>
      </x:c>
      <x:c r="D1234" s="28" t="n">
        <x:v>45413</x:v>
      </x:c>
      <x:c r="E1234" s="2" t="str">
        <x:v>2024Q2</x:v>
      </x:c>
      <x:c r="F1234" s="20" t="n">
        <x:v>21034.2</x:v>
      </x:c>
      <x:c r="G1234" s="20" t="n">
        <x:f>'Quarterly data'!$E$374</x:f>
        <x:v>21051</x:v>
      </x:c>
      <x:c r="H1234" s="22" t="n">
        <x:f>100*F1234/G1234</x:f>
        <x:v>99.92019381502067</x:v>
      </x:c>
      <x:c r="I1234" s="24" t="n">
        <x:f>H1234/100-1</x:f>
        <x:v>-0.0007980618497933634</x:v>
      </x:c>
      <x:c r="J1234" s="26" t="n">
        <x:v>4</x:v>
      </x:c>
      <x:c r="K1234" s="7" t="b">
        <x:v>0</x:v>
      </x:c>
      <x:c r="L1234" s="2" t="str">
        <x:v>April 2026</x:v>
      </x:c>
      <x:c r="M1234" s="2" t="str">
        <x:v>https://datawrapper.dwcdn.net/wQR5S/23/dataset.csv</x:v>
      </x:c>
    </x:row>
    <x:row r="1235" ht="24" customHeight="1">
      <x:c r="A1235" s="2" t="str">
        <x:v>Ramp</x:v>
      </x:c>
      <x:c r="B1235" s="2" t="str">
        <x:v>Quintiles</x:v>
      </x:c>
      <x:c r="C1235" s="2" t="str">
        <x:v>Q1</x:v>
      </x:c>
      <x:c r="D1235" s="28" t="n">
        <x:v>45444</x:v>
      </x:c>
      <x:c r="E1235" s="2" t="str">
        <x:v>2024Q2</x:v>
      </x:c>
      <x:c r="F1235" s="20" t="n">
        <x:v>30901.7</x:v>
      </x:c>
      <x:c r="G1235" s="20" t="n">
        <x:f>'Quarterly data'!$E$370</x:f>
        <x:v>30131.1</x:v>
      </x:c>
      <x:c r="H1235" s="22" t="n">
        <x:f>100*F1235/G1235</x:f>
        <x:v>102.5574904334724</x:v>
      </x:c>
      <x:c r="I1235" s="24" t="n">
        <x:f>H1235/100-1</x:f>
        <x:v>0.02557490433472398</x:v>
      </x:c>
      <x:c r="J1235" s="26" t="n">
        <x:v>4</x:v>
      </x:c>
      <x:c r="K1235" s="7" t="b">
        <x:v>0</x:v>
      </x:c>
      <x:c r="L1235" s="2" t="str">
        <x:v>April 2026</x:v>
      </x:c>
      <x:c r="M1235" s="2" t="str">
        <x:v>https://datawrapper.dwcdn.net/wQR5S/23/dataset.csv</x:v>
      </x:c>
    </x:row>
    <x:row r="1236" ht="24" customHeight="1">
      <x:c r="A1236" s="2" t="str">
        <x:v>Ramp</x:v>
      </x:c>
      <x:c r="B1236" s="2" t="str">
        <x:v>Quintiles</x:v>
      </x:c>
      <x:c r="C1236" s="2" t="str">
        <x:v>Q2</x:v>
      </x:c>
      <x:c r="D1236" s="28" t="n">
        <x:v>45444</x:v>
      </x:c>
      <x:c r="E1236" s="2" t="str">
        <x:v>2024Q2</x:v>
      </x:c>
      <x:c r="F1236" s="20" t="n">
        <x:v>31590.3</x:v>
      </x:c>
      <x:c r="G1236" s="20" t="n">
        <x:f>'Quarterly data'!$E$371</x:f>
        <x:v>30200.9333333333</x:v>
      </x:c>
      <x:c r="H1236" s="22" t="n">
        <x:f>100*F1236/G1236</x:f>
        <x:v>104.60040970036258</x:v>
      </x:c>
      <x:c r="I1236" s="24" t="n">
        <x:f>H1236/100-1</x:f>
        <x:v>0.04600409700362573</x:v>
      </x:c>
      <x:c r="J1236" s="26" t="n">
        <x:v>3</x:v>
      </x:c>
      <x:c r="K1236" s="7" t="b">
        <x:v>0</x:v>
      </x:c>
      <x:c r="L1236" s="2" t="str">
        <x:v>April 2026</x:v>
      </x:c>
      <x:c r="M1236" s="2" t="str">
        <x:v>https://datawrapper.dwcdn.net/wQR5S/23/dataset.csv</x:v>
      </x:c>
    </x:row>
    <x:row r="1237" ht="24" customHeight="1">
      <x:c r="A1237" s="2" t="str">
        <x:v>Ramp</x:v>
      </x:c>
      <x:c r="B1237" s="2" t="str">
        <x:v>Quintiles</x:v>
      </x:c>
      <x:c r="C1237" s="2" t="str">
        <x:v>Q3</x:v>
      </x:c>
      <x:c r="D1237" s="28" t="n">
        <x:v>45444</x:v>
      </x:c>
      <x:c r="E1237" s="2" t="str">
        <x:v>2024Q2</x:v>
      </x:c>
      <x:c r="F1237" s="20" t="n">
        <x:v>31365.4</x:v>
      </x:c>
      <x:c r="G1237" s="20" t="n">
        <x:f>'Quarterly data'!$E$372</x:f>
        <x:v>31749.8333333333</x:v>
      </x:c>
      <x:c r="H1237" s="22" t="n">
        <x:f>100*F1237/G1237</x:f>
        <x:v>98.78917999569562</x:v>
      </x:c>
      <x:c r="I1237" s="24" t="n">
        <x:f>H1237/100-1</x:f>
        <x:v>-0.012108200043043804</x:v>
      </x:c>
      <x:c r="J1237" s="26" t="n">
        <x:v>4</x:v>
      </x:c>
      <x:c r="K1237" s="7" t="b">
        <x:v>0</x:v>
      </x:c>
      <x:c r="L1237" s="2" t="str">
        <x:v>April 2026</x:v>
      </x:c>
      <x:c r="M1237" s="2" t="str">
        <x:v>https://datawrapper.dwcdn.net/wQR5S/23/dataset.csv</x:v>
      </x:c>
    </x:row>
    <x:row r="1238" ht="24" customHeight="1">
      <x:c r="A1238" s="2" t="str">
        <x:v>Ramp</x:v>
      </x:c>
      <x:c r="B1238" s="2" t="str">
        <x:v>Quintiles</x:v>
      </x:c>
      <x:c r="C1238" s="2" t="str">
        <x:v>Q4</x:v>
      </x:c>
      <x:c r="D1238" s="28" t="n">
        <x:v>45444</x:v>
      </x:c>
      <x:c r="E1238" s="2" t="str">
        <x:v>2024Q2</x:v>
      </x:c>
      <x:c r="F1238" s="20" t="n">
        <x:v>19407</x:v>
      </x:c>
      <x:c r="G1238" s="20" t="n">
        <x:f>'Quarterly data'!$E$373</x:f>
        <x:v>19279.9666666667</x:v>
      </x:c>
      <x:c r="H1238" s="22" t="n">
        <x:f>100*F1238/G1238</x:f>
        <x:v>100.65888772283475</x:v>
      </x:c>
      <x:c r="I1238" s="24" t="n">
        <x:f>H1238/100-1</x:f>
        <x:v>0.006588877228347556</x:v>
      </x:c>
      <x:c r="J1238" s="26" t="n">
        <x:v>3</x:v>
      </x:c>
      <x:c r="K1238" s="7" t="b">
        <x:v>0</x:v>
      </x:c>
      <x:c r="L1238" s="2" t="str">
        <x:v>April 2026</x:v>
      </x:c>
      <x:c r="M1238" s="2" t="str">
        <x:v>https://datawrapper.dwcdn.net/wQR5S/23/dataset.csv</x:v>
      </x:c>
    </x:row>
    <x:row r="1239" ht="24" customHeight="1">
      <x:c r="A1239" s="2" t="str">
        <x:v>Ramp</x:v>
      </x:c>
      <x:c r="B1239" s="2" t="str">
        <x:v>Quintiles</x:v>
      </x:c>
      <x:c r="C1239" s="2" t="str">
        <x:v>Q5</x:v>
      </x:c>
      <x:c r="D1239" s="28" t="n">
        <x:v>45444</x:v>
      </x:c>
      <x:c r="E1239" s="2" t="str">
        <x:v>2024Q2</x:v>
      </x:c>
      <x:c r="F1239" s="20" t="n">
        <x:v>21052.8</x:v>
      </x:c>
      <x:c r="G1239" s="20" t="n">
        <x:f>'Quarterly data'!$E$374</x:f>
        <x:v>21051</x:v>
      </x:c>
      <x:c r="H1239" s="22" t="n">
        <x:f>100*F1239/G1239</x:f>
        <x:v>100.00855066267636</x:v>
      </x:c>
      <x:c r="I1239" s="24" t="n">
        <x:f>H1239/100-1</x:f>
        <x:v>0.00008550662676354293</x:v>
      </x:c>
      <x:c r="J1239" s="26" t="n">
        <x:v>4</x:v>
      </x:c>
      <x:c r="K1239" s="7" t="b">
        <x:v>0</x:v>
      </x:c>
      <x:c r="L1239" s="2" t="str">
        <x:v>April 2026</x:v>
      </x:c>
      <x:c r="M1239" s="2" t="str">
        <x:v>https://datawrapper.dwcdn.net/wQR5S/23/dataset.csv</x:v>
      </x:c>
    </x:row>
    <x:row r="1240" ht="24" customHeight="1">
      <x:c r="A1240" s="2" t="str">
        <x:v>Ramp</x:v>
      </x:c>
      <x:c r="B1240" s="2" t="str">
        <x:v>Quintiles</x:v>
      </x:c>
      <x:c r="C1240" s="2" t="str">
        <x:v>Q1</x:v>
      </x:c>
      <x:c r="D1240" s="28" t="n">
        <x:v>45474</x:v>
      </x:c>
      <x:c r="E1240" s="2" t="str">
        <x:v>2024Q3</x:v>
      </x:c>
      <x:c r="F1240" s="20" t="n">
        <x:v>30920.4</x:v>
      </x:c>
      <x:c r="G1240" s="20" t="n">
        <x:f>'Quarterly data'!$E$370</x:f>
        <x:v>30131.1</x:v>
      </x:c>
      <x:c r="H1240" s="22" t="n">
        <x:f>100*F1240/G1240</x:f>
        <x:v>102.6195525553332</x:v>
      </x:c>
      <x:c r="I1240" s="24" t="n">
        <x:f>H1240/100-1</x:f>
        <x:v>0.026195525553331933</x:v>
      </x:c>
      <x:c r="J1240" s="26" t="n">
        <x:v>4</x:v>
      </x:c>
      <x:c r="K1240" s="7" t="b">
        <x:v>0</x:v>
      </x:c>
      <x:c r="L1240" s="2" t="str">
        <x:v>April 2026</x:v>
      </x:c>
      <x:c r="M1240" s="2" t="str">
        <x:v>https://datawrapper.dwcdn.net/wQR5S/23/dataset.csv</x:v>
      </x:c>
    </x:row>
    <x:row r="1241" ht="24" customHeight="1">
      <x:c r="A1241" s="2" t="str">
        <x:v>Ramp</x:v>
      </x:c>
      <x:c r="B1241" s="2" t="str">
        <x:v>Quintiles</x:v>
      </x:c>
      <x:c r="C1241" s="2" t="str">
        <x:v>Q2</x:v>
      </x:c>
      <x:c r="D1241" s="28" t="n">
        <x:v>45474</x:v>
      </x:c>
      <x:c r="E1241" s="2" t="str">
        <x:v>2024Q3</x:v>
      </x:c>
      <x:c r="F1241" s="20" t="n">
        <x:v>31636.6</x:v>
      </x:c>
      <x:c r="G1241" s="20" t="n">
        <x:f>'Quarterly data'!$E$371</x:f>
        <x:v>30200.9333333333</x:v>
      </x:c>
      <x:c r="H1241" s="22" t="n">
        <x:f>100*F1241/G1241</x:f>
        <x:v>104.75371622069086</x:v>
      </x:c>
      <x:c r="I1241" s="24" t="n">
        <x:f>H1241/100-1</x:f>
        <x:v>0.04753716220690851</x:v>
      </x:c>
      <x:c r="J1241" s="26" t="n">
        <x:v>3</x:v>
      </x:c>
      <x:c r="K1241" s="7" t="b">
        <x:v>0</x:v>
      </x:c>
      <x:c r="L1241" s="2" t="str">
        <x:v>April 2026</x:v>
      </x:c>
      <x:c r="M1241" s="2" t="str">
        <x:v>https://datawrapper.dwcdn.net/wQR5S/23/dataset.csv</x:v>
      </x:c>
    </x:row>
    <x:row r="1242" ht="24" customHeight="1">
      <x:c r="A1242" s="2" t="str">
        <x:v>Ramp</x:v>
      </x:c>
      <x:c r="B1242" s="2" t="str">
        <x:v>Quintiles</x:v>
      </x:c>
      <x:c r="C1242" s="2" t="str">
        <x:v>Q3</x:v>
      </x:c>
      <x:c r="D1242" s="28" t="n">
        <x:v>45474</x:v>
      </x:c>
      <x:c r="E1242" s="2" t="str">
        <x:v>2024Q3</x:v>
      </x:c>
      <x:c r="F1242" s="20" t="n">
        <x:v>31335</x:v>
      </x:c>
      <x:c r="G1242" s="20" t="n">
        <x:f>'Quarterly data'!$E$372</x:f>
        <x:v>31749.8333333333</x:v>
      </x:c>
      <x:c r="H1242" s="22" t="n">
        <x:f>100*F1242/G1242</x:f>
        <x:v>98.69343146158258</x:v>
      </x:c>
      <x:c r="I1242" s="24" t="n">
        <x:f>H1242/100-1</x:f>
        <x:v>-0.013065685384174186</x:v>
      </x:c>
      <x:c r="J1242" s="26" t="n">
        <x:v>4</x:v>
      </x:c>
      <x:c r="K1242" s="7" t="b">
        <x:v>0</x:v>
      </x:c>
      <x:c r="L1242" s="2" t="str">
        <x:v>April 2026</x:v>
      </x:c>
      <x:c r="M1242" s="2" t="str">
        <x:v>https://datawrapper.dwcdn.net/wQR5S/23/dataset.csv</x:v>
      </x:c>
    </x:row>
    <x:row r="1243" ht="24" customHeight="1">
      <x:c r="A1243" s="2" t="str">
        <x:v>Ramp</x:v>
      </x:c>
      <x:c r="B1243" s="2" t="str">
        <x:v>Quintiles</x:v>
      </x:c>
      <x:c r="C1243" s="2" t="str">
        <x:v>Q4</x:v>
      </x:c>
      <x:c r="D1243" s="28" t="n">
        <x:v>45474</x:v>
      </x:c>
      <x:c r="E1243" s="2" t="str">
        <x:v>2024Q3</x:v>
      </x:c>
      <x:c r="F1243" s="20" t="n">
        <x:v>19395.2</x:v>
      </x:c>
      <x:c r="G1243" s="20" t="n">
        <x:f>'Quarterly data'!$E$373</x:f>
        <x:v>19279.9666666667</x:v>
      </x:c>
      <x:c r="H1243" s="22" t="n">
        <x:f>100*F1243/G1243</x:f>
        <x:v>100.59768429751763</x:v>
      </x:c>
      <x:c r="I1243" s="24" t="n">
        <x:f>H1243/100-1</x:f>
        <x:v>0.005976842975176311</x:v>
      </x:c>
      <x:c r="J1243" s="26" t="n">
        <x:v>3</x:v>
      </x:c>
      <x:c r="K1243" s="7" t="b">
        <x:v>0</x:v>
      </x:c>
      <x:c r="L1243" s="2" t="str">
        <x:v>April 2026</x:v>
      </x:c>
      <x:c r="M1243" s="2" t="str">
        <x:v>https://datawrapper.dwcdn.net/wQR5S/23/dataset.csv</x:v>
      </x:c>
    </x:row>
    <x:row r="1244" ht="24" customHeight="1">
      <x:c r="A1244" s="2" t="str">
        <x:v>Ramp</x:v>
      </x:c>
      <x:c r="B1244" s="2" t="str">
        <x:v>Quintiles</x:v>
      </x:c>
      <x:c r="C1244" s="2" t="str">
        <x:v>Q5</x:v>
      </x:c>
      <x:c r="D1244" s="28" t="n">
        <x:v>45474</x:v>
      </x:c>
      <x:c r="E1244" s="2" t="str">
        <x:v>2024Q3</x:v>
      </x:c>
      <x:c r="F1244" s="20" t="n">
        <x:v>21020.8</x:v>
      </x:c>
      <x:c r="G1244" s="20" t="n">
        <x:f>'Quarterly data'!$E$374</x:f>
        <x:v>21051</x:v>
      </x:c>
      <x:c r="H1244" s="22" t="n">
        <x:f>100*F1244/G1244</x:f>
        <x:v>99.85653888176334</x:v>
      </x:c>
      <x:c r="I1244" s="24" t="n">
        <x:f>H1244/100-1</x:f>
        <x:v>-0.0014346111823665408</x:v>
      </x:c>
      <x:c r="J1244" s="26" t="n">
        <x:v>4</x:v>
      </x:c>
      <x:c r="K1244" s="7" t="b">
        <x:v>0</x:v>
      </x:c>
      <x:c r="L1244" s="2" t="str">
        <x:v>April 2026</x:v>
      </x:c>
      <x:c r="M1244" s="2" t="str">
        <x:v>https://datawrapper.dwcdn.net/wQR5S/23/dataset.csv</x:v>
      </x:c>
    </x:row>
    <x:row r="1245" ht="24" customHeight="1">
      <x:c r="A1245" s="2" t="str">
        <x:v>Ramp</x:v>
      </x:c>
      <x:c r="B1245" s="2" t="str">
        <x:v>Quintiles</x:v>
      </x:c>
      <x:c r="C1245" s="2" t="str">
        <x:v>Q1</x:v>
      </x:c>
      <x:c r="D1245" s="28" t="n">
        <x:v>45505</x:v>
      </x:c>
      <x:c r="E1245" s="2" t="str">
        <x:v>2024Q3</x:v>
      </x:c>
      <x:c r="F1245" s="20" t="n">
        <x:v>30939</x:v>
      </x:c>
      <x:c r="G1245" s="20" t="n">
        <x:f>'Quarterly data'!$E$370</x:f>
        <x:v>30131.1</x:v>
      </x:c>
      <x:c r="H1245" s="22" t="n">
        <x:f>100*F1245/G1245</x:f>
        <x:v>102.6812827941894</x:v>
      </x:c>
      <x:c r="I1245" s="24" t="n">
        <x:f>H1245/100-1</x:f>
        <x:v>0.02681282794189399</x:v>
      </x:c>
      <x:c r="J1245" s="26" t="n">
        <x:v>4</x:v>
      </x:c>
      <x:c r="K1245" s="7" t="b">
        <x:v>0</x:v>
      </x:c>
      <x:c r="L1245" s="2" t="str">
        <x:v>April 2026</x:v>
      </x:c>
      <x:c r="M1245" s="2" t="str">
        <x:v>https://datawrapper.dwcdn.net/wQR5S/23/dataset.csv</x:v>
      </x:c>
    </x:row>
    <x:row r="1246" ht="24" customHeight="1">
      <x:c r="A1246" s="2" t="str">
        <x:v>Ramp</x:v>
      </x:c>
      <x:c r="B1246" s="2" t="str">
        <x:v>Quintiles</x:v>
      </x:c>
      <x:c r="C1246" s="2" t="str">
        <x:v>Q2</x:v>
      </x:c>
      <x:c r="D1246" s="28" t="n">
        <x:v>45505</x:v>
      </x:c>
      <x:c r="E1246" s="2" t="str">
        <x:v>2024Q3</x:v>
      </x:c>
      <x:c r="F1246" s="20" t="n">
        <x:v>31682.8</x:v>
      </x:c>
      <x:c r="G1246" s="20" t="n">
        <x:f>'Quarterly data'!$E$371</x:f>
        <x:v>30200.9333333333</x:v>
      </x:c>
      <x:c r="H1246" s="22" t="n">
        <x:f>100*F1246/G1246</x:f>
        <x:v>104.90669162542449</x:v>
      </x:c>
      <x:c r="I1246" s="24" t="n">
        <x:f>H1246/100-1</x:f>
        <x:v>0.04906691625424475</x:v>
      </x:c>
      <x:c r="J1246" s="26" t="n">
        <x:v>3</x:v>
      </x:c>
      <x:c r="K1246" s="7" t="b">
        <x:v>0</x:v>
      </x:c>
      <x:c r="L1246" s="2" t="str">
        <x:v>April 2026</x:v>
      </x:c>
      <x:c r="M1246" s="2" t="str">
        <x:v>https://datawrapper.dwcdn.net/wQR5S/23/dataset.csv</x:v>
      </x:c>
    </x:row>
    <x:row r="1247" ht="24" customHeight="1">
      <x:c r="A1247" s="2" t="str">
        <x:v>Ramp</x:v>
      </x:c>
      <x:c r="B1247" s="2" t="str">
        <x:v>Quintiles</x:v>
      </x:c>
      <x:c r="C1247" s="2" t="str">
        <x:v>Q3</x:v>
      </x:c>
      <x:c r="D1247" s="28" t="n">
        <x:v>45505</x:v>
      </x:c>
      <x:c r="E1247" s="2" t="str">
        <x:v>2024Q3</x:v>
      </x:c>
      <x:c r="F1247" s="20" t="n">
        <x:v>31282.5</x:v>
      </x:c>
      <x:c r="G1247" s="20" t="n">
        <x:f>'Quarterly data'!$E$372</x:f>
        <x:v>31749.8333333333</x:v>
      </x:c>
      <x:c r="H1247" s="22" t="n">
        <x:f>100*F1247/G1247</x:f>
        <x:v>98.52807626286763</x:v>
      </x:c>
      <x:c r="I1247" s="24" t="n">
        <x:f>H1247/100-1</x:f>
        <x:v>-0.014719237371323746</x:v>
      </x:c>
      <x:c r="J1247" s="26" t="n">
        <x:v>4</x:v>
      </x:c>
      <x:c r="K1247" s="7" t="b">
        <x:v>0</x:v>
      </x:c>
      <x:c r="L1247" s="2" t="str">
        <x:v>April 2026</x:v>
      </x:c>
      <x:c r="M1247" s="2" t="str">
        <x:v>https://datawrapper.dwcdn.net/wQR5S/23/dataset.csv</x:v>
      </x:c>
    </x:row>
    <x:row r="1248" ht="24" customHeight="1">
      <x:c r="A1248" s="2" t="str">
        <x:v>Ramp</x:v>
      </x:c>
      <x:c r="B1248" s="2" t="str">
        <x:v>Quintiles</x:v>
      </x:c>
      <x:c r="C1248" s="2" t="str">
        <x:v>Q4</x:v>
      </x:c>
      <x:c r="D1248" s="28" t="n">
        <x:v>45505</x:v>
      </x:c>
      <x:c r="E1248" s="2" t="str">
        <x:v>2024Q3</x:v>
      </x:c>
      <x:c r="F1248" s="20" t="n">
        <x:v>19371.2</x:v>
      </x:c>
      <x:c r="G1248" s="20" t="n">
        <x:f>'Quarterly data'!$E$373</x:f>
        <x:v>19279.9666666667</x:v>
      </x:c>
      <x:c r="H1248" s="22" t="n">
        <x:f>100*F1248/G1248</x:f>
        <x:v>100.47320275449975</x:v>
      </x:c>
      <x:c r="I1248" s="24" t="n">
        <x:f>H1248/100-1</x:f>
        <x:v>0.004732027544997575</x:v>
      </x:c>
      <x:c r="J1248" s="26" t="n">
        <x:v>3</x:v>
      </x:c>
      <x:c r="K1248" s="7" t="b">
        <x:v>0</x:v>
      </x:c>
      <x:c r="L1248" s="2" t="str">
        <x:v>April 2026</x:v>
      </x:c>
      <x:c r="M1248" s="2" t="str">
        <x:v>https://datawrapper.dwcdn.net/wQR5S/23/dataset.csv</x:v>
      </x:c>
    </x:row>
    <x:row r="1249" ht="24" customHeight="1">
      <x:c r="A1249" s="2" t="str">
        <x:v>Ramp</x:v>
      </x:c>
      <x:c r="B1249" s="2" t="str">
        <x:v>Quintiles</x:v>
      </x:c>
      <x:c r="C1249" s="2" t="str">
        <x:v>Q5</x:v>
      </x:c>
      <x:c r="D1249" s="28" t="n">
        <x:v>45505</x:v>
      </x:c>
      <x:c r="E1249" s="2" t="str">
        <x:v>2024Q3</x:v>
      </x:c>
      <x:c r="F1249" s="20" t="n">
        <x:v>21006</x:v>
      </x:c>
      <x:c r="G1249" s="20" t="n">
        <x:f>'Quarterly data'!$E$374</x:f>
        <x:v>21051</x:v>
      </x:c>
      <x:c r="H1249" s="22" t="n">
        <x:f>100*F1249/G1249</x:f>
        <x:v>99.78623343309107</x:v>
      </x:c>
      <x:c r="I1249" s="24" t="n">
        <x:f>H1249/100-1</x:f>
        <x:v>-0.0021376656690893503</x:v>
      </x:c>
      <x:c r="J1249" s="26" t="n">
        <x:v>4</x:v>
      </x:c>
      <x:c r="K1249" s="7" t="b">
        <x:v>0</x:v>
      </x:c>
      <x:c r="L1249" s="2" t="str">
        <x:v>April 2026</x:v>
      </x:c>
      <x:c r="M1249" s="2" t="str">
        <x:v>https://datawrapper.dwcdn.net/wQR5S/23/dataset.csv</x:v>
      </x:c>
    </x:row>
    <x:row r="1250" ht="24" customHeight="1">
      <x:c r="A1250" s="2" t="str">
        <x:v>Ramp</x:v>
      </x:c>
      <x:c r="B1250" s="2" t="str">
        <x:v>Quintiles</x:v>
      </x:c>
      <x:c r="C1250" s="2" t="str">
        <x:v>Q1</x:v>
      </x:c>
      <x:c r="D1250" s="28" t="n">
        <x:v>45536</x:v>
      </x:c>
      <x:c r="E1250" s="2" t="str">
        <x:v>2024Q3</x:v>
      </x:c>
      <x:c r="F1250" s="20" t="n">
        <x:v>30988.9</x:v>
      </x:c>
      <x:c r="G1250" s="20" t="n">
        <x:f>'Quarterly data'!$E$370</x:f>
        <x:v>30131.1</x:v>
      </x:c>
      <x:c r="H1250" s="22" t="n">
        <x:f>100*F1250/G1250</x:f>
        <x:v>102.8468924134864</x:v>
      </x:c>
      <x:c r="I1250" s="24" t="n">
        <x:f>H1250/100-1</x:f>
        <x:v>0.028468924134863904</x:v>
      </x:c>
      <x:c r="J1250" s="26" t="n">
        <x:v>4</x:v>
      </x:c>
      <x:c r="K1250" s="7" t="b">
        <x:v>0</x:v>
      </x:c>
      <x:c r="L1250" s="2" t="str">
        <x:v>April 2026</x:v>
      </x:c>
      <x:c r="M1250" s="2" t="str">
        <x:v>https://datawrapper.dwcdn.net/wQR5S/23/dataset.csv</x:v>
      </x:c>
    </x:row>
    <x:row r="1251" ht="24" customHeight="1">
      <x:c r="A1251" s="2" t="str">
        <x:v>Ramp</x:v>
      </x:c>
      <x:c r="B1251" s="2" t="str">
        <x:v>Quintiles</x:v>
      </x:c>
      <x:c r="C1251" s="2" t="str">
        <x:v>Q2</x:v>
      </x:c>
      <x:c r="D1251" s="28" t="n">
        <x:v>45536</x:v>
      </x:c>
      <x:c r="E1251" s="2" t="str">
        <x:v>2024Q3</x:v>
      </x:c>
      <x:c r="F1251" s="20" t="n">
        <x:v>31785.1</x:v>
      </x:c>
      <x:c r="G1251" s="20" t="n">
        <x:f>'Quarterly data'!$E$371</x:f>
        <x:v>30200.9333333333</x:v>
      </x:c>
      <x:c r="H1251" s="22" t="n">
        <x:f>100*F1251/G1251</x:f>
        <x:v>105.24542287876324</x:v>
      </x:c>
      <x:c r="I1251" s="24" t="n">
        <x:f>H1251/100-1</x:f>
        <x:v>0.052454228787632395</x:v>
      </x:c>
      <x:c r="J1251" s="26" t="n">
        <x:v>3</x:v>
      </x:c>
      <x:c r="K1251" s="7" t="b">
        <x:v>0</x:v>
      </x:c>
      <x:c r="L1251" s="2" t="str">
        <x:v>April 2026</x:v>
      </x:c>
      <x:c r="M1251" s="2" t="str">
        <x:v>https://datawrapper.dwcdn.net/wQR5S/23/dataset.csv</x:v>
      </x:c>
    </x:row>
    <x:row r="1252" ht="24" customHeight="1">
      <x:c r="A1252" s="2" t="str">
        <x:v>Ramp</x:v>
      </x:c>
      <x:c r="B1252" s="2" t="str">
        <x:v>Quintiles</x:v>
      </x:c>
      <x:c r="C1252" s="2" t="str">
        <x:v>Q3</x:v>
      </x:c>
      <x:c r="D1252" s="28" t="n">
        <x:v>45536</x:v>
      </x:c>
      <x:c r="E1252" s="2" t="str">
        <x:v>2024Q3</x:v>
      </x:c>
      <x:c r="F1252" s="20" t="n">
        <x:v>31254.3</x:v>
      </x:c>
      <x:c r="G1252" s="20" t="n">
        <x:f>'Quarterly data'!$E$372</x:f>
        <x:v>31749.8333333333</x:v>
      </x:c>
      <x:c r="H1252" s="22" t="n">
        <x:f>100*F1252/G1252</x:f>
        <x:v>98.43925689898646</x:v>
      </x:c>
      <x:c r="I1252" s="24" t="n">
        <x:f>H1252/100-1</x:f>
        <x:v>-0.015607431010135397</x:v>
      </x:c>
      <x:c r="J1252" s="26" t="n">
        <x:v>4</x:v>
      </x:c>
      <x:c r="K1252" s="7" t="b">
        <x:v>0</x:v>
      </x:c>
      <x:c r="L1252" s="2" t="str">
        <x:v>April 2026</x:v>
      </x:c>
      <x:c r="M1252" s="2" t="str">
        <x:v>https://datawrapper.dwcdn.net/wQR5S/23/dataset.csv</x:v>
      </x:c>
    </x:row>
    <x:row r="1253" ht="24" customHeight="1">
      <x:c r="A1253" s="2" t="str">
        <x:v>Ramp</x:v>
      </x:c>
      <x:c r="B1253" s="2" t="str">
        <x:v>Quintiles</x:v>
      </x:c>
      <x:c r="C1253" s="2" t="str">
        <x:v>Q4</x:v>
      </x:c>
      <x:c r="D1253" s="28" t="n">
        <x:v>45536</x:v>
      </x:c>
      <x:c r="E1253" s="2" t="str">
        <x:v>2024Q3</x:v>
      </x:c>
      <x:c r="F1253" s="20" t="n">
        <x:v>19388.7</x:v>
      </x:c>
      <x:c r="G1253" s="20" t="n">
        <x:f>'Quarterly data'!$E$373</x:f>
        <x:v>19279.9666666667</x:v>
      </x:c>
      <x:c r="H1253" s="22" t="n">
        <x:f>100*F1253/G1253</x:f>
        <x:v>100.56397054628361</x:v>
      </x:c>
      <x:c r="I1253" s="24" t="n">
        <x:f>H1253/100-1</x:f>
        <x:v>0.005639705462836098</x:v>
      </x:c>
      <x:c r="J1253" s="26" t="n">
        <x:v>3</x:v>
      </x:c>
      <x:c r="K1253" s="7" t="b">
        <x:v>0</x:v>
      </x:c>
      <x:c r="L1253" s="2" t="str">
        <x:v>April 2026</x:v>
      </x:c>
      <x:c r="M1253" s="2" t="str">
        <x:v>https://datawrapper.dwcdn.net/wQR5S/23/dataset.csv</x:v>
      </x:c>
    </x:row>
    <x:row r="1254" ht="24" customHeight="1">
      <x:c r="A1254" s="2" t="str">
        <x:v>Ramp</x:v>
      </x:c>
      <x:c r="B1254" s="2" t="str">
        <x:v>Quintiles</x:v>
      </x:c>
      <x:c r="C1254" s="2" t="str">
        <x:v>Q5</x:v>
      </x:c>
      <x:c r="D1254" s="28" t="n">
        <x:v>45536</x:v>
      </x:c>
      <x:c r="E1254" s="2" t="str">
        <x:v>2024Q3</x:v>
      </x:c>
      <x:c r="F1254" s="20" t="n">
        <x:v>21005.3</x:v>
      </x:c>
      <x:c r="G1254" s="20" t="n">
        <x:f>'Quarterly data'!$E$374</x:f>
        <x:v>21051</x:v>
      </x:c>
      <x:c r="H1254" s="22" t="n">
        <x:f>100*F1254/G1254</x:f>
        <x:v>99.7829081753836</x:v>
      </x:c>
      <x:c r="I1254" s="24" t="n">
        <x:f>H1254/100-1</x:f>
        <x:v>-0.0021709182461639998</x:v>
      </x:c>
      <x:c r="J1254" s="26" t="n">
        <x:v>4</x:v>
      </x:c>
      <x:c r="K1254" s="7" t="b">
        <x:v>0</x:v>
      </x:c>
      <x:c r="L1254" s="2" t="str">
        <x:v>April 2026</x:v>
      </x:c>
      <x:c r="M1254" s="2" t="str">
        <x:v>https://datawrapper.dwcdn.net/wQR5S/23/dataset.csv</x:v>
      </x:c>
    </x:row>
    <x:row r="1255" ht="24" customHeight="1">
      <x:c r="A1255" s="2" t="str">
        <x:v>Ramp</x:v>
      </x:c>
      <x:c r="B1255" s="2" t="str">
        <x:v>Quintiles</x:v>
      </x:c>
      <x:c r="C1255" s="2" t="str">
        <x:v>Q1</x:v>
      </x:c>
      <x:c r="D1255" s="28" t="n">
        <x:v>45566</x:v>
      </x:c>
      <x:c r="E1255" s="2" t="str">
        <x:v>2024Q4</x:v>
      </x:c>
      <x:c r="F1255" s="20" t="n">
        <x:v>31022.5</x:v>
      </x:c>
      <x:c r="G1255" s="20" t="n">
        <x:f>'Quarterly data'!$E$370</x:f>
        <x:v>30131.1</x:v>
      </x:c>
      <x:c r="H1255" s="22" t="n">
        <x:f>100*F1255/G1255</x:f>
        <x:v>102.95840510303309</x:v>
      </x:c>
      <x:c r="I1255" s="24" t="n">
        <x:f>H1255/100-1</x:f>
        <x:v>0.029584051030330905</x:v>
      </x:c>
      <x:c r="J1255" s="26" t="n">
        <x:v>4</x:v>
      </x:c>
      <x:c r="K1255" s="7" t="b">
        <x:v>0</x:v>
      </x:c>
      <x:c r="L1255" s="2" t="str">
        <x:v>April 2026</x:v>
      </x:c>
      <x:c r="M1255" s="2" t="str">
        <x:v>https://datawrapper.dwcdn.net/wQR5S/23/dataset.csv</x:v>
      </x:c>
    </x:row>
    <x:row r="1256" ht="24" customHeight="1">
      <x:c r="A1256" s="2" t="str">
        <x:v>Ramp</x:v>
      </x:c>
      <x:c r="B1256" s="2" t="str">
        <x:v>Quintiles</x:v>
      </x:c>
      <x:c r="C1256" s="2" t="str">
        <x:v>Q2</x:v>
      </x:c>
      <x:c r="D1256" s="28" t="n">
        <x:v>45566</x:v>
      </x:c>
      <x:c r="E1256" s="2" t="str">
        <x:v>2024Q4</x:v>
      </x:c>
      <x:c r="F1256" s="20" t="n">
        <x:v>31860.9</x:v>
      </x:c>
      <x:c r="G1256" s="20" t="n">
        <x:f>'Quarterly data'!$E$371</x:f>
        <x:v>30200.9333333333</x:v>
      </x:c>
      <x:c r="H1256" s="22" t="n">
        <x:f>100*F1256/G1256</x:f>
        <x:v>105.49640849951668</x:v>
      </x:c>
      <x:c r="I1256" s="24" t="n">
        <x:f>H1256/100-1</x:f>
        <x:v>0.054964084995166695</x:v>
      </x:c>
      <x:c r="J1256" s="26" t="n">
        <x:v>3</x:v>
      </x:c>
      <x:c r="K1256" s="7" t="b">
        <x:v>0</x:v>
      </x:c>
      <x:c r="L1256" s="2" t="str">
        <x:v>April 2026</x:v>
      </x:c>
      <x:c r="M1256" s="2" t="str">
        <x:v>https://datawrapper.dwcdn.net/wQR5S/23/dataset.csv</x:v>
      </x:c>
    </x:row>
    <x:row r="1257" ht="24" customHeight="1">
      <x:c r="A1257" s="2" t="str">
        <x:v>Ramp</x:v>
      </x:c>
      <x:c r="B1257" s="2" t="str">
        <x:v>Quintiles</x:v>
      </x:c>
      <x:c r="C1257" s="2" t="str">
        <x:v>Q3</x:v>
      </x:c>
      <x:c r="D1257" s="28" t="n">
        <x:v>45566</x:v>
      </x:c>
      <x:c r="E1257" s="2" t="str">
        <x:v>2024Q4</x:v>
      </x:c>
      <x:c r="F1257" s="20" t="n">
        <x:v>31216.2</x:v>
      </x:c>
      <x:c r="G1257" s="20" t="n">
        <x:f>'Quarterly data'!$E$372</x:f>
        <x:v>31749.8333333333</x:v>
      </x:c>
      <x:c r="H1257" s="22" t="n">
        <x:f>100*F1257/G1257</x:f>
        <x:v>98.31925626906188</x:v>
      </x:c>
      <x:c r="I1257" s="24" t="n">
        <x:f>H1257/100-1</x:f>
        <x:v>-0.016807437309381168</x:v>
      </x:c>
      <x:c r="J1257" s="26" t="n">
        <x:v>4</x:v>
      </x:c>
      <x:c r="K1257" s="7" t="b">
        <x:v>0</x:v>
      </x:c>
      <x:c r="L1257" s="2" t="str">
        <x:v>April 2026</x:v>
      </x:c>
      <x:c r="M1257" s="2" t="str">
        <x:v>https://datawrapper.dwcdn.net/wQR5S/23/dataset.csv</x:v>
      </x:c>
    </x:row>
    <x:row r="1258" ht="24" customHeight="1">
      <x:c r="A1258" s="2" t="str">
        <x:v>Ramp</x:v>
      </x:c>
      <x:c r="B1258" s="2" t="str">
        <x:v>Quintiles</x:v>
      </x:c>
      <x:c r="C1258" s="2" t="str">
        <x:v>Q4</x:v>
      </x:c>
      <x:c r="D1258" s="28" t="n">
        <x:v>45566</x:v>
      </x:c>
      <x:c r="E1258" s="2" t="str">
        <x:v>2024Q4</x:v>
      </x:c>
      <x:c r="F1258" s="20" t="n">
        <x:v>19343.6</x:v>
      </x:c>
      <x:c r="G1258" s="20" t="n">
        <x:f>'Quarterly data'!$E$373</x:f>
        <x:v>19279.9666666667</x:v>
      </x:c>
      <x:c r="H1258" s="22" t="n">
        <x:f>100*F1258/G1258</x:f>
        <x:v>100.33004898002918</x:v>
      </x:c>
      <x:c r="I1258" s="24" t="n">
        <x:f>H1258/100-1</x:f>
        <x:v>0.0033004898002917393</x:v>
      </x:c>
      <x:c r="J1258" s="26" t="n">
        <x:v>3</x:v>
      </x:c>
      <x:c r="K1258" s="7" t="b">
        <x:v>0</x:v>
      </x:c>
      <x:c r="L1258" s="2" t="str">
        <x:v>April 2026</x:v>
      </x:c>
      <x:c r="M1258" s="2" t="str">
        <x:v>https://datawrapper.dwcdn.net/wQR5S/23/dataset.csv</x:v>
      </x:c>
    </x:row>
    <x:row r="1259" ht="24" customHeight="1">
      <x:c r="A1259" s="2" t="str">
        <x:v>Ramp</x:v>
      </x:c>
      <x:c r="B1259" s="2" t="str">
        <x:v>Quintiles</x:v>
      </x:c>
      <x:c r="C1259" s="2" t="str">
        <x:v>Q5</x:v>
      </x:c>
      <x:c r="D1259" s="28" t="n">
        <x:v>45566</x:v>
      </x:c>
      <x:c r="E1259" s="2" t="str">
        <x:v>2024Q4</x:v>
      </x:c>
      <x:c r="F1259" s="20" t="n">
        <x:v>20973.6</x:v>
      </x:c>
      <x:c r="G1259" s="20" t="n">
        <x:f>'Quarterly data'!$E$374</x:f>
        <x:v>21051</x:v>
      </x:c>
      <x:c r="H1259" s="22" t="n">
        <x:f>100*F1259/G1259</x:f>
        <x:v>99.63232150491663</x:v>
      </x:c>
      <x:c r="I1259" s="24" t="n">
        <x:f>H1259/100-1</x:f>
        <x:v>-0.003676784950833678</x:v>
      </x:c>
      <x:c r="J1259" s="26" t="n">
        <x:v>4</x:v>
      </x:c>
      <x:c r="K1259" s="7" t="b">
        <x:v>0</x:v>
      </x:c>
      <x:c r="L1259" s="2" t="str">
        <x:v>April 2026</x:v>
      </x:c>
      <x:c r="M1259" s="2" t="str">
        <x:v>https://datawrapper.dwcdn.net/wQR5S/23/dataset.csv</x:v>
      </x:c>
    </x:row>
    <x:row r="1260" ht="24" customHeight="1">
      <x:c r="A1260" s="2" t="str">
        <x:v>Ramp</x:v>
      </x:c>
      <x:c r="B1260" s="2" t="str">
        <x:v>Quintiles</x:v>
      </x:c>
      <x:c r="C1260" s="2" t="str">
        <x:v>Q1</x:v>
      </x:c>
      <x:c r="D1260" s="28" t="n">
        <x:v>45597</x:v>
      </x:c>
      <x:c r="E1260" s="2" t="str">
        <x:v>2024Q4</x:v>
      </x:c>
      <x:c r="F1260" s="20" t="n">
        <x:v>31058.3</x:v>
      </x:c>
      <x:c r="G1260" s="20" t="n">
        <x:f>'Quarterly data'!$E$370</x:f>
        <x:v>30131.1</x:v>
      </x:c>
      <x:c r="H1260" s="22" t="n">
        <x:f>100*F1260/G1260</x:f>
        <x:v>103.07721921868104</x:v>
      </x:c>
      <x:c r="I1260" s="24" t="n">
        <x:f>H1260/100-1</x:f>
        <x:v>0.030772192186810265</x:v>
      </x:c>
      <x:c r="J1260" s="26" t="n">
        <x:v>4</x:v>
      </x:c>
      <x:c r="K1260" s="7" t="b">
        <x:v>0</x:v>
      </x:c>
      <x:c r="L1260" s="2" t="str">
        <x:v>April 2026</x:v>
      </x:c>
      <x:c r="M1260" s="2" t="str">
        <x:v>https://datawrapper.dwcdn.net/wQR5S/23/dataset.csv</x:v>
      </x:c>
    </x:row>
    <x:row r="1261" ht="24" customHeight="1">
      <x:c r="A1261" s="2" t="str">
        <x:v>Ramp</x:v>
      </x:c>
      <x:c r="B1261" s="2" t="str">
        <x:v>Quintiles</x:v>
      </x:c>
      <x:c r="C1261" s="2" t="str">
        <x:v>Q2</x:v>
      </x:c>
      <x:c r="D1261" s="28" t="n">
        <x:v>45597</x:v>
      </x:c>
      <x:c r="E1261" s="2" t="str">
        <x:v>2024Q4</x:v>
      </x:c>
      <x:c r="F1261" s="20" t="n">
        <x:v>31945.7</x:v>
      </x:c>
      <x:c r="G1261" s="20" t="n">
        <x:f>'Quarterly data'!$E$371</x:f>
        <x:v>30200.9333333333</x:v>
      </x:c>
      <x:c r="H1261" s="22" t="n">
        <x:f>100*F1261/G1261</x:f>
        <x:v>105.77719452378966</x:v>
      </x:c>
      <x:c r="I1261" s="24" t="n">
        <x:f>H1261/100-1</x:f>
        <x:v>0.05777194523789664</x:v>
      </x:c>
      <x:c r="J1261" s="26" t="n">
        <x:v>3</x:v>
      </x:c>
      <x:c r="K1261" s="7" t="b">
        <x:v>0</x:v>
      </x:c>
      <x:c r="L1261" s="2" t="str">
        <x:v>April 2026</x:v>
      </x:c>
      <x:c r="M1261" s="2" t="str">
        <x:v>https://datawrapper.dwcdn.net/wQR5S/23/dataset.csv</x:v>
      </x:c>
    </x:row>
    <x:row r="1262" ht="24" customHeight="1">
      <x:c r="A1262" s="2" t="str">
        <x:v>Ramp</x:v>
      </x:c>
      <x:c r="B1262" s="2" t="str">
        <x:v>Quintiles</x:v>
      </x:c>
      <x:c r="C1262" s="2" t="str">
        <x:v>Q3</x:v>
      </x:c>
      <x:c r="D1262" s="28" t="n">
        <x:v>45597</x:v>
      </x:c>
      <x:c r="E1262" s="2" t="str">
        <x:v>2024Q4</x:v>
      </x:c>
      <x:c r="F1262" s="20" t="n">
        <x:v>31178.9</x:v>
      </x:c>
      <x:c r="G1262" s="20" t="n">
        <x:f>'Quarterly data'!$E$372</x:f>
        <x:v>31749.8333333333</x:v>
      </x:c>
      <x:c r="H1262" s="22" t="n">
        <x:f>100*F1262/G1262</x:f>
        <x:v>98.20177533740345</x:v>
      </x:c>
      <x:c r="I1262" s="24" t="n">
        <x:f>H1262/100-1</x:f>
        <x:v>-0.01798224662596548</x:v>
      </x:c>
      <x:c r="J1262" s="26" t="n">
        <x:v>4</x:v>
      </x:c>
      <x:c r="K1262" s="7" t="b">
        <x:v>0</x:v>
      </x:c>
      <x:c r="L1262" s="2" t="str">
        <x:v>April 2026</x:v>
      </x:c>
      <x:c r="M1262" s="2" t="str">
        <x:v>https://datawrapper.dwcdn.net/wQR5S/23/dataset.csv</x:v>
      </x:c>
    </x:row>
    <x:row r="1263" ht="24" customHeight="1">
      <x:c r="A1263" s="2" t="str">
        <x:v>Ramp</x:v>
      </x:c>
      <x:c r="B1263" s="2" t="str">
        <x:v>Quintiles</x:v>
      </x:c>
      <x:c r="C1263" s="2" t="str">
        <x:v>Q4</x:v>
      </x:c>
      <x:c r="D1263" s="28" t="n">
        <x:v>45597</x:v>
      </x:c>
      <x:c r="E1263" s="2" t="str">
        <x:v>2024Q4</x:v>
      </x:c>
      <x:c r="F1263" s="20" t="n">
        <x:v>19363.9</x:v>
      </x:c>
      <x:c r="G1263" s="20" t="n">
        <x:f>'Quarterly data'!$E$373</x:f>
        <x:v>19279.9666666667</x:v>
      </x:c>
      <x:c r="H1263" s="22" t="n">
        <x:f>100*F1263/G1263</x:f>
        <x:v>100.43533961849849</x:v>
      </x:c>
      <x:c r="I1263" s="24" t="n">
        <x:f>H1263/100-1</x:f>
        <x:v>0.00435339618498487</x:v>
      </x:c>
      <x:c r="J1263" s="26" t="n">
        <x:v>3</x:v>
      </x:c>
      <x:c r="K1263" s="7" t="b">
        <x:v>0</x:v>
      </x:c>
      <x:c r="L1263" s="2" t="str">
        <x:v>April 2026</x:v>
      </x:c>
      <x:c r="M1263" s="2" t="str">
        <x:v>https://datawrapper.dwcdn.net/wQR5S/23/dataset.csv</x:v>
      </x:c>
    </x:row>
    <x:row r="1264" ht="24" customHeight="1">
      <x:c r="A1264" s="2" t="str">
        <x:v>Ramp</x:v>
      </x:c>
      <x:c r="B1264" s="2" t="str">
        <x:v>Quintiles</x:v>
      </x:c>
      <x:c r="C1264" s="2" t="str">
        <x:v>Q5</x:v>
      </x:c>
      <x:c r="D1264" s="28" t="n">
        <x:v>45597</x:v>
      </x:c>
      <x:c r="E1264" s="2" t="str">
        <x:v>2024Q4</x:v>
      </x:c>
      <x:c r="F1264" s="20" t="n">
        <x:v>20987.9</x:v>
      </x:c>
      <x:c r="G1264" s="20" t="n">
        <x:f>'Quarterly data'!$E$374</x:f>
        <x:v>21051</x:v>
      </x:c>
      <x:c r="H1264" s="22" t="n">
        <x:f>100*F1264/G1264</x:f>
        <x:v>99.70025176951214</x:v>
      </x:c>
      <x:c r="I1264" s="24" t="n">
        <x:f>H1264/100-1</x:f>
        <x:v>-0.002997482304878618</x:v>
      </x:c>
      <x:c r="J1264" s="26" t="n">
        <x:v>4</x:v>
      </x:c>
      <x:c r="K1264" s="7" t="b">
        <x:v>0</x:v>
      </x:c>
      <x:c r="L1264" s="2" t="str">
        <x:v>April 2026</x:v>
      </x:c>
      <x:c r="M1264" s="2" t="str">
        <x:v>https://datawrapper.dwcdn.net/wQR5S/23/dataset.csv</x:v>
      </x:c>
    </x:row>
    <x:row r="1265" ht="24" customHeight="1">
      <x:c r="A1265" s="2" t="str">
        <x:v>Ramp</x:v>
      </x:c>
      <x:c r="B1265" s="2" t="str">
        <x:v>Quintiles</x:v>
      </x:c>
      <x:c r="C1265" s="2" t="str">
        <x:v>Q1</x:v>
      </x:c>
      <x:c r="D1265" s="28" t="n">
        <x:v>45627</x:v>
      </x:c>
      <x:c r="E1265" s="2" t="str">
        <x:v>2024Q4</x:v>
      </x:c>
      <x:c r="F1265" s="20" t="n">
        <x:v>31109.7</x:v>
      </x:c>
      <x:c r="G1265" s="20" t="n">
        <x:f>'Quarterly data'!$E$370</x:f>
        <x:v>30131.1</x:v>
      </x:c>
      <x:c r="H1265" s="22" t="n">
        <x:f>100*F1265/G1265</x:f>
        <x:v>103.24780708304709</x:v>
      </x:c>
      <x:c r="I1265" s="24" t="n">
        <x:f>H1265/100-1</x:f>
        <x:v>0.03247807083047083</x:v>
      </x:c>
      <x:c r="J1265" s="26" t="n">
        <x:v>4</x:v>
      </x:c>
      <x:c r="K1265" s="7" t="b">
        <x:v>0</x:v>
      </x:c>
      <x:c r="L1265" s="2" t="str">
        <x:v>April 2026</x:v>
      </x:c>
      <x:c r="M1265" s="2" t="str">
        <x:v>https://datawrapper.dwcdn.net/wQR5S/23/dataset.csv</x:v>
      </x:c>
    </x:row>
    <x:row r="1266" ht="24" customHeight="1">
      <x:c r="A1266" s="2" t="str">
        <x:v>Ramp</x:v>
      </x:c>
      <x:c r="B1266" s="2" t="str">
        <x:v>Quintiles</x:v>
      </x:c>
      <x:c r="C1266" s="2" t="str">
        <x:v>Q2</x:v>
      </x:c>
      <x:c r="D1266" s="28" t="n">
        <x:v>45627</x:v>
      </x:c>
      <x:c r="E1266" s="2" t="str">
        <x:v>2024Q4</x:v>
      </x:c>
      <x:c r="F1266" s="20" t="n">
        <x:v>32020.2</x:v>
      </x:c>
      <x:c r="G1266" s="20" t="n">
        <x:f>'Quarterly data'!$E$371</x:f>
        <x:v>30200.9333333333</x:v>
      </x:c>
      <x:c r="H1266" s="22" t="n">
        <x:f>100*F1266/G1266</x:f>
        <x:v>106.02387564181251</x:v>
      </x:c>
      <x:c r="I1266" s="24" t="n">
        <x:f>H1266/100-1</x:f>
        <x:v>0.06023875641812504</x:v>
      </x:c>
      <x:c r="J1266" s="26" t="n">
        <x:v>3</x:v>
      </x:c>
      <x:c r="K1266" s="7" t="b">
        <x:v>0</x:v>
      </x:c>
      <x:c r="L1266" s="2" t="str">
        <x:v>April 2026</x:v>
      </x:c>
      <x:c r="M1266" s="2" t="str">
        <x:v>https://datawrapper.dwcdn.net/wQR5S/23/dataset.csv</x:v>
      </x:c>
    </x:row>
    <x:row r="1267" ht="24" customHeight="1">
      <x:c r="A1267" s="2" t="str">
        <x:v>Ramp</x:v>
      </x:c>
      <x:c r="B1267" s="2" t="str">
        <x:v>Quintiles</x:v>
      </x:c>
      <x:c r="C1267" s="2" t="str">
        <x:v>Q3</x:v>
      </x:c>
      <x:c r="D1267" s="28" t="n">
        <x:v>45627</x:v>
      </x:c>
      <x:c r="E1267" s="2" t="str">
        <x:v>2024Q4</x:v>
      </x:c>
      <x:c r="F1267" s="20" t="n">
        <x:v>31232.5</x:v>
      </x:c>
      <x:c r="G1267" s="20" t="n">
        <x:f>'Quarterly data'!$E$372</x:f>
        <x:v>31749.8333333333</x:v>
      </x:c>
      <x:c r="H1267" s="22" t="n">
        <x:f>100*F1267/G1267</x:f>
        <x:v>98.37059512123433</x:v>
      </x:c>
      <x:c r="I1267" s="24" t="n">
        <x:f>H1267/100-1</x:f>
        <x:v>-0.016294048787656723</x:v>
      </x:c>
      <x:c r="J1267" s="26" t="n">
        <x:v>4</x:v>
      </x:c>
      <x:c r="K1267" s="7" t="b">
        <x:v>0</x:v>
      </x:c>
      <x:c r="L1267" s="2" t="str">
        <x:v>April 2026</x:v>
      </x:c>
      <x:c r="M1267" s="2" t="str">
        <x:v>https://datawrapper.dwcdn.net/wQR5S/23/dataset.csv</x:v>
      </x:c>
    </x:row>
    <x:row r="1268" ht="24" customHeight="1">
      <x:c r="A1268" s="2" t="str">
        <x:v>Ramp</x:v>
      </x:c>
      <x:c r="B1268" s="2" t="str">
        <x:v>Quintiles</x:v>
      </x:c>
      <x:c r="C1268" s="2" t="str">
        <x:v>Q4</x:v>
      </x:c>
      <x:c r="D1268" s="28" t="n">
        <x:v>45627</x:v>
      </x:c>
      <x:c r="E1268" s="2" t="str">
        <x:v>2024Q4</x:v>
      </x:c>
      <x:c r="F1268" s="20" t="n">
        <x:v>19356.2</x:v>
      </x:c>
      <x:c r="G1268" s="20" t="n">
        <x:f>'Quarterly data'!$E$373</x:f>
        <x:v>19279.9666666667</x:v>
      </x:c>
      <x:c r="H1268" s="22" t="n">
        <x:f>100*F1268/G1268</x:f>
        <x:v>100.39540179011357</x:v>
      </x:c>
      <x:c r="I1268" s="24" t="n">
        <x:f>H1268/100-1</x:f>
        <x:v>0.003954017901135698</x:v>
      </x:c>
      <x:c r="J1268" s="26" t="n">
        <x:v>3</x:v>
      </x:c>
      <x:c r="K1268" s="7" t="b">
        <x:v>0</x:v>
      </x:c>
      <x:c r="L1268" s="2" t="str">
        <x:v>April 2026</x:v>
      </x:c>
      <x:c r="M1268" s="2" t="str">
        <x:v>https://datawrapper.dwcdn.net/wQR5S/23/dataset.csv</x:v>
      </x:c>
    </x:row>
    <x:row r="1269" ht="24" customHeight="1">
      <x:c r="A1269" s="2" t="str">
        <x:v>Ramp</x:v>
      </x:c>
      <x:c r="B1269" s="2" t="str">
        <x:v>Quintiles</x:v>
      </x:c>
      <x:c r="C1269" s="2" t="str">
        <x:v>Q5</x:v>
      </x:c>
      <x:c r="D1269" s="28" t="n">
        <x:v>45627</x:v>
      </x:c>
      <x:c r="E1269" s="2" t="str">
        <x:v>2024Q4</x:v>
      </x:c>
      <x:c r="F1269" s="20" t="n">
        <x:v>21028.4</x:v>
      </x:c>
      <x:c r="G1269" s="20" t="n">
        <x:f>'Quarterly data'!$E$374</x:f>
        <x:v>21051</x:v>
      </x:c>
      <x:c r="H1269" s="22" t="n">
        <x:f>100*F1269/G1269</x:f>
        <x:v>99.89264167973018</x:v>
      </x:c>
      <x:c r="I1269" s="24" t="n">
        <x:f>H1269/100-1</x:f>
        <x:v>-0.0010735832026982361</x:v>
      </x:c>
      <x:c r="J1269" s="26" t="n">
        <x:v>4</x:v>
      </x:c>
      <x:c r="K1269" s="7" t="b">
        <x:v>0</x:v>
      </x:c>
      <x:c r="L1269" s="2" t="str">
        <x:v>April 2026</x:v>
      </x:c>
      <x:c r="M1269" s="2" t="str">
        <x:v>https://datawrapper.dwcdn.net/wQR5S/23/dataset.csv</x:v>
      </x:c>
    </x:row>
    <x:row r="1270" ht="24" customHeight="1">
      <x:c r="A1270" s="2" t="str">
        <x:v>Ramp</x:v>
      </x:c>
      <x:c r="B1270" s="2" t="str">
        <x:v>Quintiles</x:v>
      </x:c>
      <x:c r="C1270" s="2" t="str">
        <x:v>Q1</x:v>
      </x:c>
      <x:c r="D1270" s="28" t="n">
        <x:v>45658</x:v>
      </x:c>
      <x:c r="E1270" s="2" t="str">
        <x:v>2025Q1</x:v>
      </x:c>
      <x:c r="F1270" s="20" t="n">
        <x:v>31071.4</x:v>
      </x:c>
      <x:c r="G1270" s="20" t="n">
        <x:f>'Quarterly data'!$E$370</x:f>
        <x:v>30131.1</x:v>
      </x:c>
      <x:c r="H1270" s="22" t="n">
        <x:f>100*F1270/G1270</x:f>
        <x:v>103.12069589228406</x:v>
      </x:c>
      <x:c r="I1270" s="24" t="n">
        <x:f>H1270/100-1</x:f>
        <x:v>0.031206958922840533</x:v>
      </x:c>
      <x:c r="J1270" s="26" t="n">
        <x:v>4</x:v>
      </x:c>
      <x:c r="K1270" s="7" t="b">
        <x:v>0</x:v>
      </x:c>
      <x:c r="L1270" s="2" t="str">
        <x:v>April 2026</x:v>
      </x:c>
      <x:c r="M1270" s="2" t="str">
        <x:v>https://datawrapper.dwcdn.net/wQR5S/23/dataset.csv</x:v>
      </x:c>
    </x:row>
    <x:row r="1271" ht="24" customHeight="1">
      <x:c r="A1271" s="2" t="str">
        <x:v>Ramp</x:v>
      </x:c>
      <x:c r="B1271" s="2" t="str">
        <x:v>Quintiles</x:v>
      </x:c>
      <x:c r="C1271" s="2" t="str">
        <x:v>Q2</x:v>
      </x:c>
      <x:c r="D1271" s="28" t="n">
        <x:v>45658</x:v>
      </x:c>
      <x:c r="E1271" s="2" t="str">
        <x:v>2025Q1</x:v>
      </x:c>
      <x:c r="F1271" s="20" t="n">
        <x:v>32081.5</x:v>
      </x:c>
      <x:c r="G1271" s="20" t="n">
        <x:f>'Quarterly data'!$E$371</x:f>
        <x:v>30200.9333333333</x:v>
      </x:c>
      <x:c r="H1271" s="22" t="n">
        <x:f>100*F1271/G1271</x:f>
        <x:v>106.22684950134003</x:v>
      </x:c>
      <x:c r="I1271" s="24" t="n">
        <x:f>H1271/100-1</x:f>
        <x:v>0.06226849501340026</x:v>
      </x:c>
      <x:c r="J1271" s="26" t="n">
        <x:v>3</x:v>
      </x:c>
      <x:c r="K1271" s="7" t="b">
        <x:v>0</x:v>
      </x:c>
      <x:c r="L1271" s="2" t="str">
        <x:v>April 2026</x:v>
      </x:c>
      <x:c r="M1271" s="2" t="str">
        <x:v>https://datawrapper.dwcdn.net/wQR5S/23/dataset.csv</x:v>
      </x:c>
    </x:row>
    <x:row r="1272" ht="24" customHeight="1">
      <x:c r="A1272" s="2" t="str">
        <x:v>Ramp</x:v>
      </x:c>
      <x:c r="B1272" s="2" t="str">
        <x:v>Quintiles</x:v>
      </x:c>
      <x:c r="C1272" s="2" t="str">
        <x:v>Q3</x:v>
      </x:c>
      <x:c r="D1272" s="28" t="n">
        <x:v>45658</x:v>
      </x:c>
      <x:c r="E1272" s="2" t="str">
        <x:v>2025Q1</x:v>
      </x:c>
      <x:c r="F1272" s="20" t="n">
        <x:v>31185.3</x:v>
      </x:c>
      <x:c r="G1272" s="20" t="n">
        <x:f>'Quarterly data'!$E$372</x:f>
        <x:v>31749.8333333333</x:v>
      </x:c>
      <x:c r="H1272" s="22" t="n">
        <x:f>100*F1272/G1272</x:f>
        <x:v>98.2219329235325</x:v>
      </x:c>
      <x:c r="I1272" s="24" t="n">
        <x:f>H1272/100-1</x:f>
        <x:v>-0.017780670764674933</x:v>
      </x:c>
      <x:c r="J1272" s="26" t="n">
        <x:v>4</x:v>
      </x:c>
      <x:c r="K1272" s="7" t="b">
        <x:v>0</x:v>
      </x:c>
      <x:c r="L1272" s="2" t="str">
        <x:v>April 2026</x:v>
      </x:c>
      <x:c r="M1272" s="2" t="str">
        <x:v>https://datawrapper.dwcdn.net/wQR5S/23/dataset.csv</x:v>
      </x:c>
    </x:row>
    <x:row r="1273" ht="24" customHeight="1">
      <x:c r="A1273" s="2" t="str">
        <x:v>Ramp</x:v>
      </x:c>
      <x:c r="B1273" s="2" t="str">
        <x:v>Quintiles</x:v>
      </x:c>
      <x:c r="C1273" s="2" t="str">
        <x:v>Q4</x:v>
      </x:c>
      <x:c r="D1273" s="28" t="n">
        <x:v>45658</x:v>
      </x:c>
      <x:c r="E1273" s="2" t="str">
        <x:v>2025Q1</x:v>
      </x:c>
      <x:c r="F1273" s="20" t="n">
        <x:v>19333.9</x:v>
      </x:c>
      <x:c r="G1273" s="20" t="n">
        <x:f>'Quarterly data'!$E$373</x:f>
        <x:v>19279.9666666667</x:v>
      </x:c>
      <x:c r="H1273" s="22" t="n">
        <x:f>100*F1273/G1273</x:f>
        <x:v>100.27973768972613</x:v>
      </x:c>
      <x:c r="I1273" s="24" t="n">
        <x:f>H1273/100-1</x:f>
        <x:v>0.002797376897261339</x:v>
      </x:c>
      <x:c r="J1273" s="26" t="n">
        <x:v>3</x:v>
      </x:c>
      <x:c r="K1273" s="7" t="b">
        <x:v>0</x:v>
      </x:c>
      <x:c r="L1273" s="2" t="str">
        <x:v>April 2026</x:v>
      </x:c>
      <x:c r="M1273" s="2" t="str">
        <x:v>https://datawrapper.dwcdn.net/wQR5S/23/dataset.csv</x:v>
      </x:c>
    </x:row>
    <x:row r="1274" ht="24" customHeight="1">
      <x:c r="A1274" s="2" t="str">
        <x:v>Ramp</x:v>
      </x:c>
      <x:c r="B1274" s="2" t="str">
        <x:v>Quintiles</x:v>
      </x:c>
      <x:c r="C1274" s="2" t="str">
        <x:v>Q5</x:v>
      </x:c>
      <x:c r="D1274" s="28" t="n">
        <x:v>45658</x:v>
      </x:c>
      <x:c r="E1274" s="2" t="str">
        <x:v>2025Q1</x:v>
      </x:c>
      <x:c r="F1274" s="20" t="n">
        <x:v>20997.9</x:v>
      </x:c>
      <x:c r="G1274" s="20" t="n">
        <x:f>'Quarterly data'!$E$374</x:f>
        <x:v>21051</x:v>
      </x:c>
      <x:c r="H1274" s="22" t="n">
        <x:f>100*F1274/G1274</x:f>
        <x:v>99.74775545104745</x:v>
      </x:c>
      <x:c r="I1274" s="24" t="n">
        <x:f>H1274/100-1</x:f>
        <x:v>-0.0025224454895255155</x:v>
      </x:c>
      <x:c r="J1274" s="26" t="n">
        <x:v>4</x:v>
      </x:c>
      <x:c r="K1274" s="7" t="b">
        <x:v>0</x:v>
      </x:c>
      <x:c r="L1274" s="2" t="str">
        <x:v>April 2026</x:v>
      </x:c>
      <x:c r="M1274" s="2" t="str">
        <x:v>https://datawrapper.dwcdn.net/wQR5S/23/dataset.csv</x:v>
      </x:c>
    </x:row>
    <x:row r="1275" ht="24" customHeight="1">
      <x:c r="A1275" s="2" t="str">
        <x:v>Ramp</x:v>
      </x:c>
      <x:c r="B1275" s="2" t="str">
        <x:v>Quintiles</x:v>
      </x:c>
      <x:c r="C1275" s="2" t="str">
        <x:v>Q1</x:v>
      </x:c>
      <x:c r="D1275" s="28" t="n">
        <x:v>45689</x:v>
      </x:c>
      <x:c r="E1275" s="2" t="str">
        <x:v>2025Q1</x:v>
      </x:c>
      <x:c r="F1275" s="20" t="n">
        <x:v>31040.1</x:v>
      </x:c>
      <x:c r="G1275" s="20" t="n">
        <x:f>'Quarterly data'!$E$370</x:f>
        <x:v>30131.1</x:v>
      </x:c>
      <x:c r="H1275" s="22" t="n">
        <x:f>100*F1275/G1275</x:f>
        <x:v>103.01681651184325</x:v>
      </x:c>
      <x:c r="I1275" s="24" t="n">
        <x:f>H1275/100-1</x:f>
        <x:v>0.030168165118432455</x:v>
      </x:c>
      <x:c r="J1275" s="26" t="n">
        <x:v>4</x:v>
      </x:c>
      <x:c r="K1275" s="7" t="b">
        <x:v>0</x:v>
      </x:c>
      <x:c r="L1275" s="2" t="str">
        <x:v>April 2026</x:v>
      </x:c>
      <x:c r="M1275" s="2" t="str">
        <x:v>https://datawrapper.dwcdn.net/wQR5S/23/dataset.csv</x:v>
      </x:c>
    </x:row>
    <x:row r="1276" ht="24" customHeight="1">
      <x:c r="A1276" s="2" t="str">
        <x:v>Ramp</x:v>
      </x:c>
      <x:c r="B1276" s="2" t="str">
        <x:v>Quintiles</x:v>
      </x:c>
      <x:c r="C1276" s="2" t="str">
        <x:v>Q2</x:v>
      </x:c>
      <x:c r="D1276" s="28" t="n">
        <x:v>45689</x:v>
      </x:c>
      <x:c r="E1276" s="2" t="str">
        <x:v>2025Q1</x:v>
      </x:c>
      <x:c r="F1276" s="20" t="n">
        <x:v>32156.1</x:v>
      </x:c>
      <x:c r="G1276" s="20" t="n">
        <x:f>'Quarterly data'!$E$371</x:f>
        <x:v>30200.9333333333</x:v>
      </x:c>
      <x:c r="H1276" s="22" t="n">
        <x:f>100*F1276/G1276</x:f>
        <x:v>106.47386173495752</x:v>
      </x:c>
      <x:c r="I1276" s="24" t="n">
        <x:f>H1276/100-1</x:f>
        <x:v>0.0647386173495752</x:v>
      </x:c>
      <x:c r="J1276" s="26" t="n">
        <x:v>3</x:v>
      </x:c>
      <x:c r="K1276" s="7" t="b">
        <x:v>0</x:v>
      </x:c>
      <x:c r="L1276" s="2" t="str">
        <x:v>April 2026</x:v>
      </x:c>
      <x:c r="M1276" s="2" t="str">
        <x:v>https://datawrapper.dwcdn.net/wQR5S/23/dataset.csv</x:v>
      </x:c>
    </x:row>
    <x:row r="1277" ht="24" customHeight="1">
      <x:c r="A1277" s="2" t="str">
        <x:v>Ramp</x:v>
      </x:c>
      <x:c r="B1277" s="2" t="str">
        <x:v>Quintiles</x:v>
      </x:c>
      <x:c r="C1277" s="2" t="str">
        <x:v>Q3</x:v>
      </x:c>
      <x:c r="D1277" s="28" t="n">
        <x:v>45689</x:v>
      </x:c>
      <x:c r="E1277" s="2" t="str">
        <x:v>2025Q1</x:v>
      </x:c>
      <x:c r="F1277" s="20" t="n">
        <x:v>31176</x:v>
      </x:c>
      <x:c r="G1277" s="20" t="n">
        <x:f>'Quarterly data'!$E$372</x:f>
        <x:v>31749.8333333333</x:v>
      </x:c>
      <x:c r="H1277" s="22" t="n">
        <x:f>100*F1277/G1277</x:f>
        <x:v>98.19264143118872</x:v>
      </x:c>
      <x:c r="I1277" s="24" t="n">
        <x:f>H1277/100-1</x:f>
        <x:v>-0.018073585688112792</x:v>
      </x:c>
      <x:c r="J1277" s="26" t="n">
        <x:v>4</x:v>
      </x:c>
      <x:c r="K1277" s="7" t="b">
        <x:v>0</x:v>
      </x:c>
      <x:c r="L1277" s="2" t="str">
        <x:v>April 2026</x:v>
      </x:c>
      <x:c r="M1277" s="2" t="str">
        <x:v>https://datawrapper.dwcdn.net/wQR5S/23/dataset.csv</x:v>
      </x:c>
    </x:row>
    <x:row r="1278" ht="24" customHeight="1">
      <x:c r="A1278" s="2" t="str">
        <x:v>Ramp</x:v>
      </x:c>
      <x:c r="B1278" s="2" t="str">
        <x:v>Quintiles</x:v>
      </x:c>
      <x:c r="C1278" s="2" t="str">
        <x:v>Q4</x:v>
      </x:c>
      <x:c r="D1278" s="28" t="n">
        <x:v>45689</x:v>
      </x:c>
      <x:c r="E1278" s="2" t="str">
        <x:v>2025Q1</x:v>
      </x:c>
      <x:c r="F1278" s="20" t="n">
        <x:v>19341.4</x:v>
      </x:c>
      <x:c r="G1278" s="20" t="n">
        <x:f>'Quarterly data'!$E$373</x:f>
        <x:v>19279.9666666667</x:v>
      </x:c>
      <x:c r="H1278" s="22" t="n">
        <x:f>100*F1278/G1278</x:f>
        <x:v>100.31863817191922</x:v>
      </x:c>
      <x:c r="I1278" s="24" t="n">
        <x:f>H1278/100-1</x:f>
        <x:v>0.003186381719192166</x:v>
      </x:c>
      <x:c r="J1278" s="26" t="n">
        <x:v>3</x:v>
      </x:c>
      <x:c r="K1278" s="7" t="b">
        <x:v>0</x:v>
      </x:c>
      <x:c r="L1278" s="2" t="str">
        <x:v>April 2026</x:v>
      </x:c>
      <x:c r="M1278" s="2" t="str">
        <x:v>https://datawrapper.dwcdn.net/wQR5S/23/dataset.csv</x:v>
      </x:c>
    </x:row>
    <x:row r="1279" ht="24" customHeight="1">
      <x:c r="A1279" s="2" t="str">
        <x:v>Ramp</x:v>
      </x:c>
      <x:c r="B1279" s="2" t="str">
        <x:v>Quintiles</x:v>
      </x:c>
      <x:c r="C1279" s="2" t="str">
        <x:v>Q5</x:v>
      </x:c>
      <x:c r="D1279" s="28" t="n">
        <x:v>45689</x:v>
      </x:c>
      <x:c r="E1279" s="2" t="str">
        <x:v>2025Q1</x:v>
      </x:c>
      <x:c r="F1279" s="20" t="n">
        <x:v>20995.2</x:v>
      </x:c>
      <x:c r="G1279" s="20" t="n">
        <x:f>'Quarterly data'!$E$374</x:f>
        <x:v>21051</x:v>
      </x:c>
      <x:c r="H1279" s="22" t="n">
        <x:f>100*F1279/G1279</x:f>
        <x:v>99.73492945703292</x:v>
      </x:c>
      <x:c r="I1279" s="24" t="n">
        <x:f>H1279/100-1</x:f>
        <x:v>-0.00265070542967083</x:v>
      </x:c>
      <x:c r="J1279" s="26" t="n">
        <x:v>4</x:v>
      </x:c>
      <x:c r="K1279" s="7" t="b">
        <x:v>0</x:v>
      </x:c>
      <x:c r="L1279" s="2" t="str">
        <x:v>April 2026</x:v>
      </x:c>
      <x:c r="M1279" s="2" t="str">
        <x:v>https://datawrapper.dwcdn.net/wQR5S/23/dataset.csv</x:v>
      </x:c>
    </x:row>
    <x:row r="1280" ht="24" customHeight="1">
      <x:c r="A1280" s="2" t="str">
        <x:v>Ramp</x:v>
      </x:c>
      <x:c r="B1280" s="2" t="str">
        <x:v>Quintiles</x:v>
      </x:c>
      <x:c r="C1280" s="2" t="str">
        <x:v>Q1</x:v>
      </x:c>
      <x:c r="D1280" s="28" t="n">
        <x:v>45717</x:v>
      </x:c>
      <x:c r="E1280" s="2" t="str">
        <x:v>2025Q1</x:v>
      </x:c>
      <x:c r="F1280" s="20" t="n">
        <x:v>31083</x:v>
      </x:c>
      <x:c r="G1280" s="20" t="n">
        <x:f>'Quarterly data'!$E$370</x:f>
        <x:v>30131.1</x:v>
      </x:c>
      <x:c r="H1280" s="22" t="n">
        <x:f>100*F1280/G1280</x:f>
        <x:v>103.15919432081803</x:v>
      </x:c>
      <x:c r="I1280" s="24" t="n">
        <x:f>H1280/100-1</x:f>
        <x:v>0.03159194320818037</x:v>
      </x:c>
      <x:c r="J1280" s="26" t="n">
        <x:v>4</x:v>
      </x:c>
      <x:c r="K1280" s="7" t="b">
        <x:v>0</x:v>
      </x:c>
      <x:c r="L1280" s="2" t="str">
        <x:v>April 2026</x:v>
      </x:c>
      <x:c r="M1280" s="2" t="str">
        <x:v>https://datawrapper.dwcdn.net/wQR5S/23/dataset.csv</x:v>
      </x:c>
    </x:row>
    <x:row r="1281" ht="24" customHeight="1">
      <x:c r="A1281" s="2" t="str">
        <x:v>Ramp</x:v>
      </x:c>
      <x:c r="B1281" s="2" t="str">
        <x:v>Quintiles</x:v>
      </x:c>
      <x:c r="C1281" s="2" t="str">
        <x:v>Q2</x:v>
      </x:c>
      <x:c r="D1281" s="28" t="n">
        <x:v>45717</x:v>
      </x:c>
      <x:c r="E1281" s="2" t="str">
        <x:v>2025Q1</x:v>
      </x:c>
      <x:c r="F1281" s="20" t="n">
        <x:v>32205.8</x:v>
      </x:c>
      <x:c r="G1281" s="20" t="n">
        <x:f>'Quarterly data'!$E$371</x:f>
        <x:v>30200.9333333333</x:v>
      </x:c>
      <x:c r="H1281" s="22" t="n">
        <x:f>100*F1281/G1281</x:f>
        <x:v>106.63842618550431</x:v>
      </x:c>
      <x:c r="I1281" s="24" t="n">
        <x:f>H1281/100-1</x:f>
        <x:v>0.0663842618550432</x:v>
      </x:c>
      <x:c r="J1281" s="26" t="n">
        <x:v>3</x:v>
      </x:c>
      <x:c r="K1281" s="7" t="b">
        <x:v>0</x:v>
      </x:c>
      <x:c r="L1281" s="2" t="str">
        <x:v>April 2026</x:v>
      </x:c>
      <x:c r="M1281" s="2" t="str">
        <x:v>https://datawrapper.dwcdn.net/wQR5S/23/dataset.csv</x:v>
      </x:c>
    </x:row>
    <x:row r="1282" ht="24" customHeight="1">
      <x:c r="A1282" s="2" t="str">
        <x:v>Ramp</x:v>
      </x:c>
      <x:c r="B1282" s="2" t="str">
        <x:v>Quintiles</x:v>
      </x:c>
      <x:c r="C1282" s="2" t="str">
        <x:v>Q3</x:v>
      </x:c>
      <x:c r="D1282" s="28" t="n">
        <x:v>45717</x:v>
      </x:c>
      <x:c r="E1282" s="2" t="str">
        <x:v>2025Q1</x:v>
      </x:c>
      <x:c r="F1282" s="20" t="n">
        <x:v>31152</x:v>
      </x:c>
      <x:c r="G1282" s="20" t="n">
        <x:f>'Quarterly data'!$E$372</x:f>
        <x:v>31749.8333333333</x:v>
      </x:c>
      <x:c r="H1282" s="22" t="n">
        <x:f>100*F1282/G1282</x:f>
        <x:v>98.11705048320474</x:v>
      </x:c>
      <x:c r="I1282" s="24" t="n">
        <x:f>H1282/100-1</x:f>
        <x:v>-0.018829495167952626</x:v>
      </x:c>
      <x:c r="J1282" s="26" t="n">
        <x:v>4</x:v>
      </x:c>
      <x:c r="K1282" s="7" t="b">
        <x:v>0</x:v>
      </x:c>
      <x:c r="L1282" s="2" t="str">
        <x:v>April 2026</x:v>
      </x:c>
      <x:c r="M1282" s="2" t="str">
        <x:v>https://datawrapper.dwcdn.net/wQR5S/23/dataset.csv</x:v>
      </x:c>
    </x:row>
    <x:row r="1283" ht="24" customHeight="1">
      <x:c r="A1283" s="2" t="str">
        <x:v>Ramp</x:v>
      </x:c>
      <x:c r="B1283" s="2" t="str">
        <x:v>Quintiles</x:v>
      </x:c>
      <x:c r="C1283" s="2" t="str">
        <x:v>Q4</x:v>
      </x:c>
      <x:c r="D1283" s="28" t="n">
        <x:v>45717</x:v>
      </x:c>
      <x:c r="E1283" s="2" t="str">
        <x:v>2025Q1</x:v>
      </x:c>
      <x:c r="F1283" s="20" t="n">
        <x:v>19342.4</x:v>
      </x:c>
      <x:c r="G1283" s="20" t="n">
        <x:f>'Quarterly data'!$E$373</x:f>
        <x:v>19279.9666666667</x:v>
      </x:c>
      <x:c r="H1283" s="22" t="n">
        <x:f>100*F1283/G1283</x:f>
        <x:v>100.3238249028783</x:v>
      </x:c>
      <x:c r="I1283" s="24" t="n">
        <x:f>H1283/100-1</x:f>
        <x:v>0.0032382490287830024</x:v>
      </x:c>
      <x:c r="J1283" s="26" t="n">
        <x:v>3</x:v>
      </x:c>
      <x:c r="K1283" s="7" t="b">
        <x:v>0</x:v>
      </x:c>
      <x:c r="L1283" s="2" t="str">
        <x:v>April 2026</x:v>
      </x:c>
      <x:c r="M1283" s="2" t="str">
        <x:v>https://datawrapper.dwcdn.net/wQR5S/23/dataset.csv</x:v>
      </x:c>
    </x:row>
    <x:row r="1284" ht="24" customHeight="1">
      <x:c r="A1284" s="2" t="str">
        <x:v>Ramp</x:v>
      </x:c>
      <x:c r="B1284" s="2" t="str">
        <x:v>Quintiles</x:v>
      </x:c>
      <x:c r="C1284" s="2" t="str">
        <x:v>Q5</x:v>
      </x:c>
      <x:c r="D1284" s="28" t="n">
        <x:v>45717</x:v>
      </x:c>
      <x:c r="E1284" s="2" t="str">
        <x:v>2025Q1</x:v>
      </x:c>
      <x:c r="F1284" s="20" t="n">
        <x:v>20992.7</x:v>
      </x:c>
      <x:c r="G1284" s="20" t="n">
        <x:f>'Quarterly data'!$E$374</x:f>
        <x:v>21051</x:v>
      </x:c>
      <x:c r="H1284" s="22" t="n">
        <x:f>100*F1284/G1284</x:f>
        <x:v>99.72305353664909</x:v>
      </x:c>
      <x:c r="I1284" s="24" t="n">
        <x:f>H1284/100-1</x:f>
        <x:v>-0.0027694646335091333</x:v>
      </x:c>
      <x:c r="J1284" s="26" t="n">
        <x:v>4</x:v>
      </x:c>
      <x:c r="K1284" s="7" t="b">
        <x:v>0</x:v>
      </x:c>
      <x:c r="L1284" s="2" t="str">
        <x:v>April 2026</x:v>
      </x:c>
      <x:c r="M1284" s="2" t="str">
        <x:v>https://datawrapper.dwcdn.net/wQR5S/23/dataset.csv</x:v>
      </x:c>
    </x:row>
    <x:row r="1285" ht="24" customHeight="1">
      <x:c r="A1285" s="2" t="str">
        <x:v>Ramp</x:v>
      </x:c>
      <x:c r="B1285" s="2" t="str">
        <x:v>Quintiles</x:v>
      </x:c>
      <x:c r="C1285" s="2" t="str">
        <x:v>Q1</x:v>
      </x:c>
      <x:c r="D1285" s="28" t="n">
        <x:v>45748</x:v>
      </x:c>
      <x:c r="E1285" s="2" t="str">
        <x:v>2025Q2</x:v>
      </x:c>
      <x:c r="F1285" s="20" t="n">
        <x:v>31094</x:v>
      </x:c>
      <x:c r="G1285" s="20" t="n">
        <x:f>'Quarterly data'!$E$370</x:f>
        <x:v>30131.1</x:v>
      </x:c>
      <x:c r="H1285" s="22" t="n">
        <x:f>100*F1285/G1285</x:f>
        <x:v>103.19570145132438</x:v>
      </x:c>
      <x:c r="I1285" s="24" t="n">
        <x:f>H1285/100-1</x:f>
        <x:v>0.03195701451324373</x:v>
      </x:c>
      <x:c r="J1285" s="26" t="n">
        <x:v>4</x:v>
      </x:c>
      <x:c r="K1285" s="7" t="b">
        <x:v>0</x:v>
      </x:c>
      <x:c r="L1285" s="2" t="str">
        <x:v>April 2026</x:v>
      </x:c>
      <x:c r="M1285" s="2" t="str">
        <x:v>https://datawrapper.dwcdn.net/wQR5S/23/dataset.csv</x:v>
      </x:c>
    </x:row>
    <x:row r="1286" ht="24" customHeight="1">
      <x:c r="A1286" s="2" t="str">
        <x:v>Ramp</x:v>
      </x:c>
      <x:c r="B1286" s="2" t="str">
        <x:v>Quintiles</x:v>
      </x:c>
      <x:c r="C1286" s="2" t="str">
        <x:v>Q2</x:v>
      </x:c>
      <x:c r="D1286" s="28" t="n">
        <x:v>45748</x:v>
      </x:c>
      <x:c r="E1286" s="2" t="str">
        <x:v>2025Q2</x:v>
      </x:c>
      <x:c r="F1286" s="20" t="n">
        <x:v>32272.2</x:v>
      </x:c>
      <x:c r="G1286" s="20" t="n">
        <x:f>'Quarterly data'!$E$371</x:f>
        <x:v>30200.9333333333</x:v>
      </x:c>
      <x:c r="H1286" s="22" t="n">
        <x:f>100*F1286/G1286</x:f>
        <x:v>106.85828694035958</x:v>
      </x:c>
      <x:c r="I1286" s="24" t="n">
        <x:f>H1286/100-1</x:f>
        <x:v>0.0685828694035957</x:v>
      </x:c>
      <x:c r="J1286" s="26" t="n">
        <x:v>3</x:v>
      </x:c>
      <x:c r="K1286" s="7" t="b">
        <x:v>0</x:v>
      </x:c>
      <x:c r="L1286" s="2" t="str">
        <x:v>April 2026</x:v>
      </x:c>
      <x:c r="M1286" s="2" t="str">
        <x:v>https://datawrapper.dwcdn.net/wQR5S/23/dataset.csv</x:v>
      </x:c>
    </x:row>
    <x:row r="1287" ht="24" customHeight="1">
      <x:c r="A1287" s="2" t="str">
        <x:v>Ramp</x:v>
      </x:c>
      <x:c r="B1287" s="2" t="str">
        <x:v>Quintiles</x:v>
      </x:c>
      <x:c r="C1287" s="2" t="str">
        <x:v>Q3</x:v>
      </x:c>
      <x:c r="D1287" s="28" t="n">
        <x:v>45748</x:v>
      </x:c>
      <x:c r="E1287" s="2" t="str">
        <x:v>2025Q2</x:v>
      </x:c>
      <x:c r="F1287" s="20" t="n">
        <x:v>31168</x:v>
      </x:c>
      <x:c r="G1287" s="20" t="n">
        <x:f>'Quarterly data'!$E$372</x:f>
        <x:v>31749.8333333333</x:v>
      </x:c>
      <x:c r="H1287" s="22" t="n">
        <x:f>100*F1287/G1287</x:f>
        <x:v>98.16744444852739</x:v>
      </x:c>
      <x:c r="I1287" s="24" t="n">
        <x:f>H1287/100-1</x:f>
        <x:v>-0.018325555514726144</x:v>
      </x:c>
      <x:c r="J1287" s="26" t="n">
        <x:v>4</x:v>
      </x:c>
      <x:c r="K1287" s="7" t="b">
        <x:v>0</x:v>
      </x:c>
      <x:c r="L1287" s="2" t="str">
        <x:v>April 2026</x:v>
      </x:c>
      <x:c r="M1287" s="2" t="str">
        <x:v>https://datawrapper.dwcdn.net/wQR5S/23/dataset.csv</x:v>
      </x:c>
    </x:row>
    <x:row r="1288" ht="24" customHeight="1">
      <x:c r="A1288" s="2" t="str">
        <x:v>Ramp</x:v>
      </x:c>
      <x:c r="B1288" s="2" t="str">
        <x:v>Quintiles</x:v>
      </x:c>
      <x:c r="C1288" s="2" t="str">
        <x:v>Q4</x:v>
      </x:c>
      <x:c r="D1288" s="28" t="n">
        <x:v>45748</x:v>
      </x:c>
      <x:c r="E1288" s="2" t="str">
        <x:v>2025Q2</x:v>
      </x:c>
      <x:c r="F1288" s="20" t="n">
        <x:v>19348.9</x:v>
      </x:c>
      <x:c r="G1288" s="20" t="n">
        <x:f>'Quarterly data'!$E$373</x:f>
        <x:v>19279.9666666667</x:v>
      </x:c>
      <x:c r="H1288" s="22" t="n">
        <x:f>100*F1288/G1288</x:f>
        <x:v>100.35753865411232</x:v>
      </x:c>
      <x:c r="I1288" s="24" t="n">
        <x:f>H1288/100-1</x:f>
        <x:v>0.0035753865411232155</x:v>
      </x:c>
      <x:c r="J1288" s="26" t="n">
        <x:v>3</x:v>
      </x:c>
      <x:c r="K1288" s="7" t="b">
        <x:v>0</x:v>
      </x:c>
      <x:c r="L1288" s="2" t="str">
        <x:v>April 2026</x:v>
      </x:c>
      <x:c r="M1288" s="2" t="str">
        <x:v>https://datawrapper.dwcdn.net/wQR5S/23/dataset.csv</x:v>
      </x:c>
    </x:row>
    <x:row r="1289" ht="24" customHeight="1">
      <x:c r="A1289" s="2" t="str">
        <x:v>Ramp</x:v>
      </x:c>
      <x:c r="B1289" s="2" t="str">
        <x:v>Quintiles</x:v>
      </x:c>
      <x:c r="C1289" s="2" t="str">
        <x:v>Q5</x:v>
      </x:c>
      <x:c r="D1289" s="28" t="n">
        <x:v>45748</x:v>
      </x:c>
      <x:c r="E1289" s="2" t="str">
        <x:v>2025Q2</x:v>
      </x:c>
      <x:c r="F1289" s="20" t="n">
        <x:v>20991.2</x:v>
      </x:c>
      <x:c r="G1289" s="20" t="n">
        <x:f>'Quarterly data'!$E$374</x:f>
        <x:v>21051</x:v>
      </x:c>
      <x:c r="H1289" s="22" t="n">
        <x:f>100*F1289/G1289</x:f>
        <x:v>99.7159279844188</x:v>
      </x:c>
      <x:c r="I1289" s="24" t="n">
        <x:f>H1289/100-1</x:f>
        <x:v>-0.0028407201558120487</x:v>
      </x:c>
      <x:c r="J1289" s="26" t="n">
        <x:v>4</x:v>
      </x:c>
      <x:c r="K1289" s="7" t="b">
        <x:v>0</x:v>
      </x:c>
      <x:c r="L1289" s="2" t="str">
        <x:v>April 2026</x:v>
      </x:c>
      <x:c r="M1289" s="2" t="str">
        <x:v>https://datawrapper.dwcdn.net/wQR5S/23/dataset.csv</x:v>
      </x:c>
    </x:row>
    <x:row r="1290" ht="24" customHeight="1">
      <x:c r="A1290" s="2" t="str">
        <x:v>Ramp</x:v>
      </x:c>
      <x:c r="B1290" s="2" t="str">
        <x:v>Quintiles</x:v>
      </x:c>
      <x:c r="C1290" s="2" t="str">
        <x:v>Q1</x:v>
      </x:c>
      <x:c r="D1290" s="28" t="n">
        <x:v>45778</x:v>
      </x:c>
      <x:c r="E1290" s="2" t="str">
        <x:v>2025Q2</x:v>
      </x:c>
      <x:c r="F1290" s="20" t="n">
        <x:v>31101.8</x:v>
      </x:c>
      <x:c r="G1290" s="20" t="n">
        <x:f>'Quarterly data'!$E$370</x:f>
        <x:v>30131.1</x:v>
      </x:c>
      <x:c r="H1290" s="22" t="n">
        <x:f>100*F1290/G1290</x:f>
        <x:v>103.22158832568344</x:v>
      </x:c>
      <x:c r="I1290" s="24" t="n">
        <x:f>H1290/100-1</x:f>
        <x:v>0.03221588325683444</x:v>
      </x:c>
      <x:c r="J1290" s="26" t="n">
        <x:v>4</x:v>
      </x:c>
      <x:c r="K1290" s="7" t="b">
        <x:v>0</x:v>
      </x:c>
      <x:c r="L1290" s="2" t="str">
        <x:v>April 2026</x:v>
      </x:c>
      <x:c r="M1290" s="2" t="str">
        <x:v>https://datawrapper.dwcdn.net/wQR5S/23/dataset.csv</x:v>
      </x:c>
    </x:row>
    <x:row r="1291" ht="24" customHeight="1">
      <x:c r="A1291" s="2" t="str">
        <x:v>Ramp</x:v>
      </x:c>
      <x:c r="B1291" s="2" t="str">
        <x:v>Quintiles</x:v>
      </x:c>
      <x:c r="C1291" s="2" t="str">
        <x:v>Q2</x:v>
      </x:c>
      <x:c r="D1291" s="28" t="n">
        <x:v>45778</x:v>
      </x:c>
      <x:c r="E1291" s="2" t="str">
        <x:v>2025Q2</x:v>
      </x:c>
      <x:c r="F1291" s="20" t="n">
        <x:v>32338.4</x:v>
      </x:c>
      <x:c r="G1291" s="20" t="n">
        <x:f>'Quarterly data'!$E$371</x:f>
        <x:v>30200.9333333333</x:v>
      </x:c>
      <x:c r="H1291" s="22" t="n">
        <x:f>100*F1291/G1291</x:f>
        <x:v>107.0774854640255</x:v>
      </x:c>
      <x:c r="I1291" s="24" t="n">
        <x:f>H1291/100-1</x:f>
        <x:v>0.0707748546402549</x:v>
      </x:c>
      <x:c r="J1291" s="26" t="n">
        <x:v>3</x:v>
      </x:c>
      <x:c r="K1291" s="7" t="b">
        <x:v>0</x:v>
      </x:c>
      <x:c r="L1291" s="2" t="str">
        <x:v>April 2026</x:v>
      </x:c>
      <x:c r="M1291" s="2" t="str">
        <x:v>https://datawrapper.dwcdn.net/wQR5S/23/dataset.csv</x:v>
      </x:c>
    </x:row>
    <x:row r="1292" ht="24" customHeight="1">
      <x:c r="A1292" s="2" t="str">
        <x:v>Ramp</x:v>
      </x:c>
      <x:c r="B1292" s="2" t="str">
        <x:v>Quintiles</x:v>
      </x:c>
      <x:c r="C1292" s="2" t="str">
        <x:v>Q3</x:v>
      </x:c>
      <x:c r="D1292" s="28" t="n">
        <x:v>45778</x:v>
      </x:c>
      <x:c r="E1292" s="2" t="str">
        <x:v>2025Q2</x:v>
      </x:c>
      <x:c r="F1292" s="20" t="n">
        <x:v>31125.4</x:v>
      </x:c>
      <x:c r="G1292" s="20" t="n">
        <x:f>'Quarterly data'!$E$372</x:f>
        <x:v>31749.8333333333</x:v>
      </x:c>
      <x:c r="H1292" s="22" t="n">
        <x:f>100*F1292/G1292</x:f>
        <x:v>98.03327051585583</x:v>
      </x:c>
      <x:c r="I1292" s="24" t="n">
        <x:f>H1292/100-1</x:f>
        <x:v>-0.019667294841441696</x:v>
      </x:c>
      <x:c r="J1292" s="26" t="n">
        <x:v>4</x:v>
      </x:c>
      <x:c r="K1292" s="7" t="b">
        <x:v>0</x:v>
      </x:c>
      <x:c r="L1292" s="2" t="str">
        <x:v>April 2026</x:v>
      </x:c>
      <x:c r="M1292" s="2" t="str">
        <x:v>https://datawrapper.dwcdn.net/wQR5S/23/dataset.csv</x:v>
      </x:c>
    </x:row>
    <x:row r="1293" ht="24" customHeight="1">
      <x:c r="A1293" s="2" t="str">
        <x:v>Ramp</x:v>
      </x:c>
      <x:c r="B1293" s="2" t="str">
        <x:v>Quintiles</x:v>
      </x:c>
      <x:c r="C1293" s="2" t="str">
        <x:v>Q4</x:v>
      </x:c>
      <x:c r="D1293" s="28" t="n">
        <x:v>45778</x:v>
      </x:c>
      <x:c r="E1293" s="2" t="str">
        <x:v>2025Q2</x:v>
      </x:c>
      <x:c r="F1293" s="20" t="n">
        <x:v>19334.9</x:v>
      </x:c>
      <x:c r="G1293" s="20" t="n">
        <x:f>'Quarterly data'!$E$373</x:f>
        <x:v>19279.9666666667</x:v>
      </x:c>
      <x:c r="H1293" s="22" t="n">
        <x:f>100*F1293/G1293</x:f>
        <x:v>100.28492442068521</x:v>
      </x:c>
      <x:c r="I1293" s="24" t="n">
        <x:f>H1293/100-1</x:f>
        <x:v>0.002849244206852175</x:v>
      </x:c>
      <x:c r="J1293" s="26" t="n">
        <x:v>3</x:v>
      </x:c>
      <x:c r="K1293" s="7" t="b">
        <x:v>0</x:v>
      </x:c>
      <x:c r="L1293" s="2" t="str">
        <x:v>April 2026</x:v>
      </x:c>
      <x:c r="M1293" s="2" t="str">
        <x:v>https://datawrapper.dwcdn.net/wQR5S/23/dataset.csv</x:v>
      </x:c>
    </x:row>
    <x:row r="1294" ht="24" customHeight="1">
      <x:c r="A1294" s="2" t="str">
        <x:v>Ramp</x:v>
      </x:c>
      <x:c r="B1294" s="2" t="str">
        <x:v>Quintiles</x:v>
      </x:c>
      <x:c r="C1294" s="2" t="str">
        <x:v>Q5</x:v>
      </x:c>
      <x:c r="D1294" s="28" t="n">
        <x:v>45778</x:v>
      </x:c>
      <x:c r="E1294" s="2" t="str">
        <x:v>2025Q2</x:v>
      </x:c>
      <x:c r="F1294" s="20" t="n">
        <x:v>20994.4</x:v>
      </x:c>
      <x:c r="G1294" s="20" t="n">
        <x:f>'Quarterly data'!$E$374</x:f>
        <x:v>21051</x:v>
      </x:c>
      <x:c r="H1294" s="22" t="n">
        <x:f>100*F1294/G1294</x:f>
        <x:v>99.7311291625101</x:v>
      </x:c>
      <x:c r="I1294" s="24" t="n">
        <x:f>H1294/100-1</x:f>
        <x:v>-0.002688708374898985</x:v>
      </x:c>
      <x:c r="J1294" s="26" t="n">
        <x:v>4</x:v>
      </x:c>
      <x:c r="K1294" s="7" t="b">
        <x:v>0</x:v>
      </x:c>
      <x:c r="L1294" s="2" t="str">
        <x:v>April 2026</x:v>
      </x:c>
      <x:c r="M1294" s="2" t="str">
        <x:v>https://datawrapper.dwcdn.net/wQR5S/23/dataset.csv</x:v>
      </x:c>
    </x:row>
    <x:row r="1295" ht="24" customHeight="1">
      <x:c r="A1295" s="2" t="str">
        <x:v>Ramp</x:v>
      </x:c>
      <x:c r="B1295" s="2" t="str">
        <x:v>Quintiles</x:v>
      </x:c>
      <x:c r="C1295" s="2" t="str">
        <x:v>Q1</x:v>
      </x:c>
      <x:c r="D1295" s="28" t="n">
        <x:v>45809</x:v>
      </x:c>
      <x:c r="E1295" s="2" t="str">
        <x:v>2025Q2</x:v>
      </x:c>
      <x:c r="F1295" s="20" t="n">
        <x:v>31087.6</x:v>
      </x:c>
      <x:c r="G1295" s="20" t="n">
        <x:f>'Quarterly data'!$E$370</x:f>
        <x:v>30131.1</x:v>
      </x:c>
      <x:c r="H1295" s="22" t="n">
        <x:f>100*F1295/G1295</x:f>
        <x:v>103.17446093902977</x:v>
      </x:c>
      <x:c r="I1295" s="24" t="n">
        <x:f>H1295/100-1</x:f>
        <x:v>0.03174460939029777</x:v>
      </x:c>
      <x:c r="J1295" s="26" t="n">
        <x:v>4</x:v>
      </x:c>
      <x:c r="K1295" s="7" t="b">
        <x:v>0</x:v>
      </x:c>
      <x:c r="L1295" s="2" t="str">
        <x:v>April 2026</x:v>
      </x:c>
      <x:c r="M1295" s="2" t="str">
        <x:v>https://datawrapper.dwcdn.net/wQR5S/23/dataset.csv</x:v>
      </x:c>
    </x:row>
    <x:row r="1296" ht="24" customHeight="1">
      <x:c r="A1296" s="2" t="str">
        <x:v>Ramp</x:v>
      </x:c>
      <x:c r="B1296" s="2" t="str">
        <x:v>Quintiles</x:v>
      </x:c>
      <x:c r="C1296" s="2" t="str">
        <x:v>Q2</x:v>
      </x:c>
      <x:c r="D1296" s="28" t="n">
        <x:v>45809</x:v>
      </x:c>
      <x:c r="E1296" s="2" t="str">
        <x:v>2025Q2</x:v>
      </x:c>
      <x:c r="F1296" s="20" t="n">
        <x:v>32395.7</x:v>
      </x:c>
      <x:c r="G1296" s="20" t="n">
        <x:f>'Quarterly data'!$E$371</x:f>
        <x:v>30200.9333333333</x:v>
      </x:c>
      <x:c r="H1296" s="22" t="n">
        <x:f>100*F1296/G1296</x:f>
        <x:v>107.26721469976657</x:v>
      </x:c>
      <x:c r="I1296" s="24" t="n">
        <x:f>H1296/100-1</x:f>
        <x:v>0.07267214699766567</x:v>
      </x:c>
      <x:c r="J1296" s="26" t="n">
        <x:v>3</x:v>
      </x:c>
      <x:c r="K1296" s="7" t="b">
        <x:v>0</x:v>
      </x:c>
      <x:c r="L1296" s="2" t="str">
        <x:v>April 2026</x:v>
      </x:c>
      <x:c r="M1296" s="2" t="str">
        <x:v>https://datawrapper.dwcdn.net/wQR5S/23/dataset.csv</x:v>
      </x:c>
    </x:row>
    <x:row r="1297" ht="24" customHeight="1">
      <x:c r="A1297" s="2" t="str">
        <x:v>Ramp</x:v>
      </x:c>
      <x:c r="B1297" s="2" t="str">
        <x:v>Quintiles</x:v>
      </x:c>
      <x:c r="C1297" s="2" t="str">
        <x:v>Q3</x:v>
      </x:c>
      <x:c r="D1297" s="28" t="n">
        <x:v>45809</x:v>
      </x:c>
      <x:c r="E1297" s="2" t="str">
        <x:v>2025Q2</x:v>
      </x:c>
      <x:c r="F1297" s="20" t="n">
        <x:v>31082.7</x:v>
      </x:c>
      <x:c r="G1297" s="20" t="n">
        <x:f>'Quarterly data'!$E$372</x:f>
        <x:v>31749.8333333333</x:v>
      </x:c>
      <x:c r="H1297" s="22" t="n">
        <x:f>100*F1297/G1297</x:f>
        <x:v>97.898781620901</x:v>
      </x:c>
      <x:c r="I1297" s="24" t="n">
        <x:f>H1297/100-1</x:f>
        <x:v>-0.021012183790989902</x:v>
      </x:c>
      <x:c r="J1297" s="26" t="n">
        <x:v>4</x:v>
      </x:c>
      <x:c r="K1297" s="7" t="b">
        <x:v>0</x:v>
      </x:c>
      <x:c r="L1297" s="2" t="str">
        <x:v>April 2026</x:v>
      </x:c>
      <x:c r="M1297" s="2" t="str">
        <x:v>https://datawrapper.dwcdn.net/wQR5S/23/dataset.csv</x:v>
      </x:c>
    </x:row>
    <x:row r="1298" ht="24" customHeight="1">
      <x:c r="A1298" s="2" t="str">
        <x:v>Ramp</x:v>
      </x:c>
      <x:c r="B1298" s="2" t="str">
        <x:v>Quintiles</x:v>
      </x:c>
      <x:c r="C1298" s="2" t="str">
        <x:v>Q4</x:v>
      </x:c>
      <x:c r="D1298" s="28" t="n">
        <x:v>45809</x:v>
      </x:c>
      <x:c r="E1298" s="2" t="str">
        <x:v>2025Q2</x:v>
      </x:c>
      <x:c r="F1298" s="20" t="n">
        <x:v>19309.3</x:v>
      </x:c>
      <x:c r="G1298" s="20" t="n">
        <x:f>'Quarterly data'!$E$373</x:f>
        <x:v>19279.9666666667</x:v>
      </x:c>
      <x:c r="H1298" s="22" t="n">
        <x:f>100*F1298/G1298</x:f>
        <x:v>100.15214410813279</x:v>
      </x:c>
      <x:c r="I1298" s="24" t="n">
        <x:f>H1298/100-1</x:f>
        <x:v>0.00152144108132779</x:v>
      </x:c>
      <x:c r="J1298" s="26" t="n">
        <x:v>3</x:v>
      </x:c>
      <x:c r="K1298" s="7" t="b">
        <x:v>0</x:v>
      </x:c>
      <x:c r="L1298" s="2" t="str">
        <x:v>April 2026</x:v>
      </x:c>
      <x:c r="M1298" s="2" t="str">
        <x:v>https://datawrapper.dwcdn.net/wQR5S/23/dataset.csv</x:v>
      </x:c>
    </x:row>
    <x:row r="1299" ht="24" customHeight="1">
      <x:c r="A1299" s="2" t="str">
        <x:v>Ramp</x:v>
      </x:c>
      <x:c r="B1299" s="2" t="str">
        <x:v>Quintiles</x:v>
      </x:c>
      <x:c r="C1299" s="2" t="str">
        <x:v>Q5</x:v>
      </x:c>
      <x:c r="D1299" s="28" t="n">
        <x:v>45809</x:v>
      </x:c>
      <x:c r="E1299" s="2" t="str">
        <x:v>2025Q2</x:v>
      </x:c>
      <x:c r="F1299" s="20" t="n">
        <x:v>20974.7</x:v>
      </x:c>
      <x:c r="G1299" s="20" t="n">
        <x:f>'Quarterly data'!$E$374</x:f>
        <x:v>21051</x:v>
      </x:c>
      <x:c r="H1299" s="22" t="n">
        <x:f>100*F1299/G1299</x:f>
        <x:v>99.63754690988551</x:v>
      </x:c>
      <x:c r="I1299" s="24" t="n">
        <x:f>H1299/100-1</x:f>
        <x:v>-0.0036245309011448956</x:v>
      </x:c>
      <x:c r="J1299" s="26" t="n">
        <x:v>4</x:v>
      </x:c>
      <x:c r="K1299" s="7" t="b">
        <x:v>0</x:v>
      </x:c>
      <x:c r="L1299" s="2" t="str">
        <x:v>April 2026</x:v>
      </x:c>
      <x:c r="M1299" s="2" t="str">
        <x:v>https://datawrapper.dwcdn.net/wQR5S/23/dataset.csv</x:v>
      </x:c>
    </x:row>
    <x:row r="1300" ht="24" customHeight="1">
      <x:c r="A1300" s="2" t="str">
        <x:v>Ramp</x:v>
      </x:c>
      <x:c r="B1300" s="2" t="str">
        <x:v>Quintiles</x:v>
      </x:c>
      <x:c r="C1300" s="2" t="str">
        <x:v>Q1</x:v>
      </x:c>
      <x:c r="D1300" s="28" t="n">
        <x:v>45839</x:v>
      </x:c>
      <x:c r="E1300" s="2" t="str">
        <x:v>2025Q3</x:v>
      </x:c>
      <x:c r="F1300" s="20" t="n">
        <x:v>31097.6</x:v>
      </x:c>
      <x:c r="G1300" s="20" t="n">
        <x:f>'Quarterly data'!$E$370</x:f>
        <x:v>30131.1</x:v>
      </x:c>
      <x:c r="H1300" s="22" t="n">
        <x:f>100*F1300/G1300</x:f>
        <x:v>103.2076492394901</x:v>
      </x:c>
      <x:c r="I1300" s="24" t="n">
        <x:f>H1300/100-1</x:f>
        <x:v>0.032076492394900846</x:v>
      </x:c>
      <x:c r="J1300" s="26" t="n">
        <x:v>4</x:v>
      </x:c>
      <x:c r="K1300" s="7" t="b">
        <x:v>0</x:v>
      </x:c>
      <x:c r="L1300" s="2" t="str">
        <x:v>April 2026</x:v>
      </x:c>
      <x:c r="M1300" s="2" t="str">
        <x:v>https://datawrapper.dwcdn.net/wQR5S/23/dataset.csv</x:v>
      </x:c>
    </x:row>
    <x:row r="1301" ht="24" customHeight="1">
      <x:c r="A1301" s="2" t="str">
        <x:v>Ramp</x:v>
      </x:c>
      <x:c r="B1301" s="2" t="str">
        <x:v>Quintiles</x:v>
      </x:c>
      <x:c r="C1301" s="2" t="str">
        <x:v>Q2</x:v>
      </x:c>
      <x:c r="D1301" s="28" t="n">
        <x:v>45839</x:v>
      </x:c>
      <x:c r="E1301" s="2" t="str">
        <x:v>2025Q3</x:v>
      </x:c>
      <x:c r="F1301" s="20" t="n">
        <x:v>32475.9</x:v>
      </x:c>
      <x:c r="G1301" s="20" t="n">
        <x:f>'Quarterly data'!$E$371</x:f>
        <x:v>30200.9333333333</x:v>
      </x:c>
      <x:c r="H1301" s="22" t="n">
        <x:f>100*F1301/G1301</x:f>
        <x:v>107.53276940668512</x:v>
      </x:c>
      <x:c r="I1301" s="24" t="n">
        <x:f>H1301/100-1</x:f>
        <x:v>0.07532769406685125</x:v>
      </x:c>
      <x:c r="J1301" s="26" t="n">
        <x:v>3</x:v>
      </x:c>
      <x:c r="K1301" s="7" t="b">
        <x:v>0</x:v>
      </x:c>
      <x:c r="L1301" s="2" t="str">
        <x:v>April 2026</x:v>
      </x:c>
      <x:c r="M1301" s="2" t="str">
        <x:v>https://datawrapper.dwcdn.net/wQR5S/23/dataset.csv</x:v>
      </x:c>
    </x:row>
    <x:row r="1302" ht="24" customHeight="1">
      <x:c r="A1302" s="2" t="str">
        <x:v>Ramp</x:v>
      </x:c>
      <x:c r="B1302" s="2" t="str">
        <x:v>Quintiles</x:v>
      </x:c>
      <x:c r="C1302" s="2" t="str">
        <x:v>Q3</x:v>
      </x:c>
      <x:c r="D1302" s="28" t="n">
        <x:v>45839</x:v>
      </x:c>
      <x:c r="E1302" s="2" t="str">
        <x:v>2025Q3</x:v>
      </x:c>
      <x:c r="F1302" s="20" t="n">
        <x:v>31056.9</x:v>
      </x:c>
      <x:c r="G1302" s="20" t="n">
        <x:f>'Quarterly data'!$E$372</x:f>
        <x:v>31749.8333333333</x:v>
      </x:c>
      <x:c r="H1302" s="22" t="n">
        <x:f>100*F1302/G1302</x:f>
        <x:v>97.81752135181823</x:v>
      </x:c>
      <x:c r="I1302" s="24" t="n">
        <x:f>H1302/100-1</x:f>
        <x:v>-0.021824786481817737</x:v>
      </x:c>
      <x:c r="J1302" s="26" t="n">
        <x:v>4</x:v>
      </x:c>
      <x:c r="K1302" s="7" t="b">
        <x:v>0</x:v>
      </x:c>
      <x:c r="L1302" s="2" t="str">
        <x:v>April 2026</x:v>
      </x:c>
      <x:c r="M1302" s="2" t="str">
        <x:v>https://datawrapper.dwcdn.net/wQR5S/23/dataset.csv</x:v>
      </x:c>
    </x:row>
    <x:row r="1303" ht="24" customHeight="1">
      <x:c r="A1303" s="2" t="str">
        <x:v>Ramp</x:v>
      </x:c>
      <x:c r="B1303" s="2" t="str">
        <x:v>Quintiles</x:v>
      </x:c>
      <x:c r="C1303" s="2" t="str">
        <x:v>Q4</x:v>
      </x:c>
      <x:c r="D1303" s="28" t="n">
        <x:v>45839</x:v>
      </x:c>
      <x:c r="E1303" s="2" t="str">
        <x:v>2025Q3</x:v>
      </x:c>
      <x:c r="F1303" s="20" t="n">
        <x:v>19302.1</x:v>
      </x:c>
      <x:c r="G1303" s="20" t="n">
        <x:f>'Quarterly data'!$E$373</x:f>
        <x:v>19279.9666666667</x:v>
      </x:c>
      <x:c r="H1303" s="22" t="n">
        <x:f>100*F1303/G1303</x:f>
        <x:v>100.11479964522742</x:v>
      </x:c>
      <x:c r="I1303" s="24" t="n">
        <x:f>H1303/100-1</x:f>
        <x:v>0.001147996452274258</x:v>
      </x:c>
      <x:c r="J1303" s="26" t="n">
        <x:v>3</x:v>
      </x:c>
      <x:c r="K1303" s="7" t="b">
        <x:v>0</x:v>
      </x:c>
      <x:c r="L1303" s="2" t="str">
        <x:v>April 2026</x:v>
      </x:c>
      <x:c r="M1303" s="2" t="str">
        <x:v>https://datawrapper.dwcdn.net/wQR5S/23/dataset.csv</x:v>
      </x:c>
    </x:row>
    <x:row r="1304" ht="24" customHeight="1">
      <x:c r="A1304" s="2" t="str">
        <x:v>Ramp</x:v>
      </x:c>
      <x:c r="B1304" s="2" t="str">
        <x:v>Quintiles</x:v>
      </x:c>
      <x:c r="C1304" s="2" t="str">
        <x:v>Q5</x:v>
      </x:c>
      <x:c r="D1304" s="28" t="n">
        <x:v>45839</x:v>
      </x:c>
      <x:c r="E1304" s="2" t="str">
        <x:v>2025Q3</x:v>
      </x:c>
      <x:c r="F1304" s="20" t="n">
        <x:v>20983.4</x:v>
      </x:c>
      <x:c r="G1304" s="20" t="n">
        <x:f>'Quarterly data'!$E$374</x:f>
        <x:v>21051</x:v>
      </x:c>
      <x:c r="H1304" s="22" t="n">
        <x:f>100*F1304/G1304</x:f>
        <x:v>99.67887511282125</x:v>
      </x:c>
      <x:c r="I1304" s="24" t="n">
        <x:f>H1304/100-1</x:f>
        <x:v>-0.0032112488717875864</x:v>
      </x:c>
      <x:c r="J1304" s="26" t="n">
        <x:v>4</x:v>
      </x:c>
      <x:c r="K1304" s="7" t="b">
        <x:v>0</x:v>
      </x:c>
      <x:c r="L1304" s="2" t="str">
        <x:v>April 2026</x:v>
      </x:c>
      <x:c r="M1304" s="2" t="str">
        <x:v>https://datawrapper.dwcdn.net/wQR5S/23/dataset.csv</x:v>
      </x:c>
    </x:row>
    <x:row r="1305" ht="24" customHeight="1">
      <x:c r="A1305" s="2" t="str">
        <x:v>Ramp</x:v>
      </x:c>
      <x:c r="B1305" s="2" t="str">
        <x:v>Quintiles</x:v>
      </x:c>
      <x:c r="C1305" s="2" t="str">
        <x:v>Q1</x:v>
      </x:c>
      <x:c r="D1305" s="28" t="n">
        <x:v>45870</x:v>
      </x:c>
      <x:c r="E1305" s="2" t="str">
        <x:v>2025Q3</x:v>
      </x:c>
      <x:c r="F1305" s="20" t="n">
        <x:v>31116.5</x:v>
      </x:c>
      <x:c r="G1305" s="20" t="n">
        <x:f>'Quarterly data'!$E$370</x:f>
        <x:v>30131.1</x:v>
      </x:c>
      <x:c r="H1305" s="22" t="n">
        <x:f>100*F1305/G1305</x:f>
        <x:v>103.27037512736011</x:v>
      </x:c>
      <x:c r="I1305" s="24" t="n">
        <x:f>H1305/100-1</x:f>
        <x:v>0.032703751273601034</x:v>
      </x:c>
      <x:c r="J1305" s="26" t="n">
        <x:v>4</x:v>
      </x:c>
      <x:c r="K1305" s="7" t="b">
        <x:v>0</x:v>
      </x:c>
      <x:c r="L1305" s="2" t="str">
        <x:v>April 2026</x:v>
      </x:c>
      <x:c r="M1305" s="2" t="str">
        <x:v>https://datawrapper.dwcdn.net/wQR5S/23/dataset.csv</x:v>
      </x:c>
    </x:row>
    <x:row r="1306" ht="24" customHeight="1">
      <x:c r="A1306" s="2" t="str">
        <x:v>Ramp</x:v>
      </x:c>
      <x:c r="B1306" s="2" t="str">
        <x:v>Quintiles</x:v>
      </x:c>
      <x:c r="C1306" s="2" t="str">
        <x:v>Q2</x:v>
      </x:c>
      <x:c r="D1306" s="28" t="n">
        <x:v>45870</x:v>
      </x:c>
      <x:c r="E1306" s="2" t="str">
        <x:v>2025Q3</x:v>
      </x:c>
      <x:c r="F1306" s="20" t="n">
        <x:v>32492.2</x:v>
      </x:c>
      <x:c r="G1306" s="20" t="n">
        <x:f>'Quarterly data'!$E$371</x:f>
        <x:v>30200.9333333333</x:v>
      </x:c>
      <x:c r="H1306" s="22" t="n">
        <x:f>100*F1306/G1306</x:f>
        <x:v>107.58674124861494</x:v>
      </x:c>
      <x:c r="I1306" s="24" t="n">
        <x:f>H1306/100-1</x:f>
        <x:v>0.07586741248614937</x:v>
      </x:c>
      <x:c r="J1306" s="26" t="n">
        <x:v>3</x:v>
      </x:c>
      <x:c r="K1306" s="7" t="b">
        <x:v>0</x:v>
      </x:c>
      <x:c r="L1306" s="2" t="str">
        <x:v>April 2026</x:v>
      </x:c>
      <x:c r="M1306" s="2" t="str">
        <x:v>https://datawrapper.dwcdn.net/wQR5S/23/dataset.csv</x:v>
      </x:c>
    </x:row>
    <x:row r="1307" ht="24" customHeight="1">
      <x:c r="A1307" s="2" t="str">
        <x:v>Ramp</x:v>
      </x:c>
      <x:c r="B1307" s="2" t="str">
        <x:v>Quintiles</x:v>
      </x:c>
      <x:c r="C1307" s="2" t="str">
        <x:v>Q3</x:v>
      </x:c>
      <x:c r="D1307" s="28" t="n">
        <x:v>45870</x:v>
      </x:c>
      <x:c r="E1307" s="2" t="str">
        <x:v>2025Q3</x:v>
      </x:c>
      <x:c r="F1307" s="20" t="n">
        <x:v>31034.4</x:v>
      </x:c>
      <x:c r="G1307" s="20" t="n">
        <x:f>'Quarterly data'!$E$372</x:f>
        <x:v>31749.8333333333</x:v>
      </x:c>
      <x:c r="H1307" s="22" t="n">
        <x:f>100*F1307/G1307</x:f>
        <x:v>97.74665483808324</x:v>
      </x:c>
      <x:c r="I1307" s="24" t="n">
        <x:f>H1307/100-1</x:f>
        <x:v>-0.022533451619167533</x:v>
      </x:c>
      <x:c r="J1307" s="26" t="n">
        <x:v>4</x:v>
      </x:c>
      <x:c r="K1307" s="7" t="b">
        <x:v>0</x:v>
      </x:c>
      <x:c r="L1307" s="2" t="str">
        <x:v>April 2026</x:v>
      </x:c>
      <x:c r="M1307" s="2" t="str">
        <x:v>https://datawrapper.dwcdn.net/wQR5S/23/dataset.csv</x:v>
      </x:c>
    </x:row>
    <x:row r="1308" ht="24" customHeight="1">
      <x:c r="A1308" s="2" t="str">
        <x:v>Ramp</x:v>
      </x:c>
      <x:c r="B1308" s="2" t="str">
        <x:v>Quintiles</x:v>
      </x:c>
      <x:c r="C1308" s="2" t="str">
        <x:v>Q4</x:v>
      </x:c>
      <x:c r="D1308" s="28" t="n">
        <x:v>45870</x:v>
      </x:c>
      <x:c r="E1308" s="2" t="str">
        <x:v>2025Q3</x:v>
      </x:c>
      <x:c r="F1308" s="20" t="n">
        <x:v>19293</x:v>
      </x:c>
      <x:c r="G1308" s="20" t="n">
        <x:f>'Quarterly data'!$E$373</x:f>
        <x:v>19279.9666666667</x:v>
      </x:c>
      <x:c r="H1308" s="22" t="n">
        <x:f>100*F1308/G1308</x:f>
        <x:v>100.06760039349982</x:v>
      </x:c>
      <x:c r="I1308" s="24" t="n">
        <x:f>H1308/100-1</x:f>
        <x:v>0.0006760039349982261</x:v>
      </x:c>
      <x:c r="J1308" s="26" t="n">
        <x:v>3</x:v>
      </x:c>
      <x:c r="K1308" s="7" t="b">
        <x:v>0</x:v>
      </x:c>
      <x:c r="L1308" s="2" t="str">
        <x:v>April 2026</x:v>
      </x:c>
      <x:c r="M1308" s="2" t="str">
        <x:v>https://datawrapper.dwcdn.net/wQR5S/23/dataset.csv</x:v>
      </x:c>
    </x:row>
    <x:row r="1309" ht="24" customHeight="1">
      <x:c r="A1309" s="2" t="str">
        <x:v>Ramp</x:v>
      </x:c>
      <x:c r="B1309" s="2" t="str">
        <x:v>Quintiles</x:v>
      </x:c>
      <x:c r="C1309" s="2" t="str">
        <x:v>Q5</x:v>
      </x:c>
      <x:c r="D1309" s="28" t="n">
        <x:v>45870</x:v>
      </x:c>
      <x:c r="E1309" s="2" t="str">
        <x:v>2025Q3</x:v>
      </x:c>
      <x:c r="F1309" s="20" t="n">
        <x:v>20960.5</x:v>
      </x:c>
      <x:c r="G1309" s="20" t="n">
        <x:f>'Quarterly data'!$E$374</x:f>
        <x:v>21051</x:v>
      </x:c>
      <x:c r="H1309" s="22" t="n">
        <x:f>100*F1309/G1309</x:f>
        <x:v>99.57009168210536</x:v>
      </x:c>
      <x:c r="I1309" s="24" t="n">
        <x:f>H1309/100-1</x:f>
        <x:v>-0.00429908317894645</x:v>
      </x:c>
      <x:c r="J1309" s="26" t="n">
        <x:v>4</x:v>
      </x:c>
      <x:c r="K1309" s="7" t="b">
        <x:v>0</x:v>
      </x:c>
      <x:c r="L1309" s="2" t="str">
        <x:v>April 2026</x:v>
      </x:c>
      <x:c r="M1309" s="2" t="str">
        <x:v>https://datawrapper.dwcdn.net/wQR5S/23/dataset.csv</x:v>
      </x:c>
    </x:row>
    <x:row r="1310" ht="24" customHeight="1">
      <x:c r="A1310" s="2" t="str">
        <x:v>Ramp</x:v>
      </x:c>
      <x:c r="B1310" s="2" t="str">
        <x:v>Quintiles</x:v>
      </x:c>
      <x:c r="C1310" s="2" t="str">
        <x:v>Q1</x:v>
      </x:c>
      <x:c r="D1310" s="28" t="n">
        <x:v>45901</x:v>
      </x:c>
      <x:c r="E1310" s="2" t="str">
        <x:v>2025Q3</x:v>
      </x:c>
      <x:c r="F1310" s="20" t="n">
        <x:v>31167</x:v>
      </x:c>
      <x:c r="G1310" s="20" t="n">
        <x:f>'Quarterly data'!$E$370</x:f>
        <x:v>30131.1</x:v>
      </x:c>
      <x:c r="H1310" s="22" t="n">
        <x:f>100*F1310/G1310</x:f>
        <x:v>103.43797604468473</x:v>
      </x:c>
      <x:c r="I1310" s="24" t="n">
        <x:f>H1310/100-1</x:f>
        <x:v>0.03437976044684721</x:v>
      </x:c>
      <x:c r="J1310" s="26" t="n">
        <x:v>4</x:v>
      </x:c>
      <x:c r="K1310" s="7" t="b">
        <x:v>0</x:v>
      </x:c>
      <x:c r="L1310" s="2" t="str">
        <x:v>April 2026</x:v>
      </x:c>
      <x:c r="M1310" s="2" t="str">
        <x:v>https://datawrapper.dwcdn.net/wQR5S/23/dataset.csv</x:v>
      </x:c>
    </x:row>
    <x:row r="1311" ht="24" customHeight="1">
      <x:c r="A1311" s="2" t="str">
        <x:v>Ramp</x:v>
      </x:c>
      <x:c r="B1311" s="2" t="str">
        <x:v>Quintiles</x:v>
      </x:c>
      <x:c r="C1311" s="2" t="str">
        <x:v>Q2</x:v>
      </x:c>
      <x:c r="D1311" s="28" t="n">
        <x:v>45901</x:v>
      </x:c>
      <x:c r="E1311" s="2" t="str">
        <x:v>2025Q3</x:v>
      </x:c>
      <x:c r="F1311" s="20" t="n">
        <x:v>32508</x:v>
      </x:c>
      <x:c r="G1311" s="20" t="n">
        <x:f>'Quarterly data'!$E$371</x:f>
        <x:v>30200.9333333333</x:v>
      </x:c>
      <x:c r="H1311" s="22" t="n">
        <x:f>100*F1311/G1311</x:f>
        <x:v>107.63905751257147</x:v>
      </x:c>
      <x:c r="I1311" s="24" t="n">
        <x:f>H1311/100-1</x:f>
        <x:v>0.07639057512571479</x:v>
      </x:c>
      <x:c r="J1311" s="26" t="n">
        <x:v>3</x:v>
      </x:c>
      <x:c r="K1311" s="7" t="b">
        <x:v>0</x:v>
      </x:c>
      <x:c r="L1311" s="2" t="str">
        <x:v>April 2026</x:v>
      </x:c>
      <x:c r="M1311" s="2" t="str">
        <x:v>https://datawrapper.dwcdn.net/wQR5S/23/dataset.csv</x:v>
      </x:c>
    </x:row>
    <x:row r="1312" ht="24" customHeight="1">
      <x:c r="A1312" s="2" t="str">
        <x:v>Ramp</x:v>
      </x:c>
      <x:c r="B1312" s="2" t="str">
        <x:v>Quintiles</x:v>
      </x:c>
      <x:c r="C1312" s="2" t="str">
        <x:v>Q3</x:v>
      </x:c>
      <x:c r="D1312" s="28" t="n">
        <x:v>45901</x:v>
      </x:c>
      <x:c r="E1312" s="2" t="str">
        <x:v>2025Q3</x:v>
      </x:c>
      <x:c r="F1312" s="20" t="n">
        <x:v>31041.4</x:v>
      </x:c>
      <x:c r="G1312" s="20" t="n">
        <x:f>'Quarterly data'!$E$372</x:f>
        <x:v>31749.8333333333</x:v>
      </x:c>
      <x:c r="H1312" s="22" t="n">
        <x:f>100*F1312/G1312</x:f>
        <x:v>97.7687021979119</x:v>
      </x:c>
      <x:c r="I1312" s="24" t="n">
        <x:f>H1312/100-1</x:f>
        <x:v>-0.022312978020880947</x:v>
      </x:c>
      <x:c r="J1312" s="26" t="n">
        <x:v>4</x:v>
      </x:c>
      <x:c r="K1312" s="7" t="b">
        <x:v>0</x:v>
      </x:c>
      <x:c r="L1312" s="2" t="str">
        <x:v>April 2026</x:v>
      </x:c>
      <x:c r="M1312" s="2" t="str">
        <x:v>https://datawrapper.dwcdn.net/wQR5S/23/dataset.csv</x:v>
      </x:c>
    </x:row>
    <x:row r="1313" ht="24" customHeight="1">
      <x:c r="A1313" s="2" t="str">
        <x:v>Ramp</x:v>
      </x:c>
      <x:c r="B1313" s="2" t="str">
        <x:v>Quintiles</x:v>
      </x:c>
      <x:c r="C1313" s="2" t="str">
        <x:v>Q4</x:v>
      </x:c>
      <x:c r="D1313" s="28" t="n">
        <x:v>45901</x:v>
      </x:c>
      <x:c r="E1313" s="2" t="str">
        <x:v>2025Q3</x:v>
      </x:c>
      <x:c r="F1313" s="20" t="n">
        <x:v>19290.1</x:v>
      </x:c>
      <x:c r="G1313" s="20" t="n">
        <x:f>'Quarterly data'!$E$373</x:f>
        <x:v>19279.9666666667</x:v>
      </x:c>
      <x:c r="H1313" s="22" t="n">
        <x:f>100*F1313/G1313</x:f>
        <x:v>100.05255887371848</x:v>
      </x:c>
      <x:c r="I1313" s="24" t="n">
        <x:f>H1313/100-1</x:f>
        <x:v>0.00052558873718489</x:v>
      </x:c>
      <x:c r="J1313" s="26" t="n">
        <x:v>3</x:v>
      </x:c>
      <x:c r="K1313" s="7" t="b">
        <x:v>0</x:v>
      </x:c>
      <x:c r="L1313" s="2" t="str">
        <x:v>April 2026</x:v>
      </x:c>
      <x:c r="M1313" s="2" t="str">
        <x:v>https://datawrapper.dwcdn.net/wQR5S/23/dataset.csv</x:v>
      </x:c>
    </x:row>
    <x:row r="1314" ht="24" customHeight="1">
      <x:c r="A1314" s="2" t="str">
        <x:v>Ramp</x:v>
      </x:c>
      <x:c r="B1314" s="2" t="str">
        <x:v>Quintiles</x:v>
      </x:c>
      <x:c r="C1314" s="2" t="str">
        <x:v>Q5</x:v>
      </x:c>
      <x:c r="D1314" s="28" t="n">
        <x:v>45901</x:v>
      </x:c>
      <x:c r="E1314" s="2" t="str">
        <x:v>2025Q3</x:v>
      </x:c>
      <x:c r="F1314" s="20" t="n">
        <x:v>20958.9</x:v>
      </x:c>
      <x:c r="G1314" s="20" t="n">
        <x:f>'Quarterly data'!$E$374</x:f>
        <x:v>21051</x:v>
      </x:c>
      <x:c r="H1314" s="22" t="n">
        <x:f>100*F1314/G1314</x:f>
        <x:v>99.56249109305972</x:v>
      </x:c>
      <x:c r="I1314" s="24" t="n">
        <x:f>H1314/100-1</x:f>
        <x:v>-0.00437508906940276</x:v>
      </x:c>
      <x:c r="J1314" s="26" t="n">
        <x:v>4</x:v>
      </x:c>
      <x:c r="K1314" s="7" t="b">
        <x:v>0</x:v>
      </x:c>
      <x:c r="L1314" s="2" t="str">
        <x:v>April 2026</x:v>
      </x:c>
      <x:c r="M1314" s="2" t="str">
        <x:v>https://datawrapper.dwcdn.net/wQR5S/23/dataset.csv</x:v>
      </x:c>
    </x:row>
    <x:row r="1315" ht="24" customHeight="1">
      <x:c r="A1315" s="2" t="str">
        <x:v>Ramp</x:v>
      </x:c>
      <x:c r="B1315" s="2" t="str">
        <x:v>Quintiles</x:v>
      </x:c>
      <x:c r="C1315" s="2" t="str">
        <x:v>Q1</x:v>
      </x:c>
      <x:c r="D1315" s="28" t="n">
        <x:v>45931</x:v>
      </x:c>
      <x:c r="E1315" s="2" t="str">
        <x:v>2025Q4</x:v>
      </x:c>
      <x:c r="F1315" s="20" t="n">
        <x:v>31190.3</x:v>
      </x:c>
      <x:c r="G1315" s="20" t="n">
        <x:f>'Quarterly data'!$E$370</x:f>
        <x:v>30131.1</x:v>
      </x:c>
      <x:c r="H1315" s="22" t="n">
        <x:f>100*F1315/G1315</x:f>
        <x:v>103.51530478475728</x:v>
      </x:c>
      <x:c r="I1315" s="24" t="n">
        <x:f>H1315/100-1</x:f>
        <x:v>0.03515304784757278</x:v>
      </x:c>
      <x:c r="J1315" s="26" t="n">
        <x:v>4</x:v>
      </x:c>
      <x:c r="K1315" s="7" t="b">
        <x:v>0</x:v>
      </x:c>
      <x:c r="L1315" s="2" t="str">
        <x:v>April 2026</x:v>
      </x:c>
      <x:c r="M1315" s="2" t="str">
        <x:v>https://datawrapper.dwcdn.net/wQR5S/23/dataset.csv</x:v>
      </x:c>
    </x:row>
    <x:row r="1316" ht="24" customHeight="1">
      <x:c r="A1316" s="2" t="str">
        <x:v>Ramp</x:v>
      </x:c>
      <x:c r="B1316" s="2" t="str">
        <x:v>Quintiles</x:v>
      </x:c>
      <x:c r="C1316" s="2" t="str">
        <x:v>Q2</x:v>
      </x:c>
      <x:c r="D1316" s="28" t="n">
        <x:v>45931</x:v>
      </x:c>
      <x:c r="E1316" s="2" t="str">
        <x:v>2025Q4</x:v>
      </x:c>
      <x:c r="F1316" s="20" t="n">
        <x:v>32550.7</x:v>
      </x:c>
      <x:c r="G1316" s="20" t="n">
        <x:f>'Quarterly data'!$E$371</x:f>
        <x:v>30200.9333333333</x:v>
      </x:c>
      <x:c r="H1316" s="22" t="n">
        <x:f>100*F1316/G1316</x:f>
        <x:v>107.78044387149194</x:v>
      </x:c>
      <x:c r="I1316" s="24" t="n">
        <x:f>H1316/100-1</x:f>
        <x:v>0.07780443871491949</x:v>
      </x:c>
      <x:c r="J1316" s="26" t="n">
        <x:v>3</x:v>
      </x:c>
      <x:c r="K1316" s="7" t="b">
        <x:v>0</x:v>
      </x:c>
      <x:c r="L1316" s="2" t="str">
        <x:v>April 2026</x:v>
      </x:c>
      <x:c r="M1316" s="2" t="str">
        <x:v>https://datawrapper.dwcdn.net/wQR5S/23/dataset.csv</x:v>
      </x:c>
    </x:row>
    <x:row r="1317" ht="24" customHeight="1">
      <x:c r="A1317" s="2" t="str">
        <x:v>Ramp</x:v>
      </x:c>
      <x:c r="B1317" s="2" t="str">
        <x:v>Quintiles</x:v>
      </x:c>
      <x:c r="C1317" s="2" t="str">
        <x:v>Q3</x:v>
      </x:c>
      <x:c r="D1317" s="28" t="n">
        <x:v>45931</x:v>
      </x:c>
      <x:c r="E1317" s="2" t="str">
        <x:v>2025Q4</x:v>
      </x:c>
      <x:c r="F1317" s="20" t="n">
        <x:v>31015.8</x:v>
      </x:c>
      <x:c r="G1317" s="20" t="n">
        <x:f>'Quarterly data'!$E$372</x:f>
        <x:v>31749.8333333333</x:v>
      </x:c>
      <x:c r="H1317" s="22" t="n">
        <x:f>100*F1317/G1317</x:f>
        <x:v>97.68807185339566</x:v>
      </x:c>
      <x:c r="I1317" s="24" t="n">
        <x:f>H1317/100-1</x:f>
        <x:v>-0.023119281466043473</x:v>
      </x:c>
      <x:c r="J1317" s="26" t="n">
        <x:v>4</x:v>
      </x:c>
      <x:c r="K1317" s="7" t="b">
        <x:v>0</x:v>
      </x:c>
      <x:c r="L1317" s="2" t="str">
        <x:v>April 2026</x:v>
      </x:c>
      <x:c r="M1317" s="2" t="str">
        <x:v>https://datawrapper.dwcdn.net/wQR5S/23/dataset.csv</x:v>
      </x:c>
    </x:row>
    <x:row r="1318" ht="24" customHeight="1">
      <x:c r="A1318" s="2" t="str">
        <x:v>Ramp</x:v>
      </x:c>
      <x:c r="B1318" s="2" t="str">
        <x:v>Quintiles</x:v>
      </x:c>
      <x:c r="C1318" s="2" t="str">
        <x:v>Q4</x:v>
      </x:c>
      <x:c r="D1318" s="28" t="n">
        <x:v>45931</x:v>
      </x:c>
      <x:c r="E1318" s="2" t="str">
        <x:v>2025Q4</x:v>
      </x:c>
      <x:c r="F1318" s="20" t="n">
        <x:v>19275.4</x:v>
      </x:c>
      <x:c r="G1318" s="20" t="n">
        <x:f>'Quarterly data'!$E$373</x:f>
        <x:v>19279.9666666667</x:v>
      </x:c>
      <x:c r="H1318" s="22" t="n">
        <x:f>100*F1318/G1318</x:f>
        <x:v>99.97631392862004</x:v>
      </x:c>
      <x:c r="I1318" s="24" t="n">
        <x:f>H1318/100-1</x:f>
        <x:v>-0.0002368607137995804</x:v>
      </x:c>
      <x:c r="J1318" s="26" t="n">
        <x:v>3</x:v>
      </x:c>
      <x:c r="K1318" s="7" t="b">
        <x:v>0</x:v>
      </x:c>
      <x:c r="L1318" s="2" t="str">
        <x:v>April 2026</x:v>
      </x:c>
      <x:c r="M1318" s="2" t="str">
        <x:v>https://datawrapper.dwcdn.net/wQR5S/23/dataset.csv</x:v>
      </x:c>
    </x:row>
    <x:row r="1319" ht="24" customHeight="1">
      <x:c r="A1319" s="2" t="str">
        <x:v>Ramp</x:v>
      </x:c>
      <x:c r="B1319" s="2" t="str">
        <x:v>Quintiles</x:v>
      </x:c>
      <x:c r="C1319" s="2" t="str">
        <x:v>Q5</x:v>
      </x:c>
      <x:c r="D1319" s="28" t="n">
        <x:v>45931</x:v>
      </x:c>
      <x:c r="E1319" s="2" t="str">
        <x:v>2025Q4</x:v>
      </x:c>
      <x:c r="F1319" s="20" t="n">
        <x:v>20946.8</x:v>
      </x:c>
      <x:c r="G1319" s="20" t="n">
        <x:f>'Quarterly data'!$E$374</x:f>
        <x:v>21051</x:v>
      </x:c>
      <x:c r="H1319" s="22" t="n">
        <x:f>100*F1319/G1319</x:f>
        <x:v>99.50501163840198</x:v>
      </x:c>
      <x:c r="I1319" s="24" t="n">
        <x:f>H1319/100-1</x:f>
        <x:v>-0.004949883615980144</x:v>
      </x:c>
      <x:c r="J1319" s="26" t="n">
        <x:v>4</x:v>
      </x:c>
      <x:c r="K1319" s="7" t="b">
        <x:v>0</x:v>
      </x:c>
      <x:c r="L1319" s="2" t="str">
        <x:v>April 2026</x:v>
      </x:c>
      <x:c r="M1319" s="2" t="str">
        <x:v>https://datawrapper.dwcdn.net/wQR5S/23/dataset.csv</x:v>
      </x:c>
    </x:row>
    <x:row r="1320" ht="24" customHeight="1">
      <x:c r="A1320" s="2" t="str">
        <x:v>Ramp</x:v>
      </x:c>
      <x:c r="B1320" s="2" t="str">
        <x:v>Quintiles</x:v>
      </x:c>
      <x:c r="C1320" s="2" t="str">
        <x:v>Q1</x:v>
      </x:c>
      <x:c r="D1320" s="28" t="n">
        <x:v>45962</x:v>
      </x:c>
      <x:c r="E1320" s="2" t="str">
        <x:v>2025Q4</x:v>
      </x:c>
      <x:c r="F1320" s="20" t="n">
        <x:v>31230.4</x:v>
      </x:c>
      <x:c r="G1320" s="20" t="n">
        <x:f>'Quarterly data'!$E$370</x:f>
        <x:v>30131.1</x:v>
      </x:c>
      <x:c r="H1320" s="22" t="n">
        <x:f>100*F1320/G1320</x:f>
        <x:v>103.64838986960318</x:v>
      </x:c>
      <x:c r="I1320" s="24" t="n">
        <x:f>H1320/100-1</x:f>
        <x:v>0.03648389869603186</x:v>
      </x:c>
      <x:c r="J1320" s="26" t="n">
        <x:v>4</x:v>
      </x:c>
      <x:c r="K1320" s="7" t="b">
        <x:v>0</x:v>
      </x:c>
      <x:c r="L1320" s="2" t="str">
        <x:v>April 2026</x:v>
      </x:c>
      <x:c r="M1320" s="2" t="str">
        <x:v>https://datawrapper.dwcdn.net/wQR5S/23/dataset.csv</x:v>
      </x:c>
    </x:row>
    <x:row r="1321" ht="24" customHeight="1">
      <x:c r="A1321" s="2" t="str">
        <x:v>Ramp</x:v>
      </x:c>
      <x:c r="B1321" s="2" t="str">
        <x:v>Quintiles</x:v>
      </x:c>
      <x:c r="C1321" s="2" t="str">
        <x:v>Q2</x:v>
      </x:c>
      <x:c r="D1321" s="28" t="n">
        <x:v>45962</x:v>
      </x:c>
      <x:c r="E1321" s="2" t="str">
        <x:v>2025Q4</x:v>
      </x:c>
      <x:c r="F1321" s="20" t="n">
        <x:v>32555.9</x:v>
      </x:c>
      <x:c r="G1321" s="20" t="n">
        <x:f>'Quarterly data'!$E$371</x:f>
        <x:v>30200.9333333333</x:v>
      </x:c>
      <x:c r="H1321" s="22" t="n">
        <x:f>100*F1321/G1321</x:f>
        <x:v>107.79766188241435</x:v>
      </x:c>
      <x:c r="I1321" s="24" t="n">
        <x:f>H1321/100-1</x:f>
        <x:v>0.07797661882414353</x:v>
      </x:c>
      <x:c r="J1321" s="26" t="n">
        <x:v>3</x:v>
      </x:c>
      <x:c r="K1321" s="7" t="b">
        <x:v>0</x:v>
      </x:c>
      <x:c r="L1321" s="2" t="str">
        <x:v>April 2026</x:v>
      </x:c>
      <x:c r="M1321" s="2" t="str">
        <x:v>https://datawrapper.dwcdn.net/wQR5S/23/dataset.csv</x:v>
      </x:c>
    </x:row>
    <x:row r="1322" ht="24" customHeight="1">
      <x:c r="A1322" s="2" t="str">
        <x:v>Ramp</x:v>
      </x:c>
      <x:c r="B1322" s="2" t="str">
        <x:v>Quintiles</x:v>
      </x:c>
      <x:c r="C1322" s="2" t="str">
        <x:v>Q3</x:v>
      </x:c>
      <x:c r="D1322" s="28" t="n">
        <x:v>45962</x:v>
      </x:c>
      <x:c r="E1322" s="2" t="str">
        <x:v>2025Q4</x:v>
      </x:c>
      <x:c r="F1322" s="20" t="n">
        <x:v>31025.8</x:v>
      </x:c>
      <x:c r="G1322" s="20" t="n">
        <x:f>'Quarterly data'!$E$372</x:f>
        <x:v>31749.8333333333</x:v>
      </x:c>
      <x:c r="H1322" s="22" t="n">
        <x:f>100*F1322/G1322</x:f>
        <x:v>97.71956808172231</x:v>
      </x:c>
      <x:c r="I1322" s="24" t="n">
        <x:f>H1322/100-1</x:f>
        <x:v>-0.02280431918277681</x:v>
      </x:c>
      <x:c r="J1322" s="26" t="n">
        <x:v>4</x:v>
      </x:c>
      <x:c r="K1322" s="7" t="b">
        <x:v>0</x:v>
      </x:c>
      <x:c r="L1322" s="2" t="str">
        <x:v>April 2026</x:v>
      </x:c>
      <x:c r="M1322" s="2" t="str">
        <x:v>https://datawrapper.dwcdn.net/wQR5S/23/dataset.csv</x:v>
      </x:c>
    </x:row>
    <x:row r="1323" ht="24" customHeight="1">
      <x:c r="A1323" s="2" t="str">
        <x:v>Ramp</x:v>
      </x:c>
      <x:c r="B1323" s="2" t="str">
        <x:v>Quintiles</x:v>
      </x:c>
      <x:c r="C1323" s="2" t="str">
        <x:v>Q4</x:v>
      </x:c>
      <x:c r="D1323" s="28" t="n">
        <x:v>45962</x:v>
      </x:c>
      <x:c r="E1323" s="2" t="str">
        <x:v>2025Q4</x:v>
      </x:c>
      <x:c r="F1323" s="20" t="n">
        <x:v>19262.7</x:v>
      </x:c>
      <x:c r="G1323" s="20" t="n">
        <x:f>'Quarterly data'!$E$373</x:f>
        <x:v>19279.9666666667</x:v>
      </x:c>
      <x:c r="H1323" s="22" t="n">
        <x:f>100*F1323/G1323</x:f>
        <x:v>99.91044244543974</x:v>
      </x:c>
      <x:c r="I1323" s="24" t="n">
        <x:f>H1323/100-1</x:f>
        <x:v>-0.0008955755456026004</x:v>
      </x:c>
      <x:c r="J1323" s="26" t="n">
        <x:v>3</x:v>
      </x:c>
      <x:c r="K1323" s="7" t="b">
        <x:v>0</x:v>
      </x:c>
      <x:c r="L1323" s="2" t="str">
        <x:v>April 2026</x:v>
      </x:c>
      <x:c r="M1323" s="2" t="str">
        <x:v>https://datawrapper.dwcdn.net/wQR5S/23/dataset.csv</x:v>
      </x:c>
    </x:row>
    <x:row r="1324" ht="24" customHeight="1">
      <x:c r="A1324" s="2" t="str">
        <x:v>Ramp</x:v>
      </x:c>
      <x:c r="B1324" s="2" t="str">
        <x:v>Quintiles</x:v>
      </x:c>
      <x:c r="C1324" s="2" t="str">
        <x:v>Q5</x:v>
      </x:c>
      <x:c r="D1324" s="28" t="n">
        <x:v>45962</x:v>
      </x:c>
      <x:c r="E1324" s="2" t="str">
        <x:v>2025Q4</x:v>
      </x:c>
      <x:c r="F1324" s="20" t="n">
        <x:v>20977.9</x:v>
      </x:c>
      <x:c r="G1324" s="20" t="n">
        <x:f>'Quarterly data'!$E$374</x:f>
        <x:v>21051</x:v>
      </x:c>
      <x:c r="H1324" s="22" t="n">
        <x:f>100*F1324/G1324</x:f>
        <x:v>99.65274808797682</x:v>
      </x:c>
      <x:c r="I1324" s="24" t="n">
        <x:f>H1324/100-1</x:f>
        <x:v>-0.0034725191202318317</x:v>
      </x:c>
      <x:c r="J1324" s="26" t="n">
        <x:v>4</x:v>
      </x:c>
      <x:c r="K1324" s="7" t="b">
        <x:v>0</x:v>
      </x:c>
      <x:c r="L1324" s="2" t="str">
        <x:v>April 2026</x:v>
      </x:c>
      <x:c r="M1324" s="2" t="str">
        <x:v>https://datawrapper.dwcdn.net/wQR5S/23/dataset.csv</x:v>
      </x:c>
    </x:row>
    <x:row r="1325" ht="24" customHeight="1">
      <x:c r="A1325" s="2" t="str">
        <x:v>Ramp</x:v>
      </x:c>
      <x:c r="B1325" s="2" t="str">
        <x:v>Quintiles</x:v>
      </x:c>
      <x:c r="C1325" s="2" t="str">
        <x:v>Q1</x:v>
      </x:c>
      <x:c r="D1325" s="28" t="n">
        <x:v>45992</x:v>
      </x:c>
      <x:c r="E1325" s="2" t="str">
        <x:v>2025Q4</x:v>
      </x:c>
      <x:c r="F1325" s="20" t="n">
        <x:v>31256.3</x:v>
      </x:c>
      <x:c r="G1325" s="20" t="n">
        <x:f>'Quarterly data'!$E$370</x:f>
        <x:v>30131.1</x:v>
      </x:c>
      <x:c r="H1325" s="22" t="n">
        <x:f>100*F1325/G1325</x:f>
        <x:v>103.73434756779541</x:v>
      </x:c>
      <x:c r="I1325" s="24" t="n">
        <x:f>H1325/100-1</x:f>
        <x:v>0.03734347567795404</x:v>
      </x:c>
      <x:c r="J1325" s="26" t="n">
        <x:v>4</x:v>
      </x:c>
      <x:c r="K1325" s="7" t="b">
        <x:v>0</x:v>
      </x:c>
      <x:c r="L1325" s="2" t="str">
        <x:v>April 2026</x:v>
      </x:c>
      <x:c r="M1325" s="2" t="str">
        <x:v>https://datawrapper.dwcdn.net/wQR5S/23/dataset.csv</x:v>
      </x:c>
    </x:row>
    <x:row r="1326" ht="24" customHeight="1">
      <x:c r="A1326" s="2" t="str">
        <x:v>Ramp</x:v>
      </x:c>
      <x:c r="B1326" s="2" t="str">
        <x:v>Quintiles</x:v>
      </x:c>
      <x:c r="C1326" s="2" t="str">
        <x:v>Q2</x:v>
      </x:c>
      <x:c r="D1326" s="28" t="n">
        <x:v>45992</x:v>
      </x:c>
      <x:c r="E1326" s="2" t="str">
        <x:v>2025Q4</x:v>
      </x:c>
      <x:c r="F1326" s="20" t="n">
        <x:v>32594.6</x:v>
      </x:c>
      <x:c r="G1326" s="20" t="n">
        <x:f>'Quarterly data'!$E$371</x:f>
        <x:v>30200.9333333333</x:v>
      </x:c>
      <x:c r="H1326" s="22" t="n">
        <x:f>100*F1326/G1326</x:f>
        <x:v>107.92580361754835</x:v>
      </x:c>
      <x:c r="I1326" s="24" t="n">
        <x:f>H1326/100-1</x:f>
        <x:v>0.07925803617548355</x:v>
      </x:c>
      <x:c r="J1326" s="26" t="n">
        <x:v>3</x:v>
      </x:c>
      <x:c r="K1326" s="7" t="b">
        <x:v>0</x:v>
      </x:c>
      <x:c r="L1326" s="2" t="str">
        <x:v>April 2026</x:v>
      </x:c>
      <x:c r="M1326" s="2" t="str">
        <x:v>https://datawrapper.dwcdn.net/wQR5S/23/dataset.csv</x:v>
      </x:c>
    </x:row>
    <x:row r="1327" ht="24" customHeight="1">
      <x:c r="A1327" s="2" t="str">
        <x:v>Ramp</x:v>
      </x:c>
      <x:c r="B1327" s="2" t="str">
        <x:v>Quintiles</x:v>
      </x:c>
      <x:c r="C1327" s="2" t="str">
        <x:v>Q3</x:v>
      </x:c>
      <x:c r="D1327" s="28" t="n">
        <x:v>45992</x:v>
      </x:c>
      <x:c r="E1327" s="2" t="str">
        <x:v>2025Q4</x:v>
      </x:c>
      <x:c r="F1327" s="20" t="n">
        <x:v>30987.3</x:v>
      </x:c>
      <x:c r="G1327" s="20" t="n">
        <x:f>'Quarterly data'!$E$372</x:f>
        <x:v>31749.8333333333</x:v>
      </x:c>
      <x:c r="H1327" s="22" t="n">
        <x:f>100*F1327/G1327</x:f>
        <x:v>97.59830760266469</x:v>
      </x:c>
      <x:c r="I1327" s="24" t="n">
        <x:f>H1327/100-1</x:f>
        <x:v>-0.024016923973353088</x:v>
      </x:c>
      <x:c r="J1327" s="26" t="n">
        <x:v>4</x:v>
      </x:c>
      <x:c r="K1327" s="7" t="b">
        <x:v>0</x:v>
      </x:c>
      <x:c r="L1327" s="2" t="str">
        <x:v>April 2026</x:v>
      </x:c>
      <x:c r="M1327" s="2" t="str">
        <x:v>https://datawrapper.dwcdn.net/wQR5S/23/dataset.csv</x:v>
      </x:c>
    </x:row>
    <x:row r="1328" ht="24" customHeight="1">
      <x:c r="A1328" s="2" t="str">
        <x:v>Ramp</x:v>
      </x:c>
      <x:c r="B1328" s="2" t="str">
        <x:v>Quintiles</x:v>
      </x:c>
      <x:c r="C1328" s="2" t="str">
        <x:v>Q4</x:v>
      </x:c>
      <x:c r="D1328" s="28" t="n">
        <x:v>45992</x:v>
      </x:c>
      <x:c r="E1328" s="2" t="str">
        <x:v>2025Q4</x:v>
      </x:c>
      <x:c r="F1328" s="20" t="n">
        <x:v>19241.3</x:v>
      </x:c>
      <x:c r="G1328" s="20" t="n">
        <x:f>'Quarterly data'!$E$373</x:f>
        <x:v>19279.9666666667</x:v>
      </x:c>
      <x:c r="H1328" s="22" t="n">
        <x:f>100*F1328/G1328</x:f>
        <x:v>99.79944640291546</x:v>
      </x:c>
      <x:c r="I1328" s="24" t="n">
        <x:f>H1328/100-1</x:f>
        <x:v>-0.002005535970845407</x:v>
      </x:c>
      <x:c r="J1328" s="26" t="n">
        <x:v>3</x:v>
      </x:c>
      <x:c r="K1328" s="7" t="b">
        <x:v>0</x:v>
      </x:c>
      <x:c r="L1328" s="2" t="str">
        <x:v>April 2026</x:v>
      </x:c>
      <x:c r="M1328" s="2" t="str">
        <x:v>https://datawrapper.dwcdn.net/wQR5S/23/dataset.csv</x:v>
      </x:c>
    </x:row>
    <x:row r="1329" ht="24" customHeight="1">
      <x:c r="A1329" s="2" t="str">
        <x:v>Ramp</x:v>
      </x:c>
      <x:c r="B1329" s="2" t="str">
        <x:v>Quintiles</x:v>
      </x:c>
      <x:c r="C1329" s="2" t="str">
        <x:v>Q5</x:v>
      </x:c>
      <x:c r="D1329" s="28" t="n">
        <x:v>45992</x:v>
      </x:c>
      <x:c r="E1329" s="2" t="str">
        <x:v>2025Q4</x:v>
      </x:c>
      <x:c r="F1329" s="20" t="n">
        <x:v>20965.3</x:v>
      </x:c>
      <x:c r="G1329" s="20" t="n">
        <x:f>'Quarterly data'!$E$374</x:f>
        <x:v>21051</x:v>
      </x:c>
      <x:c r="H1329" s="22" t="n">
        <x:f>100*F1329/G1329</x:f>
        <x:v>99.59289344924231</x:v>
      </x:c>
      <x:c r="I1329" s="24" t="n">
        <x:f>H1329/100-1</x:f>
        <x:v>-0.004071065507576854</x:v>
      </x:c>
      <x:c r="J1329" s="26" t="n">
        <x:v>4</x:v>
      </x:c>
      <x:c r="K1329" s="7" t="b">
        <x:v>0</x:v>
      </x:c>
      <x:c r="L1329" s="2" t="str">
        <x:v>April 2026</x:v>
      </x:c>
      <x:c r="M1329" s="2" t="str">
        <x:v>https://datawrapper.dwcdn.net/wQR5S/23/dataset.csv</x:v>
      </x:c>
    </x:row>
    <x:row r="1330" ht="24" customHeight="1">
      <x:c r="A1330" s="2" t="str">
        <x:v>Ramp</x:v>
      </x:c>
      <x:c r="B1330" s="2" t="str">
        <x:v>Quintiles</x:v>
      </x:c>
      <x:c r="C1330" s="2" t="str">
        <x:v>Q1</x:v>
      </x:c>
      <x:c r="D1330" s="28" t="n">
        <x:v>46023</x:v>
      </x:c>
      <x:c r="E1330" s="2" t="str">
        <x:v>2026Q1</x:v>
      </x:c>
      <x:c r="F1330" s="20" t="n">
        <x:v>31308.5</x:v>
      </x:c>
      <x:c r="G1330" s="20" t="n">
        <x:f>'Quarterly data'!$E$370</x:f>
        <x:v>30131.1</x:v>
      </x:c>
      <x:c r="H1330" s="22" t="n">
        <x:f>100*F1330/G1330</x:f>
        <x:v>103.90759049619828</x:v>
      </x:c>
      <x:c r="I1330" s="24" t="n">
        <x:f>H1330/100-1</x:f>
        <x:v>0.03907590496198288</x:v>
      </x:c>
      <x:c r="J1330" s="26" t="n">
        <x:v>4</x:v>
      </x:c>
      <x:c r="K1330" s="7" t="b">
        <x:v>0</x:v>
      </x:c>
      <x:c r="L1330" s="2" t="str">
        <x:v>April 2026</x:v>
      </x:c>
      <x:c r="M1330" s="2" t="str">
        <x:v>https://datawrapper.dwcdn.net/wQR5S/23/dataset.csv</x:v>
      </x:c>
    </x:row>
    <x:row r="1331" ht="24" customHeight="1">
      <x:c r="A1331" s="2" t="str">
        <x:v>Ramp</x:v>
      </x:c>
      <x:c r="B1331" s="2" t="str">
        <x:v>Quintiles</x:v>
      </x:c>
      <x:c r="C1331" s="2" t="str">
        <x:v>Q2</x:v>
      </x:c>
      <x:c r="D1331" s="28" t="n">
        <x:v>46023</x:v>
      </x:c>
      <x:c r="E1331" s="2" t="str">
        <x:v>2026Q1</x:v>
      </x:c>
      <x:c r="F1331" s="20" t="n">
        <x:v>32709.2</x:v>
      </x:c>
      <x:c r="G1331" s="20" t="n">
        <x:f>'Quarterly data'!$E$371</x:f>
        <x:v>30200.9333333333</x:v>
      </x:c>
      <x:c r="H1331" s="22" t="n">
        <x:f>100*F1331/G1331</x:f>
        <x:v>108.30526208903048</x:v>
      </x:c>
      <x:c r="I1331" s="24" t="n">
        <x:f>H1331/100-1</x:f>
        <x:v>0.08305262089030485</x:v>
      </x:c>
      <x:c r="J1331" s="26" t="n">
        <x:v>3</x:v>
      </x:c>
      <x:c r="K1331" s="7" t="b">
        <x:v>0</x:v>
      </x:c>
      <x:c r="L1331" s="2" t="str">
        <x:v>April 2026</x:v>
      </x:c>
      <x:c r="M1331" s="2" t="str">
        <x:v>https://datawrapper.dwcdn.net/wQR5S/23/dataset.csv</x:v>
      </x:c>
    </x:row>
    <x:row r="1332" ht="24" customHeight="1">
      <x:c r="A1332" s="2" t="str">
        <x:v>Ramp</x:v>
      </x:c>
      <x:c r="B1332" s="2" t="str">
        <x:v>Quintiles</x:v>
      </x:c>
      <x:c r="C1332" s="2" t="str">
        <x:v>Q3</x:v>
      </x:c>
      <x:c r="D1332" s="28" t="n">
        <x:v>46023</x:v>
      </x:c>
      <x:c r="E1332" s="2" t="str">
        <x:v>2026Q1</x:v>
      </x:c>
      <x:c r="F1332" s="20" t="n">
        <x:v>31034</x:v>
      </x:c>
      <x:c r="G1332" s="20" t="n">
        <x:f>'Quarterly data'!$E$372</x:f>
        <x:v>31749.8333333333</x:v>
      </x:c>
      <x:c r="H1332" s="22" t="n">
        <x:f>100*F1332/G1332</x:f>
        <x:v>97.74539498895018</x:v>
      </x:c>
      <x:c r="I1332" s="24" t="n">
        <x:f>H1332/100-1</x:f>
        <x:v>-0.02254605011049815</x:v>
      </x:c>
      <x:c r="J1332" s="26" t="n">
        <x:v>4</x:v>
      </x:c>
      <x:c r="K1332" s="7" t="b">
        <x:v>0</x:v>
      </x:c>
      <x:c r="L1332" s="2" t="str">
        <x:v>April 2026</x:v>
      </x:c>
      <x:c r="M1332" s="2" t="str">
        <x:v>https://datawrapper.dwcdn.net/wQR5S/23/dataset.csv</x:v>
      </x:c>
    </x:row>
    <x:row r="1333" ht="24" customHeight="1">
      <x:c r="A1333" s="2" t="str">
        <x:v>Ramp</x:v>
      </x:c>
      <x:c r="B1333" s="2" t="str">
        <x:v>Quintiles</x:v>
      </x:c>
      <x:c r="C1333" s="2" t="str">
        <x:v>Q4</x:v>
      </x:c>
      <x:c r="D1333" s="28" t="n">
        <x:v>46023</x:v>
      </x:c>
      <x:c r="E1333" s="2" t="str">
        <x:v>2026Q1</x:v>
      </x:c>
      <x:c r="F1333" s="20" t="n">
        <x:v>19253.6</x:v>
      </x:c>
      <x:c r="G1333" s="20" t="n">
        <x:f>'Quarterly data'!$E$373</x:f>
        <x:v>19279.9666666667</x:v>
      </x:c>
      <x:c r="H1333" s="22" t="n">
        <x:f>100*F1333/G1333</x:f>
        <x:v>99.86324319371211</x:v>
      </x:c>
      <x:c r="I1333" s="24" t="n">
        <x:f>H1333/100-1</x:f>
        <x:v>-0.0013675680628789655</x:v>
      </x:c>
      <x:c r="J1333" s="26" t="n">
        <x:v>3</x:v>
      </x:c>
      <x:c r="K1333" s="7" t="b">
        <x:v>0</x:v>
      </x:c>
      <x:c r="L1333" s="2" t="str">
        <x:v>April 2026</x:v>
      </x:c>
      <x:c r="M1333" s="2" t="str">
        <x:v>https://datawrapper.dwcdn.net/wQR5S/23/dataset.csv</x:v>
      </x:c>
    </x:row>
    <x:row r="1334" ht="24" customHeight="1">
      <x:c r="A1334" s="2" t="str">
        <x:v>Ramp</x:v>
      </x:c>
      <x:c r="B1334" s="2" t="str">
        <x:v>Quintiles</x:v>
      </x:c>
      <x:c r="C1334" s="2" t="str">
        <x:v>Q5</x:v>
      </x:c>
      <x:c r="D1334" s="28" t="n">
        <x:v>46023</x:v>
      </x:c>
      <x:c r="E1334" s="2" t="str">
        <x:v>2026Q1</x:v>
      </x:c>
      <x:c r="F1334" s="20" t="n">
        <x:v>20920.5</x:v>
      </x:c>
      <x:c r="G1334" s="20" t="n">
        <x:f>'Quarterly data'!$E$374</x:f>
        <x:v>21051</x:v>
      </x:c>
      <x:c r="H1334" s="22" t="n">
        <x:f>100*F1334/G1334</x:f>
        <x:v>99.38007695596409</x:v>
      </x:c>
      <x:c r="I1334" s="24" t="n">
        <x:f>H1334/100-1</x:f>
        <x:v>-0.006199230440359194</x:v>
      </x:c>
      <x:c r="J1334" s="26" t="n">
        <x:v>4</x:v>
      </x:c>
      <x:c r="K1334" s="7" t="b">
        <x:v>0</x:v>
      </x:c>
      <x:c r="L1334" s="2" t="str">
        <x:v>April 2026</x:v>
      </x:c>
      <x:c r="M1334" s="2" t="str">
        <x:v>https://datawrapper.dwcdn.net/wQR5S/23/dataset.csv</x:v>
      </x:c>
    </x:row>
    <x:row r="1335" ht="24" customHeight="1">
      <x:c r="A1335" s="2" t="str">
        <x:v>Ramp</x:v>
      </x:c>
      <x:c r="B1335" s="2" t="str">
        <x:v>Quintiles</x:v>
      </x:c>
      <x:c r="C1335" s="2" t="str">
        <x:v>Q1</x:v>
      </x:c>
      <x:c r="D1335" s="28" t="n">
        <x:v>46054</x:v>
      </x:c>
      <x:c r="E1335" s="2" t="str">
        <x:v>2026Q1</x:v>
      </x:c>
      <x:c r="F1335" s="20" t="n">
        <x:v>31263.4</x:v>
      </x:c>
      <x:c r="G1335" s="20" t="n">
        <x:f>'Quarterly data'!$E$370</x:f>
        <x:v>30131.1</x:v>
      </x:c>
      <x:c r="H1335" s="22" t="n">
        <x:f>100*F1335/G1335</x:f>
        <x:v>103.75791126112223</x:v>
      </x:c>
      <x:c r="I1335" s="24" t="n">
        <x:f>H1335/100-1</x:f>
        <x:v>0.037579112611222376</x:v>
      </x:c>
      <x:c r="J1335" s="26" t="n">
        <x:v>4</x:v>
      </x:c>
      <x:c r="K1335" s="7" t="b">
        <x:v>0</x:v>
      </x:c>
      <x:c r="L1335" s="2" t="str">
        <x:v>April 2026</x:v>
      </x:c>
      <x:c r="M1335" s="2" t="str">
        <x:v>https://datawrapper.dwcdn.net/wQR5S/23/dataset.csv</x:v>
      </x:c>
    </x:row>
    <x:row r="1336" ht="24" customHeight="1">
      <x:c r="A1336" s="2" t="str">
        <x:v>Ramp</x:v>
      </x:c>
      <x:c r="B1336" s="2" t="str">
        <x:v>Quintiles</x:v>
      </x:c>
      <x:c r="C1336" s="2" t="str">
        <x:v>Q2</x:v>
      </x:c>
      <x:c r="D1336" s="28" t="n">
        <x:v>46054</x:v>
      </x:c>
      <x:c r="E1336" s="2" t="str">
        <x:v>2026Q1</x:v>
      </x:c>
      <x:c r="F1336" s="20" t="n">
        <x:v>32637.6</x:v>
      </x:c>
      <x:c r="G1336" s="20" t="n">
        <x:f>'Quarterly data'!$E$371</x:f>
        <x:v>30200.9333333333</x:v>
      </x:c>
      <x:c r="H1336" s="22" t="n">
        <x:f>100*F1336/G1336</x:f>
        <x:v>108.06818332325281</x:v>
      </x:c>
      <x:c r="I1336" s="24" t="n">
        <x:f>H1336/100-1</x:f>
        <x:v>0.08068183323252809</x:v>
      </x:c>
      <x:c r="J1336" s="26" t="n">
        <x:v>3</x:v>
      </x:c>
      <x:c r="K1336" s="7" t="b">
        <x:v>0</x:v>
      </x:c>
      <x:c r="L1336" s="2" t="str">
        <x:v>April 2026</x:v>
      </x:c>
      <x:c r="M1336" s="2" t="str">
        <x:v>https://datawrapper.dwcdn.net/wQR5S/23/dataset.csv</x:v>
      </x:c>
    </x:row>
    <x:row r="1337" ht="24" customHeight="1">
      <x:c r="A1337" s="2" t="str">
        <x:v>Ramp</x:v>
      </x:c>
      <x:c r="B1337" s="2" t="str">
        <x:v>Quintiles</x:v>
      </x:c>
      <x:c r="C1337" s="2" t="str">
        <x:v>Q3</x:v>
      </x:c>
      <x:c r="D1337" s="28" t="n">
        <x:v>46054</x:v>
      </x:c>
      <x:c r="E1337" s="2" t="str">
        <x:v>2026Q1</x:v>
      </x:c>
      <x:c r="F1337" s="20" t="n">
        <x:v>31027.7</x:v>
      </x:c>
      <x:c r="G1337" s="20" t="n">
        <x:f>'Quarterly data'!$E$372</x:f>
        <x:v>31749.8333333333</x:v>
      </x:c>
      <x:c r="H1337" s="22" t="n">
        <x:f>100*F1337/G1337</x:f>
        <x:v>97.72555236510438</x:v>
      </x:c>
      <x:c r="I1337" s="24" t="n">
        <x:f>H1337/100-1</x:f>
        <x:v>-0.022744476348956266</x:v>
      </x:c>
      <x:c r="J1337" s="26" t="n">
        <x:v>4</x:v>
      </x:c>
      <x:c r="K1337" s="7" t="b">
        <x:v>0</x:v>
      </x:c>
      <x:c r="L1337" s="2" t="str">
        <x:v>April 2026</x:v>
      </x:c>
      <x:c r="M1337" s="2" t="str">
        <x:v>https://datawrapper.dwcdn.net/wQR5S/23/dataset.csv</x:v>
      </x:c>
    </x:row>
    <x:row r="1338" ht="24" customHeight="1">
      <x:c r="A1338" s="2" t="str">
        <x:v>Ramp</x:v>
      </x:c>
      <x:c r="B1338" s="2" t="str">
        <x:v>Quintiles</x:v>
      </x:c>
      <x:c r="C1338" s="2" t="str">
        <x:v>Q4</x:v>
      </x:c>
      <x:c r="D1338" s="28" t="n">
        <x:v>46054</x:v>
      </x:c>
      <x:c r="E1338" s="2" t="str">
        <x:v>2026Q1</x:v>
      </x:c>
      <x:c r="F1338" s="20" t="n">
        <x:v>19234.1</x:v>
      </x:c>
      <x:c r="G1338" s="20" t="n">
        <x:f>'Quarterly data'!$E$373</x:f>
        <x:v>19279.9666666667</x:v>
      </x:c>
      <x:c r="H1338" s="22" t="n">
        <x:f>100*F1338/G1338</x:f>
        <x:v>99.76210194001008</x:v>
      </x:c>
      <x:c r="I1338" s="24" t="n">
        <x:f>H1338/100-1</x:f>
        <x:v>-0.002378980599899161</x:v>
      </x:c>
      <x:c r="J1338" s="26" t="n">
        <x:v>3</x:v>
      </x:c>
      <x:c r="K1338" s="7" t="b">
        <x:v>0</x:v>
      </x:c>
      <x:c r="L1338" s="2" t="str">
        <x:v>April 2026</x:v>
      </x:c>
      <x:c r="M1338" s="2" t="str">
        <x:v>https://datawrapper.dwcdn.net/wQR5S/23/dataset.csv</x:v>
      </x:c>
    </x:row>
    <x:row r="1339" ht="24" customHeight="1">
      <x:c r="A1339" s="2" t="str">
        <x:v>Ramp</x:v>
      </x:c>
      <x:c r="B1339" s="2" t="str">
        <x:v>Quintiles</x:v>
      </x:c>
      <x:c r="C1339" s="2" t="str">
        <x:v>Q5</x:v>
      </x:c>
      <x:c r="D1339" s="28" t="n">
        <x:v>46054</x:v>
      </x:c>
      <x:c r="E1339" s="2" t="str">
        <x:v>2026Q1</x:v>
      </x:c>
      <x:c r="F1339" s="20" t="n">
        <x:v>20916</x:v>
      </x:c>
      <x:c r="G1339" s="20" t="n">
        <x:f>'Quarterly data'!$E$374</x:f>
        <x:v>21051</x:v>
      </x:c>
      <x:c r="H1339" s="22" t="n">
        <x:f>100*F1339/G1339</x:f>
        <x:v>99.3587002992732</x:v>
      </x:c>
      <x:c r="I1339" s="24" t="n">
        <x:f>H1339/100-1</x:f>
        <x:v>-0.006412997007268051</x:v>
      </x:c>
      <x:c r="J1339" s="26" t="n">
        <x:v>4</x:v>
      </x:c>
      <x:c r="K1339" s="7" t="b">
        <x:v>0</x:v>
      </x:c>
      <x:c r="L1339" s="2" t="str">
        <x:v>April 2026</x:v>
      </x:c>
      <x:c r="M1339" s="2" t="str">
        <x:v>https://datawrapper.dwcdn.net/wQR5S/23/dataset.csv</x:v>
      </x:c>
    </x:row>
    <x:row r="1340" ht="24" customHeight="1">
      <x:c r="A1340" s="2" t="str">
        <x:v>Ramp</x:v>
      </x:c>
      <x:c r="B1340" s="2" t="str">
        <x:v>Quintiles</x:v>
      </x:c>
      <x:c r="C1340" s="2" t="str">
        <x:v>Q1</x:v>
      </x:c>
      <x:c r="D1340" s="28" t="n">
        <x:v>46082</x:v>
      </x:c>
      <x:c r="E1340" s="2" t="str">
        <x:v>2026Q1</x:v>
      </x:c>
      <x:c r="F1340" s="20" t="n">
        <x:v>31308</x:v>
      </x:c>
      <x:c r="G1340" s="20" t="n">
        <x:f>'Quarterly data'!$E$370</x:f>
        <x:v>30131.1</x:v>
      </x:c>
      <x:c r="H1340" s="22" t="n">
        <x:f>100*F1340/G1340</x:f>
        <x:v>103.90593108117527</x:v>
      </x:c>
      <x:c r="I1340" s="24" t="n">
        <x:f>H1340/100-1</x:f>
        <x:v>0.039059310811752734</x:v>
      </x:c>
      <x:c r="J1340" s="26" t="n">
        <x:v>4</x:v>
      </x:c>
      <x:c r="K1340" s="7" t="b">
        <x:v>0</x:v>
      </x:c>
      <x:c r="L1340" s="2" t="str">
        <x:v>April 2026</x:v>
      </x:c>
      <x:c r="M1340" s="2" t="str">
        <x:v>https://datawrapper.dwcdn.net/wQR5S/23/dataset.csv</x:v>
      </x:c>
    </x:row>
    <x:row r="1341" ht="24" customHeight="1">
      <x:c r="A1341" s="2" t="str">
        <x:v>Ramp</x:v>
      </x:c>
      <x:c r="B1341" s="2" t="str">
        <x:v>Quintiles</x:v>
      </x:c>
      <x:c r="C1341" s="2" t="str">
        <x:v>Q2</x:v>
      </x:c>
      <x:c r="D1341" s="28" t="n">
        <x:v>46082</x:v>
      </x:c>
      <x:c r="E1341" s="2" t="str">
        <x:v>2026Q1</x:v>
      </x:c>
      <x:c r="F1341" s="20" t="n">
        <x:v>32758</x:v>
      </x:c>
      <x:c r="G1341" s="20" t="n">
        <x:f>'Quarterly data'!$E$371</x:f>
        <x:v>30200.9333333333</x:v>
      </x:c>
      <x:c r="H1341" s="22" t="n">
        <x:f>100*F1341/G1341</x:f>
        <x:v>108.4668464992253</x:v>
      </x:c>
      <x:c r="I1341" s="24" t="n">
        <x:f>H1341/100-1</x:f>
        <x:v>0.08466846499225289</x:v>
      </x:c>
      <x:c r="J1341" s="26" t="n">
        <x:v>3</x:v>
      </x:c>
      <x:c r="K1341" s="7" t="b">
        <x:v>0</x:v>
      </x:c>
      <x:c r="L1341" s="2" t="str">
        <x:v>April 2026</x:v>
      </x:c>
      <x:c r="M1341" s="2" t="str">
        <x:v>https://datawrapper.dwcdn.net/wQR5S/23/dataset.csv</x:v>
      </x:c>
    </x:row>
    <x:row r="1342" ht="24" customHeight="1">
      <x:c r="A1342" s="2" t="str">
        <x:v>Ramp</x:v>
      </x:c>
      <x:c r="B1342" s="2" t="str">
        <x:v>Quintiles</x:v>
      </x:c>
      <x:c r="C1342" s="2" t="str">
        <x:v>Q3</x:v>
      </x:c>
      <x:c r="D1342" s="28" t="n">
        <x:v>46082</x:v>
      </x:c>
      <x:c r="E1342" s="2" t="str">
        <x:v>2026Q1</x:v>
      </x:c>
      <x:c r="F1342" s="20" t="n">
        <x:v>31081.5</x:v>
      </x:c>
      <x:c r="G1342" s="20" t="n">
        <x:f>'Quarterly data'!$E$372</x:f>
        <x:v>31749.8333333333</x:v>
      </x:c>
      <x:c r="H1342" s="22" t="n">
        <x:f>100*F1342/G1342</x:f>
        <x:v>97.8950020735018</x:v>
      </x:c>
      <x:c r="I1342" s="24" t="n">
        <x:f>H1342/100-1</x:f>
        <x:v>-0.021049979264981977</x:v>
      </x:c>
      <x:c r="J1342" s="26" t="n">
        <x:v>4</x:v>
      </x:c>
      <x:c r="K1342" s="7" t="b">
        <x:v>0</x:v>
      </x:c>
      <x:c r="L1342" s="2" t="str">
        <x:v>April 2026</x:v>
      </x:c>
      <x:c r="M1342" s="2" t="str">
        <x:v>https://datawrapper.dwcdn.net/wQR5S/23/dataset.csv</x:v>
      </x:c>
    </x:row>
    <x:row r="1343" ht="24" customHeight="1">
      <x:c r="A1343" s="2" t="str">
        <x:v>Ramp</x:v>
      </x:c>
      <x:c r="B1343" s="2" t="str">
        <x:v>Quintiles</x:v>
      </x:c>
      <x:c r="C1343" s="2" t="str">
        <x:v>Q4</x:v>
      </x:c>
      <x:c r="D1343" s="28" t="n">
        <x:v>46082</x:v>
      </x:c>
      <x:c r="E1343" s="2" t="str">
        <x:v>2026Q1</x:v>
      </x:c>
      <x:c r="F1343" s="20" t="n">
        <x:v>19249.8</x:v>
      </x:c>
      <x:c r="G1343" s="20" t="n">
        <x:f>'Quarterly data'!$E$373</x:f>
        <x:v>19279.9666666667</x:v>
      </x:c>
      <x:c r="H1343" s="22" t="n">
        <x:f>100*F1343/G1343</x:f>
        <x:v>99.84353361606763</x:v>
      </x:c>
      <x:c r="I1343" s="24" t="n">
        <x:f>H1343/100-1</x:f>
        <x:v>-0.0015646638393236323</x:v>
      </x:c>
      <x:c r="J1343" s="26" t="n">
        <x:v>3</x:v>
      </x:c>
      <x:c r="K1343" s="7" t="b">
        <x:v>0</x:v>
      </x:c>
      <x:c r="L1343" s="2" t="str">
        <x:v>April 2026</x:v>
      </x:c>
      <x:c r="M1343" s="2" t="str">
        <x:v>https://datawrapper.dwcdn.net/wQR5S/23/dataset.csv</x:v>
      </x:c>
    </x:row>
    <x:row r="1344" ht="24" customHeight="1">
      <x:c r="A1344" s="2" t="str">
        <x:v>Ramp</x:v>
      </x:c>
      <x:c r="B1344" s="2" t="str">
        <x:v>Quintiles</x:v>
      </x:c>
      <x:c r="C1344" s="2" t="str">
        <x:v>Q5</x:v>
      </x:c>
      <x:c r="D1344" s="28" t="n">
        <x:v>46082</x:v>
      </x:c>
      <x:c r="E1344" s="2" t="str">
        <x:v>2026Q1</x:v>
      </x:c>
      <x:c r="F1344" s="20" t="n">
        <x:v>20882.4</x:v>
      </x:c>
      <x:c r="G1344" s="20" t="n">
        <x:f>'Quarterly data'!$E$374</x:f>
        <x:v>21051</x:v>
      </x:c>
      <x:c r="H1344" s="22" t="n">
        <x:f>100*F1344/G1344</x:f>
        <x:v>99.19908792931453</x:v>
      </x:c>
      <x:c r="I1344" s="24" t="n">
        <x:f>H1344/100-1</x:f>
        <x:v>-0.008009120706854667</x:v>
      </x:c>
      <x:c r="J1344" s="26" t="n">
        <x:v>4</x:v>
      </x:c>
      <x:c r="K1344" s="7" t="b">
        <x:v>0</x:v>
      </x:c>
      <x:c r="L1344" s="2" t="str">
        <x:v>April 2026</x:v>
      </x:c>
      <x:c r="M1344" s="2" t="str">
        <x:v>https://datawrapper.dwcdn.net/wQR5S/23/dataset.csv</x:v>
      </x:c>
    </x:row>
    <x:row r="1345" ht="24" customHeight="1">
      <x:c r="A1345" s="2" t="str">
        <x:v>Ramp</x:v>
      </x:c>
      <x:c r="B1345" s="2" t="str">
        <x:v>Quintiles</x:v>
      </x:c>
      <x:c r="C1345" s="2" t="str">
        <x:v>Q1</x:v>
      </x:c>
      <x:c r="D1345" s="28" t="n">
        <x:v>46113</x:v>
      </x:c>
      <x:c r="E1345" s="2" t="str">
        <x:v>2026Q2</x:v>
      </x:c>
      <x:c r="F1345" s="20" t="n">
        <x:v>31315.1</x:v>
      </x:c>
      <x:c r="G1345" s="20" t="n">
        <x:f>'Quarterly data'!$E$370</x:f>
        <x:v>30131.1</x:v>
      </x:c>
      <x:c r="H1345" s="22" t="n">
        <x:f>100*F1345/G1345</x:f>
        <x:v>103.9294947745021</x:v>
      </x:c>
      <x:c r="I1345" s="24" t="n">
        <x:f>H1345/100-1</x:f>
        <x:v>0.03929494774502107</x:v>
      </x:c>
      <x:c r="J1345" s="26" t="n">
        <x:v>4</x:v>
      </x:c>
      <x:c r="K1345" s="7" t="b">
        <x:v>0</x:v>
      </x:c>
      <x:c r="L1345" s="2" t="str">
        <x:v>April 2026</x:v>
      </x:c>
      <x:c r="M1345" s="2" t="str">
        <x:v>https://datawrapper.dwcdn.net/wQR5S/23/dataset.csv</x:v>
      </x:c>
    </x:row>
    <x:row r="1346" ht="24" customHeight="1">
      <x:c r="A1346" s="2" t="str">
        <x:v>Ramp</x:v>
      </x:c>
      <x:c r="B1346" s="2" t="str">
        <x:v>Quintiles</x:v>
      </x:c>
      <x:c r="C1346" s="2" t="str">
        <x:v>Q2</x:v>
      </x:c>
      <x:c r="D1346" s="28" t="n">
        <x:v>46113</x:v>
      </x:c>
      <x:c r="E1346" s="2" t="str">
        <x:v>2026Q2</x:v>
      </x:c>
      <x:c r="F1346" s="20" t="n">
        <x:v>32852.2</x:v>
      </x:c>
      <x:c r="G1346" s="20" t="n">
        <x:f>'Quarterly data'!$E$371</x:f>
        <x:v>30200.9333333333</x:v>
      </x:c>
      <x:c r="H1346" s="22" t="n">
        <x:f>100*F1346/G1346</x:f>
        <x:v>108.77875738939645</x:v>
      </x:c>
      <x:c r="I1346" s="24" t="n">
        <x:f>H1346/100-1</x:f>
        <x:v>0.08778757389396441</x:v>
      </x:c>
      <x:c r="J1346" s="26" t="n">
        <x:v>3</x:v>
      </x:c>
      <x:c r="K1346" s="7" t="b">
        <x:v>0</x:v>
      </x:c>
      <x:c r="L1346" s="2" t="str">
        <x:v>April 2026</x:v>
      </x:c>
      <x:c r="M1346" s="2" t="str">
        <x:v>https://datawrapper.dwcdn.net/wQR5S/23/dataset.csv</x:v>
      </x:c>
    </x:row>
    <x:row r="1347" ht="24" customHeight="1">
      <x:c r="A1347" s="2" t="str">
        <x:v>Ramp</x:v>
      </x:c>
      <x:c r="B1347" s="2" t="str">
        <x:v>Quintiles</x:v>
      </x:c>
      <x:c r="C1347" s="2" t="str">
        <x:v>Q3</x:v>
      </x:c>
      <x:c r="D1347" s="28" t="n">
        <x:v>46113</x:v>
      </x:c>
      <x:c r="E1347" s="2" t="str">
        <x:v>2026Q2</x:v>
      </x:c>
      <x:c r="F1347" s="20" t="n">
        <x:v>31116.8</x:v>
      </x:c>
      <x:c r="G1347" s="20" t="n">
        <x:f>'Quarterly data'!$E$372</x:f>
        <x:v>31749.8333333333</x:v>
      </x:c>
      <x:c r="H1347" s="22" t="n">
        <x:f>100*F1347/G1347</x:f>
        <x:v>98.0061837594949</x:v>
      </x:c>
      <x:c r="I1347" s="24" t="n">
        <x:f>H1347/100-1</x:f>
        <x:v>-0.019938162405050974</x:v>
      </x:c>
      <x:c r="J1347" s="26" t="n">
        <x:v>4</x:v>
      </x:c>
      <x:c r="K1347" s="7" t="b">
        <x:v>0</x:v>
      </x:c>
      <x:c r="L1347" s="2" t="str">
        <x:v>April 2026</x:v>
      </x:c>
      <x:c r="M1347" s="2" t="str">
        <x:v>https://datawrapper.dwcdn.net/wQR5S/23/dataset.csv</x:v>
      </x:c>
    </x:row>
    <x:row r="1348" ht="24" customHeight="1">
      <x:c r="A1348" s="2" t="str">
        <x:v>Ramp</x:v>
      </x:c>
      <x:c r="B1348" s="2" t="str">
        <x:v>Quintiles</x:v>
      </x:c>
      <x:c r="C1348" s="2" t="str">
        <x:v>Q4</x:v>
      </x:c>
      <x:c r="D1348" s="28" t="n">
        <x:v>46113</x:v>
      </x:c>
      <x:c r="E1348" s="2" t="str">
        <x:v>2026Q2</x:v>
      </x:c>
      <x:c r="F1348" s="20" t="n">
        <x:v>19255.2</x:v>
      </x:c>
      <x:c r="G1348" s="20" t="n">
        <x:f>'Quarterly data'!$E$373</x:f>
        <x:v>19279.9666666667</x:v>
      </x:c>
      <x:c r="H1348" s="22" t="n">
        <x:f>100*F1348/G1348</x:f>
        <x:v>99.87154196324666</x:v>
      </x:c>
      <x:c r="I1348" s="24" t="n">
        <x:f>H1348/100-1</x:f>
        <x:v>-0.0012845803675334277</x:v>
      </x:c>
      <x:c r="J1348" s="26" t="n">
        <x:v>3</x:v>
      </x:c>
      <x:c r="K1348" s="7" t="b">
        <x:v>0</x:v>
      </x:c>
      <x:c r="L1348" s="2" t="str">
        <x:v>April 2026</x:v>
      </x:c>
      <x:c r="M1348" s="2" t="str">
        <x:v>https://datawrapper.dwcdn.net/wQR5S/23/dataset.csv</x:v>
      </x:c>
    </x:row>
    <x:row r="1349" ht="24" customHeight="1">
      <x:c r="A1349" s="2" t="str">
        <x:v>Ramp</x:v>
      </x:c>
      <x:c r="B1349" s="2" t="str">
        <x:v>Quintiles</x:v>
      </x:c>
      <x:c r="C1349" s="2" t="str">
        <x:v>Q5</x:v>
      </x:c>
      <x:c r="D1349" s="28" t="n">
        <x:v>46113</x:v>
      </x:c>
      <x:c r="E1349" s="2" t="str">
        <x:v>2026Q2</x:v>
      </x:c>
      <x:c r="F1349" s="20" t="n">
        <x:v>20887.5</x:v>
      </x:c>
      <x:c r="G1349" s="20" t="n">
        <x:f>'Quarterly data'!$E$374</x:f>
        <x:v>21051</x:v>
      </x:c>
      <x:c r="H1349" s="22" t="n">
        <x:f>100*F1349/G1349</x:f>
        <x:v>99.22331480689753</x:v>
      </x:c>
      <x:c r="I1349" s="24" t="n">
        <x:f>H1349/100-1</x:f>
        <x:v>-0.007766851931024665</x:v>
      </x:c>
      <x:c r="J1349" s="26" t="n">
        <x:v>4</x:v>
      </x:c>
      <x:c r="K1349" s="7" t="b">
        <x:v>0</x:v>
      </x:c>
      <x:c r="L1349" s="2" t="str">
        <x:v>April 2026</x:v>
      </x:c>
      <x:c r="M1349" s="2" t="str">
        <x:v>https://datawrapper.dwcdn.net/wQR5S/23/dataset.csv</x:v>
      </x:c>
    </x:row>
    <x:row r="1350" ht="24" customHeight="1">
      <x:c r="A1350" s="2" t="str">
        <x:v>Ramp</x:v>
      </x:c>
      <x:c r="B1350" s="2" t="str">
        <x:v>Quintiles</x:v>
      </x:c>
      <x:c r="C1350" s="2" t="str">
        <x:v>Q1</x:v>
      </x:c>
      <x:c r="D1350" s="28" t="n">
        <x:v>46143</x:v>
      </x:c>
      <x:c r="E1350" s="2" t="str">
        <x:v>2026Q2</x:v>
      </x:c>
      <x:c r="F1350" s="20" t="n">
        <x:v>31360.5</x:v>
      </x:c>
      <x:c r="G1350" s="20" t="n">
        <x:f>'Quarterly data'!$E$370</x:f>
        <x:v>30131.1</x:v>
      </x:c>
      <x:c r="H1350" s="22" t="n">
        <x:f>100*F1350/G1350</x:f>
        <x:v>104.08016965859196</x:v>
      </x:c>
      <x:c r="I1350" s="24" t="n">
        <x:f>H1350/100-1</x:f>
        <x:v>0.04080169658591948</x:v>
      </x:c>
      <x:c r="J1350" s="26" t="n">
        <x:v>4</x:v>
      </x:c>
      <x:c r="K1350" s="7" t="b">
        <x:v>0</x:v>
      </x:c>
      <x:c r="L1350" s="2" t="str">
        <x:v>April 2026</x:v>
      </x:c>
      <x:c r="M1350" s="2" t="str">
        <x:v>https://datawrapper.dwcdn.net/wQR5S/23/dataset.csv</x:v>
      </x:c>
    </x:row>
    <x:row r="1351" ht="24" customHeight="1">
      <x:c r="A1351" s="2" t="str">
        <x:v>Ramp</x:v>
      </x:c>
      <x:c r="B1351" s="2" t="str">
        <x:v>Quintiles</x:v>
      </x:c>
      <x:c r="C1351" s="2" t="str">
        <x:v>Q2</x:v>
      </x:c>
      <x:c r="D1351" s="28" t="n">
        <x:v>46143</x:v>
      </x:c>
      <x:c r="E1351" s="2" t="str">
        <x:v>2026Q2</x:v>
      </x:c>
      <x:c r="F1351" s="20" t="n">
        <x:v>32885.5</x:v>
      </x:c>
      <x:c r="G1351" s="20" t="n">
        <x:f>'Quarterly data'!$E$371</x:f>
        <x:v>30200.9333333333</x:v>
      </x:c>
      <x:c r="H1351" s="22" t="n">
        <x:f>100*F1351/G1351</x:f>
        <x:v>108.88901888241875</x:v>
      </x:c>
      <x:c r="I1351" s="24" t="n">
        <x:f>H1351/100-1</x:f>
        <x:v>0.08889018882418753</x:v>
      </x:c>
      <x:c r="J1351" s="26" t="n">
        <x:v>3</x:v>
      </x:c>
      <x:c r="K1351" s="7" t="b">
        <x:v>0</x:v>
      </x:c>
      <x:c r="L1351" s="2" t="str">
        <x:v>April 2026</x:v>
      </x:c>
      <x:c r="M1351" s="2" t="str">
        <x:v>https://datawrapper.dwcdn.net/wQR5S/23/dataset.csv</x:v>
      </x:c>
    </x:row>
    <x:row r="1352" ht="24" customHeight="1">
      <x:c r="A1352" s="2" t="str">
        <x:v>Ramp</x:v>
      </x:c>
      <x:c r="B1352" s="2" t="str">
        <x:v>Quintiles</x:v>
      </x:c>
      <x:c r="C1352" s="2" t="str">
        <x:v>Q3</x:v>
      </x:c>
      <x:c r="D1352" s="28" t="n">
        <x:v>46143</x:v>
      </x:c>
      <x:c r="E1352" s="2" t="str">
        <x:v>2026Q2</x:v>
      </x:c>
      <x:c r="F1352" s="20" t="n">
        <x:v>31124</x:v>
      </x:c>
      <x:c r="G1352" s="20" t="n">
        <x:f>'Quarterly data'!$E$372</x:f>
        <x:v>31749.8333333333</x:v>
      </x:c>
      <x:c r="H1352" s="22" t="n">
        <x:f>100*F1352/G1352</x:f>
        <x:v>98.0288610438901</x:v>
      </x:c>
      <x:c r="I1352" s="24" t="n">
        <x:f>H1352/100-1</x:f>
        <x:v>-0.01971138956109897</x:v>
      </x:c>
      <x:c r="J1352" s="26" t="n">
        <x:v>4</x:v>
      </x:c>
      <x:c r="K1352" s="7" t="b">
        <x:v>0</x:v>
      </x:c>
      <x:c r="L1352" s="2" t="str">
        <x:v>April 2026</x:v>
      </x:c>
      <x:c r="M1352" s="2" t="str">
        <x:v>https://datawrapper.dwcdn.net/wQR5S/23/dataset.csv</x:v>
      </x:c>
    </x:row>
    <x:row r="1353" ht="24" customHeight="1">
      <x:c r="A1353" s="2" t="str">
        <x:v>Ramp</x:v>
      </x:c>
      <x:c r="B1353" s="2" t="str">
        <x:v>Quintiles</x:v>
      </x:c>
      <x:c r="C1353" s="2" t="str">
        <x:v>Q4</x:v>
      </x:c>
      <x:c r="D1353" s="28" t="n">
        <x:v>46143</x:v>
      </x:c>
      <x:c r="E1353" s="2" t="str">
        <x:v>2026Q2</x:v>
      </x:c>
      <x:c r="F1353" s="20" t="n">
        <x:v>19246.5</x:v>
      </x:c>
      <x:c r="G1353" s="20" t="n">
        <x:f>'Quarterly data'!$E$373</x:f>
        <x:v>19279.9666666667</x:v>
      </x:c>
      <x:c r="H1353" s="22" t="n">
        <x:f>100*F1353/G1353</x:f>
        <x:v>99.82641740390267</x:v>
      </x:c>
      <x:c r="I1353" s="24" t="n">
        <x:f>H1353/100-1</x:f>
        <x:v>-0.001735825960973325</x:v>
      </x:c>
      <x:c r="J1353" s="26" t="n">
        <x:v>3</x:v>
      </x:c>
      <x:c r="K1353" s="7" t="b">
        <x:v>0</x:v>
      </x:c>
      <x:c r="L1353" s="2" t="str">
        <x:v>April 2026</x:v>
      </x:c>
      <x:c r="M1353" s="2" t="str">
        <x:v>https://datawrapper.dwcdn.net/wQR5S/23/dataset.csv</x:v>
      </x:c>
    </x:row>
    <x:row r="1354" ht="24" customHeight="1">
      <x:c r="A1354" s="2" t="str">
        <x:v>Ramp</x:v>
      </x:c>
      <x:c r="B1354" s="2" t="str">
        <x:v>Quintiles</x:v>
      </x:c>
      <x:c r="C1354" s="2" t="str">
        <x:v>Q5</x:v>
      </x:c>
      <x:c r="D1354" s="28" t="n">
        <x:v>46143</x:v>
      </x:c>
      <x:c r="E1354" s="2" t="str">
        <x:v>2026Q2</x:v>
      </x:c>
      <x:c r="F1354" s="20" t="n">
        <x:v>20872</x:v>
      </x:c>
      <x:c r="G1354" s="20" t="n">
        <x:f>'Quarterly data'!$E$374</x:f>
        <x:v>21051</x:v>
      </x:c>
      <x:c r="H1354" s="22" t="n">
        <x:f>100*F1354/G1354</x:f>
        <x:v>99.14968410051779</x:v>
      </x:c>
      <x:c r="I1354" s="24" t="n">
        <x:f>H1354/100-1</x:f>
        <x:v>-0.008503158994822124</x:v>
      </x:c>
      <x:c r="J1354" s="26" t="n">
        <x:v>4</x:v>
      </x:c>
      <x:c r="K1354" s="7" t="b">
        <x:v>0</x:v>
      </x:c>
      <x:c r="L1354" s="2" t="str">
        <x:v>April 2026</x:v>
      </x:c>
      <x:c r="M1354" s="2" t="str">
        <x:v>https://datawrapper.dwcdn.net/wQR5S/23/dataset.csv</x:v>
      </x:c>
    </x:row>
    <x:row r="1355" ht="24" customHeight="1">
      <x:c r="A1355" s="2" t="str">
        <x:v>Ramp</x:v>
      </x:c>
      <x:c r="B1355" s="2" t="str">
        <x:v>Quintiles</x:v>
      </x:c>
      <x:c r="C1355" s="2" t="str">
        <x:v>Q1</x:v>
      </x:c>
      <x:c r="D1355" s="28" t="n">
        <x:v>46174</x:v>
      </x:c>
      <x:c r="E1355" s="2" t="str">
        <x:v>2026Q2</x:v>
      </x:c>
      <x:c r="F1355" s="20" t="n">
        <x:v>31302.8</x:v>
      </x:c>
      <x:c r="G1355" s="20" t="n">
        <x:f>'Quarterly data'!$E$370</x:f>
        <x:v>30131.1</x:v>
      </x:c>
      <x:c r="H1355" s="22" t="n">
        <x:f>100*F1355/G1355</x:f>
        <x:v>103.8886731649359</x:v>
      </x:c>
      <x:c r="I1355" s="24" t="n">
        <x:f>H1355/100-1</x:f>
        <x:v>0.03888673164935885</x:v>
      </x:c>
      <x:c r="J1355" s="26" t="n">
        <x:v>4</x:v>
      </x:c>
      <x:c r="K1355" s="7" t="b">
        <x:v>0</x:v>
      </x:c>
      <x:c r="L1355" s="2" t="str">
        <x:v>April 2026</x:v>
      </x:c>
      <x:c r="M1355" s="2" t="str">
        <x:v>https://datawrapper.dwcdn.net/wQR5S/23/dataset.csv</x:v>
      </x:c>
    </x:row>
    <x:row r="1356" ht="24" customHeight="1">
      <x:c r="A1356" s="2" t="str">
        <x:v>Ramp</x:v>
      </x:c>
      <x:c r="B1356" s="2" t="str">
        <x:v>Quintiles</x:v>
      </x:c>
      <x:c r="C1356" s="2" t="str">
        <x:v>Q2</x:v>
      </x:c>
      <x:c r="D1356" s="28" t="n">
        <x:v>46174</x:v>
      </x:c>
      <x:c r="E1356" s="2" t="str">
        <x:v>2026Q2</x:v>
      </x:c>
      <x:c r="F1356" s="20" t="n">
        <x:v>32911.5</x:v>
      </x:c>
      <x:c r="G1356" s="20" t="n">
        <x:f>'Quarterly data'!$E$371</x:f>
        <x:v>30200.9333333333</x:v>
      </x:c>
      <x:c r="H1356" s="22" t="n">
        <x:f>100*F1356/G1356</x:f>
        <x:v>108.97510893703075</x:v>
      </x:c>
      <x:c r="I1356" s="24" t="n">
        <x:f>H1356/100-1</x:f>
        <x:v>0.08975108937030751</x:v>
      </x:c>
      <x:c r="J1356" s="26" t="n">
        <x:v>3</x:v>
      </x:c>
      <x:c r="K1356" s="7" t="b">
        <x:v>0</x:v>
      </x:c>
      <x:c r="L1356" s="2" t="str">
        <x:v>April 2026</x:v>
      </x:c>
      <x:c r="M1356" s="2" t="str">
        <x:v>https://datawrapper.dwcdn.net/wQR5S/23/dataset.csv</x:v>
      </x:c>
    </x:row>
    <x:row r="1357" ht="24" customHeight="1">
      <x:c r="A1357" s="2" t="str">
        <x:v>Ramp</x:v>
      </x:c>
      <x:c r="B1357" s="2" t="str">
        <x:v>Quintiles</x:v>
      </x:c>
      <x:c r="C1357" s="2" t="str">
        <x:v>Q3</x:v>
      </x:c>
      <x:c r="D1357" s="28" t="n">
        <x:v>46174</x:v>
      </x:c>
      <x:c r="E1357" s="2" t="str">
        <x:v>2026Q2</x:v>
      </x:c>
      <x:c r="F1357" s="20" t="n">
        <x:v>31154.6</x:v>
      </x:c>
      <x:c r="G1357" s="20" t="n">
        <x:f>'Quarterly data'!$E$372</x:f>
        <x:v>31749.8333333333</x:v>
      </x:c>
      <x:c r="H1357" s="22" t="n">
        <x:f>100*F1357/G1357</x:f>
        <x:v>98.12523950256967</x:v>
      </x:c>
      <x:c r="I1357" s="24" t="n">
        <x:f>H1357/100-1</x:f>
        <x:v>-0.018747604974303278</x:v>
      </x:c>
      <x:c r="J1357" s="26" t="n">
        <x:v>4</x:v>
      </x:c>
      <x:c r="K1357" s="7" t="b">
        <x:v>0</x:v>
      </x:c>
      <x:c r="L1357" s="2" t="str">
        <x:v>April 2026</x:v>
      </x:c>
      <x:c r="M1357" s="2" t="str">
        <x:v>https://datawrapper.dwcdn.net/wQR5S/23/dataset.csv</x:v>
      </x:c>
    </x:row>
    <x:row r="1358" ht="24" customHeight="1">
      <x:c r="A1358" s="2" t="str">
        <x:v>Ramp</x:v>
      </x:c>
      <x:c r="B1358" s="2" t="str">
        <x:v>Quintiles</x:v>
      </x:c>
      <x:c r="C1358" s="2" t="str">
        <x:v>Q4</x:v>
      </x:c>
      <x:c r="D1358" s="28" t="n">
        <x:v>46174</x:v>
      </x:c>
      <x:c r="E1358" s="2" t="str">
        <x:v>2026Q2</x:v>
      </x:c>
      <x:c r="F1358" s="20" t="n">
        <x:v>19270.7</x:v>
      </x:c>
      <x:c r="G1358" s="20" t="n">
        <x:f>'Quarterly data'!$E$373</x:f>
        <x:v>19279.9666666667</x:v>
      </x:c>
      <x:c r="H1358" s="22" t="n">
        <x:f>100*F1358/G1358</x:f>
        <x:v>99.95193629311237</x:v>
      </x:c>
      <x:c r="I1358" s="24" t="n">
        <x:f>H1358/100-1</x:f>
        <x:v>-0.00048063706887635504</x:v>
      </x:c>
      <x:c r="J1358" s="26" t="n">
        <x:v>3</x:v>
      </x:c>
      <x:c r="K1358" s="7" t="b">
        <x:v>0</x:v>
      </x:c>
      <x:c r="L1358" s="2" t="str">
        <x:v>April 2026</x:v>
      </x:c>
      <x:c r="M1358" s="2" t="str">
        <x:v>https://datawrapper.dwcdn.net/wQR5S/23/dataset.csv</x:v>
      </x:c>
    </x:row>
    <x:row r="1359" ht="24" customHeight="1">
      <x:c r="A1359" s="2" t="str">
        <x:v>Ramp</x:v>
      </x:c>
      <x:c r="B1359" s="2" t="str">
        <x:v>Quintiles</x:v>
      </x:c>
      <x:c r="C1359" s="2" t="str">
        <x:v>Q5</x:v>
      </x:c>
      <x:c r="D1359" s="28" t="n">
        <x:v>46174</x:v>
      </x:c>
      <x:c r="E1359" s="2" t="str">
        <x:v>2026Q2</x:v>
      </x:c>
      <x:c r="F1359" s="20" t="n">
        <x:v>20875.9</x:v>
      </x:c>
      <x:c r="G1359" s="20" t="n">
        <x:f>'Quarterly data'!$E$374</x:f>
        <x:v>21051</x:v>
      </x:c>
      <x:c r="H1359" s="22" t="n">
        <x:f>100*F1359/G1359</x:f>
        <x:v>99.16821053631658</x:v>
      </x:c>
      <x:c r="I1359" s="24" t="n">
        <x:f>H1359/100-1</x:f>
        <x:v>-0.008317894636834189</x:v>
      </x:c>
      <x:c r="J1359" s="26" t="n">
        <x:v>4</x:v>
      </x:c>
      <x:c r="K1359" s="7" t="b">
        <x:v>0</x:v>
      </x:c>
      <x:c r="L1359" s="2" t="str">
        <x:v>April 2026</x:v>
      </x:c>
      <x:c r="M1359" s="2" t="str">
        <x:v>https://datawrapper.dwcdn.net/wQR5S/23/dataset.csv</x:v>
      </x:c>
    </x:row>
    <x:row r="1360" ht="24" customHeight="1">
      <x:c r="A1360" s="2" t="str">
        <x:v>Ramp</x:v>
      </x:c>
      <x:c r="B1360" s="2" t="str">
        <x:v>Quintiles</x:v>
      </x:c>
      <x:c r="C1360" s="2" t="str">
        <x:v>Q1</x:v>
      </x:c>
      <x:c r="D1360" s="28" t="n">
        <x:v>46204</x:v>
      </x:c>
      <x:c r="E1360" s="2" t="str">
        <x:v>2026Q3</x:v>
      </x:c>
      <x:c r="F1360" s="20" t="n">
        <x:v>31308.3</x:v>
      </x:c>
      <x:c r="G1360" s="20" t="n">
        <x:f>'Quarterly data'!$E$370</x:f>
        <x:v>30131.1</x:v>
      </x:c>
      <x:c r="H1360" s="22" t="n">
        <x:f>100*F1360/G1360</x:f>
        <x:v>103.90692673018908</x:v>
      </x:c>
      <x:c r="I1360" s="24" t="n">
        <x:f>H1360/100-1</x:f>
        <x:v>0.039069267301890864</x:v>
      </x:c>
      <x:c r="J1360" s="26" t="n">
        <x:v>4</x:v>
      </x:c>
      <x:c r="K1360" s="7" t="b">
        <x:v>1</x:v>
      </x:c>
      <x:c r="L1360" s="2" t="str">
        <x:v>April 2026</x:v>
      </x:c>
      <x:c r="M1360" s="2" t="str">
        <x:v>https://datawrapper.dwcdn.net/wQR5S/23/dataset.csv</x:v>
      </x:c>
    </x:row>
    <x:row r="1361" ht="24" customHeight="1">
      <x:c r="A1361" s="2" t="str">
        <x:v>Ramp</x:v>
      </x:c>
      <x:c r="B1361" s="2" t="str">
        <x:v>Quintiles</x:v>
      </x:c>
      <x:c r="C1361" s="2" t="str">
        <x:v>Q2</x:v>
      </x:c>
      <x:c r="D1361" s="28" t="n">
        <x:v>46204</x:v>
      </x:c>
      <x:c r="E1361" s="2" t="str">
        <x:v>2026Q3</x:v>
      </x:c>
      <x:c r="F1361" s="20" t="n">
        <x:v>32940.2</x:v>
      </x:c>
      <x:c r="G1361" s="20" t="n">
        <x:f>'Quarterly data'!$E$371</x:f>
        <x:v>30200.9333333333</x:v>
      </x:c>
      <x:c r="H1361" s="22" t="n">
        <x:f>100*F1361/G1361</x:f>
        <x:v>109.0701391126986</x:v>
      </x:c>
      <x:c r="I1361" s="24" t="n">
        <x:f>H1361/100-1</x:f>
        <x:v>0.09070139112698605</x:v>
      </x:c>
      <x:c r="J1361" s="26" t="n">
        <x:v>3</x:v>
      </x:c>
      <x:c r="K1361" s="7" t="b">
        <x:v>1</x:v>
      </x:c>
      <x:c r="L1361" s="2" t="str">
        <x:v>April 2026</x:v>
      </x:c>
      <x:c r="M1361" s="2" t="str">
        <x:v>https://datawrapper.dwcdn.net/wQR5S/23/dataset.csv</x:v>
      </x:c>
    </x:row>
    <x:row r="1362" ht="24" customHeight="1">
      <x:c r="A1362" s="2" t="str">
        <x:v>Ramp</x:v>
      </x:c>
      <x:c r="B1362" s="2" t="str">
        <x:v>Quintiles</x:v>
      </x:c>
      <x:c r="C1362" s="2" t="str">
        <x:v>Q3</x:v>
      </x:c>
      <x:c r="D1362" s="28" t="n">
        <x:v>46204</x:v>
      </x:c>
      <x:c r="E1362" s="2" t="str">
        <x:v>2026Q3</x:v>
      </x:c>
      <x:c r="F1362" s="20" t="n">
        <x:v>31176.3</x:v>
      </x:c>
      <x:c r="G1362" s="20" t="n">
        <x:f>'Quarterly data'!$E$372</x:f>
        <x:v>31749.8333333333</x:v>
      </x:c>
      <x:c r="H1362" s="22" t="n">
        <x:f>100*F1362/G1362</x:f>
        <x:v>98.19358631803853</x:v>
      </x:c>
      <x:c r="I1362" s="24" t="n">
        <x:f>H1362/100-1</x:f>
        <x:v>-0.018064136819614718</x:v>
      </x:c>
      <x:c r="J1362" s="26" t="n">
        <x:v>4</x:v>
      </x:c>
      <x:c r="K1362" s="7" t="b">
        <x:v>1</x:v>
      </x:c>
      <x:c r="L1362" s="2" t="str">
        <x:v>April 2026</x:v>
      </x:c>
      <x:c r="M1362" s="2" t="str">
        <x:v>https://datawrapper.dwcdn.net/wQR5S/23/dataset.csv</x:v>
      </x:c>
    </x:row>
    <x:row r="1363" ht="24" customHeight="1">
      <x:c r="A1363" s="2" t="str">
        <x:v>Ramp</x:v>
      </x:c>
      <x:c r="B1363" s="2" t="str">
        <x:v>Quintiles</x:v>
      </x:c>
      <x:c r="C1363" s="2" t="str">
        <x:v>Q4</x:v>
      </x:c>
      <x:c r="D1363" s="28" t="n">
        <x:v>46204</x:v>
      </x:c>
      <x:c r="E1363" s="2" t="str">
        <x:v>2026Q3</x:v>
      </x:c>
      <x:c r="F1363" s="20" t="n">
        <x:v>19287.6</x:v>
      </x:c>
      <x:c r="G1363" s="20" t="n">
        <x:f>'Quarterly data'!$E$373</x:f>
        <x:v>19279.9666666667</x:v>
      </x:c>
      <x:c r="H1363" s="22" t="n">
        <x:f>100*F1363/G1363</x:f>
        <x:v>100.03959204632078</x:v>
      </x:c>
      <x:c r="I1363" s="24" t="n">
        <x:f>H1363/100-1</x:f>
        <x:v>0.0003959204632077995</x:v>
      </x:c>
      <x:c r="J1363" s="26" t="n">
        <x:v>3</x:v>
      </x:c>
      <x:c r="K1363" s="7" t="b">
        <x:v>1</x:v>
      </x:c>
      <x:c r="L1363" s="2" t="str">
        <x:v>April 2026</x:v>
      </x:c>
      <x:c r="M1363" s="2" t="str">
        <x:v>https://datawrapper.dwcdn.net/wQR5S/23/dataset.csv</x:v>
      </x:c>
    </x:row>
    <x:row r="1364" ht="24" customHeight="1">
      <x:c r="A1364" s="2" t="str">
        <x:v>Ramp</x:v>
      </x:c>
      <x:c r="B1364" s="2" t="str">
        <x:v>Quintiles</x:v>
      </x:c>
      <x:c r="C1364" s="2" t="str">
        <x:v>Q5</x:v>
      </x:c>
      <x:c r="D1364" s="28" t="n">
        <x:v>46204</x:v>
      </x:c>
      <x:c r="E1364" s="2" t="str">
        <x:v>2026Q3</x:v>
      </x:c>
      <x:c r="F1364" s="20" t="n">
        <x:v>20873</x:v>
      </x:c>
      <x:c r="G1364" s="20" t="n">
        <x:f>'Quarterly data'!$E$374</x:f>
        <x:v>21051</x:v>
      </x:c>
      <x:c r="H1364" s="22" t="n">
        <x:f>100*F1364/G1364</x:f>
        <x:v>99.15443446867133</x:v>
      </x:c>
      <x:c r="I1364" s="24" t="n">
        <x:f>H1364/100-1</x:f>
        <x:v>-0.008455655313286736</x:v>
      </x:c>
      <x:c r="J1364" s="26" t="n">
        <x:v>4</x:v>
      </x:c>
      <x:c r="K1364" s="7" t="b">
        <x:v>1</x:v>
      </x:c>
      <x:c r="L1364" s="2" t="str">
        <x:v>April 2026</x:v>
      </x:c>
      <x:c r="M1364" s="2" t="str">
        <x:v>https://datawrapper.dwcdn.net/wQR5S/23/dataset.csv</x:v>
      </x:c>
    </x:row>
    <x:row r="1365" ht="24" customHeight="1">
      <x:c r="A1365" s="2" t="str">
        <x:v>Ramp</x:v>
      </x:c>
      <x:c r="B1365" s="2" t="str">
        <x:v>Quintiles</x:v>
      </x:c>
      <x:c r="C1365" s="2" t="str">
        <x:v>Q1</x:v>
      </x:c>
      <x:c r="D1365" s="28" t="n">
        <x:v>46235</x:v>
      </x:c>
      <x:c r="E1365" s="2" t="str">
        <x:v>2026Q3</x:v>
      </x:c>
      <x:c r="F1365" s="20" t="n">
        <x:v>31394.8</x:v>
      </x:c>
      <x:c r="G1365" s="20" t="n">
        <x:f>'Quarterly data'!$E$370</x:f>
        <x:v>30131.1</x:v>
      </x:c>
      <x:c r="H1365" s="22" t="n">
        <x:f>100*F1365/G1365</x:f>
        <x:v>104.19400552917087</x:v>
      </x:c>
      <x:c r="I1365" s="24" t="n">
        <x:f>H1365/100-1</x:f>
        <x:v>0.04194005529170863</x:v>
      </x:c>
      <x:c r="J1365" s="26" t="n">
        <x:v>4</x:v>
      </x:c>
      <x:c r="K1365" s="7" t="b">
        <x:v>1</x:v>
      </x:c>
      <x:c r="L1365" s="2" t="str">
        <x:v>April 2026</x:v>
      </x:c>
      <x:c r="M1365" s="2" t="str">
        <x:v>https://datawrapper.dwcdn.net/wQR5S/23/dataset.csv</x:v>
      </x:c>
    </x:row>
    <x:row r="1366" ht="24" customHeight="1">
      <x:c r="A1366" s="2" t="str">
        <x:v>Ramp</x:v>
      </x:c>
      <x:c r="B1366" s="2" t="str">
        <x:v>Quintiles</x:v>
      </x:c>
      <x:c r="C1366" s="2" t="str">
        <x:v>Q2</x:v>
      </x:c>
      <x:c r="D1366" s="28" t="n">
        <x:v>46235</x:v>
      </x:c>
      <x:c r="E1366" s="2" t="str">
        <x:v>2026Q3</x:v>
      </x:c>
      <x:c r="F1366" s="20" t="n">
        <x:v>32970.1</x:v>
      </x:c>
      <x:c r="G1366" s="20" t="n">
        <x:f>'Quarterly data'!$E$371</x:f>
        <x:v>30200.9333333333</x:v>
      </x:c>
      <x:c r="H1366" s="22" t="n">
        <x:f>100*F1366/G1366</x:f>
        <x:v>109.16914267550241</x:v>
      </x:c>
      <x:c r="I1366" s="24" t="n">
        <x:f>H1366/100-1</x:f>
        <x:v>0.09169142675502417</x:v>
      </x:c>
      <x:c r="J1366" s="26" t="n">
        <x:v>3</x:v>
      </x:c>
      <x:c r="K1366" s="7" t="b">
        <x:v>1</x:v>
      </x:c>
      <x:c r="L1366" s="2" t="str">
        <x:v>April 2026</x:v>
      </x:c>
      <x:c r="M1366" s="2" t="str">
        <x:v>https://datawrapper.dwcdn.net/wQR5S/23/dataset.csv</x:v>
      </x:c>
    </x:row>
    <x:row r="1367" ht="24" customHeight="1">
      <x:c r="A1367" s="2" t="str">
        <x:v>Ramp</x:v>
      </x:c>
      <x:c r="B1367" s="2" t="str">
        <x:v>Quintiles</x:v>
      </x:c>
      <x:c r="C1367" s="2" t="str">
        <x:v>Q3</x:v>
      </x:c>
      <x:c r="D1367" s="28" t="n">
        <x:v>46235</x:v>
      </x:c>
      <x:c r="E1367" s="2" t="str">
        <x:v>2026Q3</x:v>
      </x:c>
      <x:c r="F1367" s="20" t="n">
        <x:v>31192.9</x:v>
      </x:c>
      <x:c r="G1367" s="20" t="n">
        <x:f>'Quarterly data'!$E$372</x:f>
        <x:v>31749.8333333333</x:v>
      </x:c>
      <x:c r="H1367" s="22" t="n">
        <x:f>100*F1367/G1367</x:f>
        <x:v>98.24587005706077</x:v>
      </x:c>
      <x:c r="I1367" s="24" t="n">
        <x:f>H1367/100-1</x:f>
        <x:v>-0.01754129942939231</x:v>
      </x:c>
      <x:c r="J1367" s="26" t="n">
        <x:v>4</x:v>
      </x:c>
      <x:c r="K1367" s="7" t="b">
        <x:v>1</x:v>
      </x:c>
      <x:c r="L1367" s="2" t="str">
        <x:v>April 2026</x:v>
      </x:c>
      <x:c r="M1367" s="2" t="str">
        <x:v>https://datawrapper.dwcdn.net/wQR5S/23/dataset.csv</x:v>
      </x:c>
    </x:row>
    <x:row r="1368" ht="24" customHeight="1">
      <x:c r="A1368" s="2" t="str">
        <x:v>Ramp</x:v>
      </x:c>
      <x:c r="B1368" s="2" t="str">
        <x:v>Quintiles</x:v>
      </x:c>
      <x:c r="C1368" s="2" t="str">
        <x:v>Q4</x:v>
      </x:c>
      <x:c r="D1368" s="28" t="n">
        <x:v>46235</x:v>
      </x:c>
      <x:c r="E1368" s="2" t="str">
        <x:v>2026Q3</x:v>
      </x:c>
      <x:c r="F1368" s="20" t="n">
        <x:v>19305.3</x:v>
      </x:c>
      <x:c r="G1368" s="20" t="n">
        <x:f>'Quarterly data'!$E$373</x:f>
        <x:v>19279.9666666667</x:v>
      </x:c>
      <x:c r="H1368" s="22" t="n">
        <x:f>100*F1368/G1368</x:f>
        <x:v>100.13139718429647</x:v>
      </x:c>
      <x:c r="I1368" s="24" t="n">
        <x:f>H1368/100-1</x:f>
        <x:v>0.0013139718429646674</x:v>
      </x:c>
      <x:c r="J1368" s="26" t="n">
        <x:v>3</x:v>
      </x:c>
      <x:c r="K1368" s="7" t="b">
        <x:v>1</x:v>
      </x:c>
      <x:c r="L1368" s="2" t="str">
        <x:v>April 2026</x:v>
      </x:c>
      <x:c r="M1368" s="2" t="str">
        <x:v>https://datawrapper.dwcdn.net/wQR5S/23/dataset.csv</x:v>
      </x:c>
    </x:row>
    <x:row r="1369" ht="24" customHeight="1">
      <x:c r="A1369" s="2" t="str">
        <x:v>Ramp</x:v>
      </x:c>
      <x:c r="B1369" s="2" t="str">
        <x:v>Quintiles</x:v>
      </x:c>
      <x:c r="C1369" s="2" t="str">
        <x:v>Q5</x:v>
      </x:c>
      <x:c r="D1369" s="28" t="n">
        <x:v>46235</x:v>
      </x:c>
      <x:c r="E1369" s="2" t="str">
        <x:v>2026Q3</x:v>
      </x:c>
      <x:c r="F1369" s="20" t="n">
        <x:v>20850.1</x:v>
      </x:c>
      <x:c r="G1369" s="20" t="n">
        <x:f>'Quarterly data'!$E$374</x:f>
        <x:v>21051</x:v>
      </x:c>
      <x:c r="H1369" s="22" t="n">
        <x:f>100*F1369/G1369</x:f>
        <x:v>99.04565103795544</x:v>
      </x:c>
      <x:c r="I1369" s="24" t="n">
        <x:f>H1369/100-1</x:f>
        <x:v>-0.0095434896204456</x:v>
      </x:c>
      <x:c r="J1369" s="26" t="n">
        <x:v>4</x:v>
      </x:c>
      <x:c r="K1369" s="7" t="b">
        <x:v>1</x:v>
      </x:c>
      <x:c r="L1369" s="2" t="str">
        <x:v>April 2026</x:v>
      </x:c>
      <x:c r="M1369" s="2" t="str">
        <x:v>https://datawrapper.dwcdn.net/wQR5S/23/dataset.csv</x:v>
      </x:c>
    </x:row>
    <x:row r="1370" ht="24" customHeight="1">
      <x:c r="A1370" s="2" t="str">
        <x:v>Ramp</x:v>
      </x:c>
      <x:c r="B1370" s="2" t="str">
        <x:v>Halves</x:v>
      </x:c>
      <x:c r="C1370" s="2" t="str">
        <x:v>Lower half</x:v>
      </x:c>
      <x:c r="D1370" s="28" t="n">
        <x:v>44927</x:v>
      </x:c>
      <x:c r="E1370" s="2" t="str">
        <x:v>2023Q1</x:v>
      </x:c>
      <x:c r="F1370" s="20" t="n">
        <x:v>76355.2</x:v>
      </x:c>
      <x:c r="G1370" s="20" t="n">
        <x:f>'Quarterly data'!$E$440</x:f>
        <x:v>76493.2</x:v>
      </x:c>
      <x:c r="H1370" s="22" t="n">
        <x:f>100*F1370/G1370</x:f>
        <x:v>99.81959180685342</x:v>
      </x:c>
      <x:c r="I1370" s="24" t="n">
        <x:f>H1370/100-1</x:f>
        <x:v>-0.0018040819314657508</x:v>
      </x:c>
      <x:c r="J1370" s="26" t="n">
        <x:v>9</x:v>
      </x:c>
      <x:c r="K1370" s="7" t="b">
        <x:v>0</x:v>
      </x:c>
      <x:c r="L1370" s="2" t="str">
        <x:v>April 2026</x:v>
      </x:c>
      <x:c r="M1370" s="2" t="str">
        <x:v>https://datawrapper.dwcdn.net/wQR5S/23/dataset.csv</x:v>
      </x:c>
    </x:row>
    <x:row r="1371" ht="24" customHeight="1">
      <x:c r="A1371" s="2" t="str">
        <x:v>Ramp</x:v>
      </x:c>
      <x:c r="B1371" s="2" t="str">
        <x:v>Halves</x:v>
      </x:c>
      <x:c r="C1371" s="2" t="str">
        <x:v>Higher half</x:v>
      </x:c>
      <x:c r="D1371" s="28" t="n">
        <x:v>44927</x:v>
      </x:c>
      <x:c r="E1371" s="2" t="str">
        <x:v>2023Q1</x:v>
      </x:c>
      <x:c r="F1371" s="20" t="n">
        <x:v>55890.3</x:v>
      </x:c>
      <x:c r="G1371" s="20" t="n">
        <x:f>'Quarterly data'!$E$441</x:f>
        <x:v>55919.6333333333</x:v>
      </x:c>
      <x:c r="H1371" s="22" t="n">
        <x:f>100*F1371/G1371</x:f>
        <x:v>99.9475437666795</x:v>
      </x:c>
      <x:c r="I1371" s="24" t="n">
        <x:f>H1371/100-1</x:f>
        <x:v>-0.0005245623332049698</x:v>
      </x:c>
      <x:c r="J1371" s="26" t="n">
        <x:v>9</x:v>
      </x:c>
      <x:c r="K1371" s="7" t="b">
        <x:v>0</x:v>
      </x:c>
      <x:c r="L1371" s="2" t="str">
        <x:v>April 2026</x:v>
      </x:c>
      <x:c r="M1371" s="2" t="str">
        <x:v>https://datawrapper.dwcdn.net/wQR5S/23/dataset.csv</x:v>
      </x:c>
    </x:row>
    <x:row r="1372" ht="24" customHeight="1">
      <x:c r="A1372" s="2" t="str">
        <x:v>Ramp</x:v>
      </x:c>
      <x:c r="B1372" s="2" t="str">
        <x:v>Halves</x:v>
      </x:c>
      <x:c r="C1372" s="2" t="str">
        <x:v>Lower half</x:v>
      </x:c>
      <x:c r="D1372" s="28" t="n">
        <x:v>44958</x:v>
      </x:c>
      <x:c r="E1372" s="2" t="str">
        <x:v>2023Q1</x:v>
      </x:c>
      <x:c r="F1372" s="20" t="n">
        <x:v>76551.4</x:v>
      </x:c>
      <x:c r="G1372" s="20" t="n">
        <x:f>'Quarterly data'!$E$440</x:f>
        <x:v>76493.2</x:v>
      </x:c>
      <x:c r="H1372" s="22" t="n">
        <x:f>100*F1372/G1372</x:f>
        <x:v>100.07608519450095</x:v>
      </x:c>
      <x:c r="I1372" s="24" t="n">
        <x:f>H1372/100-1</x:f>
        <x:v>0.0007608519450095219</x:v>
      </x:c>
      <x:c r="J1372" s="26" t="n">
        <x:v>9</x:v>
      </x:c>
      <x:c r="K1372" s="7" t="b">
        <x:v>0</x:v>
      </x:c>
      <x:c r="L1372" s="2" t="str">
        <x:v>April 2026</x:v>
      </x:c>
      <x:c r="M1372" s="2" t="str">
        <x:v>https://datawrapper.dwcdn.net/wQR5S/23/dataset.csv</x:v>
      </x:c>
    </x:row>
    <x:row r="1373" ht="24" customHeight="1">
      <x:c r="A1373" s="2" t="str">
        <x:v>Ramp</x:v>
      </x:c>
      <x:c r="B1373" s="2" t="str">
        <x:v>Halves</x:v>
      </x:c>
      <x:c r="C1373" s="2" t="str">
        <x:v>Higher half</x:v>
      </x:c>
      <x:c r="D1373" s="28" t="n">
        <x:v>44958</x:v>
      </x:c>
      <x:c r="E1373" s="2" t="str">
        <x:v>2023Q1</x:v>
      </x:c>
      <x:c r="F1373" s="20" t="n">
        <x:v>55932.1</x:v>
      </x:c>
      <x:c r="G1373" s="20" t="n">
        <x:f>'Quarterly data'!$E$441</x:f>
        <x:v>55919.6333333333</x:v>
      </x:c>
      <x:c r="H1373" s="22" t="n">
        <x:f>100*F1373/G1373</x:f>
        <x:v>100.0222938991613</x:v>
      </x:c>
      <x:c r="I1373" s="24" t="n">
        <x:f>H1373/100-1</x:f>
        <x:v>0.0002229389916130753</x:v>
      </x:c>
      <x:c r="J1373" s="26" t="n">
        <x:v>9</x:v>
      </x:c>
      <x:c r="K1373" s="7" t="b">
        <x:v>0</x:v>
      </x:c>
      <x:c r="L1373" s="2" t="str">
        <x:v>April 2026</x:v>
      </x:c>
      <x:c r="M1373" s="2" t="str">
        <x:v>https://datawrapper.dwcdn.net/wQR5S/23/dataset.csv</x:v>
      </x:c>
    </x:row>
    <x:row r="1374" ht="24" customHeight="1">
      <x:c r="A1374" s="2" t="str">
        <x:v>Ramp</x:v>
      </x:c>
      <x:c r="B1374" s="2" t="str">
        <x:v>Halves</x:v>
      </x:c>
      <x:c r="C1374" s="2" t="str">
        <x:v>Lower half</x:v>
      </x:c>
      <x:c r="D1374" s="28" t="n">
        <x:v>44986</x:v>
      </x:c>
      <x:c r="E1374" s="2" t="str">
        <x:v>2023Q1</x:v>
      </x:c>
      <x:c r="F1374" s="20" t="n">
        <x:v>76573</x:v>
      </x:c>
      <x:c r="G1374" s="20" t="n">
        <x:f>'Quarterly data'!$E$440</x:f>
        <x:v>76493.2</x:v>
      </x:c>
      <x:c r="H1374" s="22" t="n">
        <x:f>100*F1374/G1374</x:f>
        <x:v>100.10432299864563</x:v>
      </x:c>
      <x:c r="I1374" s="24" t="n">
        <x:f>H1374/100-1</x:f>
        <x:v>0.0010432299864562289</x:v>
      </x:c>
      <x:c r="J1374" s="26" t="n">
        <x:v>9</x:v>
      </x:c>
      <x:c r="K1374" s="7" t="b">
        <x:v>0</x:v>
      </x:c>
      <x:c r="L1374" s="2" t="str">
        <x:v>April 2026</x:v>
      </x:c>
      <x:c r="M1374" s="2" t="str">
        <x:v>https://datawrapper.dwcdn.net/wQR5S/23/dataset.csv</x:v>
      </x:c>
    </x:row>
    <x:row r="1375" ht="24" customHeight="1">
      <x:c r="A1375" s="2" t="str">
        <x:v>Ramp</x:v>
      </x:c>
      <x:c r="B1375" s="2" t="str">
        <x:v>Halves</x:v>
      </x:c>
      <x:c r="C1375" s="2" t="str">
        <x:v>Higher half</x:v>
      </x:c>
      <x:c r="D1375" s="28" t="n">
        <x:v>44986</x:v>
      </x:c>
      <x:c r="E1375" s="2" t="str">
        <x:v>2023Q1</x:v>
      </x:c>
      <x:c r="F1375" s="20" t="n">
        <x:v>55936.5</x:v>
      </x:c>
      <x:c r="G1375" s="20" t="n">
        <x:f>'Quarterly data'!$E$441</x:f>
        <x:v>55919.6333333333</x:v>
      </x:c>
      <x:c r="H1375" s="22" t="n">
        <x:f>100*F1375/G1375</x:f>
        <x:v>100.03016233415937</x:v>
      </x:c>
      <x:c r="I1375" s="24" t="n">
        <x:f>H1375/100-1</x:f>
        <x:v>0.0003016233415937819</x:v>
      </x:c>
      <x:c r="J1375" s="26" t="n">
        <x:v>9</x:v>
      </x:c>
      <x:c r="K1375" s="7" t="b">
        <x:v>0</x:v>
      </x:c>
      <x:c r="L1375" s="2" t="str">
        <x:v>April 2026</x:v>
      </x:c>
      <x:c r="M1375" s="2" t="str">
        <x:v>https://datawrapper.dwcdn.net/wQR5S/23/dataset.csv</x:v>
      </x:c>
    </x:row>
    <x:row r="1376" ht="24" customHeight="1">
      <x:c r="A1376" s="2" t="str">
        <x:v>Ramp</x:v>
      </x:c>
      <x:c r="B1376" s="2" t="str">
        <x:v>Halves</x:v>
      </x:c>
      <x:c r="C1376" s="2" t="str">
        <x:v>Lower half</x:v>
      </x:c>
      <x:c r="D1376" s="28" t="n">
        <x:v>45017</x:v>
      </x:c>
      <x:c r="E1376" s="2" t="str">
        <x:v>2023Q2</x:v>
      </x:c>
      <x:c r="F1376" s="20" t="n">
        <x:v>76732.1</x:v>
      </x:c>
      <x:c r="G1376" s="20" t="n">
        <x:f>'Quarterly data'!$E$440</x:f>
        <x:v>76493.2</x:v>
      </x:c>
      <x:c r="H1376" s="22" t="n">
        <x:f>100*F1376/G1376</x:f>
        <x:v>100.31231534306319</x:v>
      </x:c>
      <x:c r="I1376" s="24" t="n">
        <x:f>H1376/100-1</x:f>
        <x:v>0.003123153430631964</x:v>
      </x:c>
      <x:c r="J1376" s="26" t="n">
        <x:v>9</x:v>
      </x:c>
      <x:c r="K1376" s="7" t="b">
        <x:v>0</x:v>
      </x:c>
      <x:c r="L1376" s="2" t="str">
        <x:v>April 2026</x:v>
      </x:c>
      <x:c r="M1376" s="2" t="str">
        <x:v>https://datawrapper.dwcdn.net/wQR5S/23/dataset.csv</x:v>
      </x:c>
    </x:row>
    <x:row r="1377" ht="24" customHeight="1">
      <x:c r="A1377" s="2" t="str">
        <x:v>Ramp</x:v>
      </x:c>
      <x:c r="B1377" s="2" t="str">
        <x:v>Halves</x:v>
      </x:c>
      <x:c r="C1377" s="2" t="str">
        <x:v>Higher half</x:v>
      </x:c>
      <x:c r="D1377" s="28" t="n">
        <x:v>45017</x:v>
      </x:c>
      <x:c r="E1377" s="2" t="str">
        <x:v>2023Q2</x:v>
      </x:c>
      <x:c r="F1377" s="20" t="n">
        <x:v>55954.9</x:v>
      </x:c>
      <x:c r="G1377" s="20" t="n">
        <x:f>'Quarterly data'!$E$441</x:f>
        <x:v>55919.6333333333</x:v>
      </x:c>
      <x:c r="H1377" s="22" t="n">
        <x:f>100*F1377/G1377</x:f>
        <x:v>100.06306669869682</x:v>
      </x:c>
      <x:c r="I1377" s="24" t="n">
        <x:f>H1377/100-1</x:f>
        <x:v>0.0006306669869682313</x:v>
      </x:c>
      <x:c r="J1377" s="26" t="n">
        <x:v>9</x:v>
      </x:c>
      <x:c r="K1377" s="7" t="b">
        <x:v>0</x:v>
      </x:c>
      <x:c r="L1377" s="2" t="str">
        <x:v>April 2026</x:v>
      </x:c>
      <x:c r="M1377" s="2" t="str">
        <x:v>https://datawrapper.dwcdn.net/wQR5S/23/dataset.csv</x:v>
      </x:c>
    </x:row>
    <x:row r="1378" ht="24" customHeight="1">
      <x:c r="A1378" s="2" t="str">
        <x:v>Ramp</x:v>
      </x:c>
      <x:c r="B1378" s="2" t="str">
        <x:v>Halves</x:v>
      </x:c>
      <x:c r="C1378" s="2" t="str">
        <x:v>Lower half</x:v>
      </x:c>
      <x:c r="D1378" s="28" t="n">
        <x:v>45047</x:v>
      </x:c>
      <x:c r="E1378" s="2" t="str">
        <x:v>2023Q2</x:v>
      </x:c>
      <x:c r="F1378" s="20" t="n">
        <x:v>76896.7</x:v>
      </x:c>
      <x:c r="G1378" s="20" t="n">
        <x:f>'Quarterly data'!$E$440</x:f>
        <x:v>76493.2</x:v>
      </x:c>
      <x:c r="H1378" s="22" t="n">
        <x:f>100*F1378/G1378</x:f>
        <x:v>100.52749786909163</x:v>
      </x:c>
      <x:c r="I1378" s="24" t="n">
        <x:f>H1378/100-1</x:f>
        <x:v>0.00527497869091631</x:v>
      </x:c>
      <x:c r="J1378" s="26" t="n">
        <x:v>9</x:v>
      </x:c>
      <x:c r="K1378" s="7" t="b">
        <x:v>0</x:v>
      </x:c>
      <x:c r="L1378" s="2" t="str">
        <x:v>April 2026</x:v>
      </x:c>
      <x:c r="M1378" s="2" t="str">
        <x:v>https://datawrapper.dwcdn.net/wQR5S/23/dataset.csv</x:v>
      </x:c>
    </x:row>
    <x:row r="1379" ht="24" customHeight="1">
      <x:c r="A1379" s="2" t="str">
        <x:v>Ramp</x:v>
      </x:c>
      <x:c r="B1379" s="2" t="str">
        <x:v>Halves</x:v>
      </x:c>
      <x:c r="C1379" s="2" t="str">
        <x:v>Higher half</x:v>
      </x:c>
      <x:c r="D1379" s="28" t="n">
        <x:v>45047</x:v>
      </x:c>
      <x:c r="E1379" s="2" t="str">
        <x:v>2023Q2</x:v>
      </x:c>
      <x:c r="F1379" s="20" t="n">
        <x:v>55990.4</x:v>
      </x:c>
      <x:c r="G1379" s="20" t="n">
        <x:f>'Quarterly data'!$E$441</x:f>
        <x:v>55919.6333333333</x:v>
      </x:c>
      <x:c r="H1379" s="22" t="n">
        <x:f>100*F1379/G1379</x:f>
        <x:v>100.1265506628859</x:v>
      </x:c>
      <x:c r="I1379" s="24" t="n">
        <x:f>H1379/100-1</x:f>
        <x:v>0.0012655066288589367</x:v>
      </x:c>
      <x:c r="J1379" s="26" t="n">
        <x:v>9</x:v>
      </x:c>
      <x:c r="K1379" s="7" t="b">
        <x:v>0</x:v>
      </x:c>
      <x:c r="L1379" s="2" t="str">
        <x:v>April 2026</x:v>
      </x:c>
      <x:c r="M1379" s="2" t="str">
        <x:v>https://datawrapper.dwcdn.net/wQR5S/23/dataset.csv</x:v>
      </x:c>
    </x:row>
    <x:row r="1380" ht="24" customHeight="1">
      <x:c r="A1380" s="2" t="str">
        <x:v>Ramp</x:v>
      </x:c>
      <x:c r="B1380" s="2" t="str">
        <x:v>Halves</x:v>
      </x:c>
      <x:c r="C1380" s="2" t="str">
        <x:v>Lower half</x:v>
      </x:c>
      <x:c r="D1380" s="28" t="n">
        <x:v>45078</x:v>
      </x:c>
      <x:c r="E1380" s="2" t="str">
        <x:v>2023Q2</x:v>
      </x:c>
      <x:c r="F1380" s="20" t="n">
        <x:v>77067</x:v>
      </x:c>
      <x:c r="G1380" s="20" t="n">
        <x:f>'Quarterly data'!$E$440</x:f>
        <x:v>76493.2</x:v>
      </x:c>
      <x:c r="H1380" s="22" t="n">
        <x:f>100*F1380/G1380</x:f>
        <x:v>100.75013203788049</x:v>
      </x:c>
      <x:c r="I1380" s="24" t="n">
        <x:f>H1380/100-1</x:f>
        <x:v>0.007501320378804799</x:v>
      </x:c>
      <x:c r="J1380" s="26" t="n">
        <x:v>9</x:v>
      </x:c>
      <x:c r="K1380" s="7" t="b">
        <x:v>0</x:v>
      </x:c>
      <x:c r="L1380" s="2" t="str">
        <x:v>April 2026</x:v>
      </x:c>
      <x:c r="M1380" s="2" t="str">
        <x:v>https://datawrapper.dwcdn.net/wQR5S/23/dataset.csv</x:v>
      </x:c>
    </x:row>
    <x:row r="1381" ht="24" customHeight="1">
      <x:c r="A1381" s="2" t="str">
        <x:v>Ramp</x:v>
      </x:c>
      <x:c r="B1381" s="2" t="str">
        <x:v>Halves</x:v>
      </x:c>
      <x:c r="C1381" s="2" t="str">
        <x:v>Higher half</x:v>
      </x:c>
      <x:c r="D1381" s="28" t="n">
        <x:v>45078</x:v>
      </x:c>
      <x:c r="E1381" s="2" t="str">
        <x:v>2023Q2</x:v>
      </x:c>
      <x:c r="F1381" s="20" t="n">
        <x:v>55976.1</x:v>
      </x:c>
      <x:c r="G1381" s="20" t="n">
        <x:f>'Quarterly data'!$E$441</x:f>
        <x:v>55919.6333333333</x:v>
      </x:c>
      <x:c r="H1381" s="22" t="n">
        <x:f>100*F1381/G1381</x:f>
        <x:v>100.10097824914213</x:v>
      </x:c>
      <x:c r="I1381" s="24" t="n">
        <x:f>H1381/100-1</x:f>
        <x:v>0.0010097824914212516</x:v>
      </x:c>
      <x:c r="J1381" s="26" t="n">
        <x:v>9</x:v>
      </x:c>
      <x:c r="K1381" s="7" t="b">
        <x:v>0</x:v>
      </x:c>
      <x:c r="L1381" s="2" t="str">
        <x:v>April 2026</x:v>
      </x:c>
      <x:c r="M1381" s="2" t="str">
        <x:v>https://datawrapper.dwcdn.net/wQR5S/23/dataset.csv</x:v>
      </x:c>
    </x:row>
    <x:row r="1382" ht="24" customHeight="1">
      <x:c r="A1382" s="2" t="str">
        <x:v>Ramp</x:v>
      </x:c>
      <x:c r="B1382" s="2" t="str">
        <x:v>Halves</x:v>
      </x:c>
      <x:c r="C1382" s="2" t="str">
        <x:v>Lower half</x:v>
      </x:c>
      <x:c r="D1382" s="28" t="n">
        <x:v>45108</x:v>
      </x:c>
      <x:c r="E1382" s="2" t="str">
        <x:v>2023Q3</x:v>
      </x:c>
      <x:c r="F1382" s="20" t="n">
        <x:v>77241.4</x:v>
      </x:c>
      <x:c r="G1382" s="20" t="n">
        <x:f>'Quarterly data'!$E$440</x:f>
        <x:v>76493.2</x:v>
      </x:c>
      <x:c r="H1382" s="22" t="n">
        <x:f>100*F1382/G1382</x:f>
        <x:v>100.97812616023384</x:v>
      </x:c>
      <x:c r="I1382" s="24" t="n">
        <x:f>H1382/100-1</x:f>
        <x:v>0.009781261602338498</x:v>
      </x:c>
      <x:c r="J1382" s="26" t="n">
        <x:v>9</x:v>
      </x:c>
      <x:c r="K1382" s="7" t="b">
        <x:v>0</x:v>
      </x:c>
      <x:c r="L1382" s="2" t="str">
        <x:v>April 2026</x:v>
      </x:c>
      <x:c r="M1382" s="2" t="str">
        <x:v>https://datawrapper.dwcdn.net/wQR5S/23/dataset.csv</x:v>
      </x:c>
    </x:row>
    <x:row r="1383" ht="24" customHeight="1">
      <x:c r="A1383" s="2" t="str">
        <x:v>Ramp</x:v>
      </x:c>
      <x:c r="B1383" s="2" t="str">
        <x:v>Halves</x:v>
      </x:c>
      <x:c r="C1383" s="2" t="str">
        <x:v>Higher half</x:v>
      </x:c>
      <x:c r="D1383" s="28" t="n">
        <x:v>45108</x:v>
      </x:c>
      <x:c r="E1383" s="2" t="str">
        <x:v>2023Q3</x:v>
      </x:c>
      <x:c r="F1383" s="20" t="n">
        <x:v>55917.8</x:v>
      </x:c>
      <x:c r="G1383" s="20" t="n">
        <x:f>'Quarterly data'!$E$441</x:f>
        <x:v>55919.6333333333</x:v>
      </x:c>
      <x:c r="H1383" s="22" t="n">
        <x:f>100*F1383/G1383</x:f>
        <x:v>99.99672148541752</x:v>
      </x:c>
      <x:c r="I1383" s="24" t="n">
        <x:f>H1383/100-1</x:f>
        <x:v>-0.00003278514582472081</x:v>
      </x:c>
      <x:c r="J1383" s="26" t="n">
        <x:v>9</x:v>
      </x:c>
      <x:c r="K1383" s="7" t="b">
        <x:v>0</x:v>
      </x:c>
      <x:c r="L1383" s="2" t="str">
        <x:v>April 2026</x:v>
      </x:c>
      <x:c r="M1383" s="2" t="str">
        <x:v>https://datawrapper.dwcdn.net/wQR5S/23/dataset.csv</x:v>
      </x:c>
    </x:row>
    <x:row r="1384" ht="24" customHeight="1">
      <x:c r="A1384" s="2" t="str">
        <x:v>Ramp</x:v>
      </x:c>
      <x:c r="B1384" s="2" t="str">
        <x:v>Halves</x:v>
      </x:c>
      <x:c r="C1384" s="2" t="str">
        <x:v>Lower half</x:v>
      </x:c>
      <x:c r="D1384" s="28" t="n">
        <x:v>45139</x:v>
      </x:c>
      <x:c r="E1384" s="2" t="str">
        <x:v>2023Q3</x:v>
      </x:c>
      <x:c r="F1384" s="20" t="n">
        <x:v>77408.1</x:v>
      </x:c>
      <x:c r="G1384" s="20" t="n">
        <x:f>'Quarterly data'!$E$440</x:f>
        <x:v>76493.2</x:v>
      </x:c>
      <x:c r="H1384" s="22" t="n">
        <x:f>100*F1384/G1384</x:f>
        <x:v>101.19605402833194</x:v>
      </x:c>
      <x:c r="I1384" s="24" t="n">
        <x:f>H1384/100-1</x:f>
        <x:v>0.011960540283319387</x:v>
      </x:c>
      <x:c r="J1384" s="26" t="n">
        <x:v>9</x:v>
      </x:c>
      <x:c r="K1384" s="7" t="b">
        <x:v>0</x:v>
      </x:c>
      <x:c r="L1384" s="2" t="str">
        <x:v>April 2026</x:v>
      </x:c>
      <x:c r="M1384" s="2" t="str">
        <x:v>https://datawrapper.dwcdn.net/wQR5S/23/dataset.csv</x:v>
      </x:c>
    </x:row>
    <x:row r="1385" ht="24" customHeight="1">
      <x:c r="A1385" s="2" t="str">
        <x:v>Ramp</x:v>
      </x:c>
      <x:c r="B1385" s="2" t="str">
        <x:v>Halves</x:v>
      </x:c>
      <x:c r="C1385" s="2" t="str">
        <x:v>Higher half</x:v>
      </x:c>
      <x:c r="D1385" s="28" t="n">
        <x:v>45139</x:v>
      </x:c>
      <x:c r="E1385" s="2" t="str">
        <x:v>2023Q3</x:v>
      </x:c>
      <x:c r="F1385" s="20" t="n">
        <x:v>55900.7</x:v>
      </x:c>
      <x:c r="G1385" s="20" t="n">
        <x:f>'Quarterly data'!$E$441</x:f>
        <x:v>55919.6333333333</x:v>
      </x:c>
      <x:c r="H1385" s="22" t="n">
        <x:f>100*F1385/G1385</x:f>
        <x:v>99.96614188576588</x:v>
      </x:c>
      <x:c r="I1385" s="24" t="n">
        <x:f>H1385/100-1</x:f>
        <x:v>-0.00033858114234119885</x:v>
      </x:c>
      <x:c r="J1385" s="26" t="n">
        <x:v>9</x:v>
      </x:c>
      <x:c r="K1385" s="7" t="b">
        <x:v>0</x:v>
      </x:c>
      <x:c r="L1385" s="2" t="str">
        <x:v>April 2026</x:v>
      </x:c>
      <x:c r="M1385" s="2" t="str">
        <x:v>https://datawrapper.dwcdn.net/wQR5S/23/dataset.csv</x:v>
      </x:c>
    </x:row>
    <x:row r="1386" ht="24" customHeight="1">
      <x:c r="A1386" s="2" t="str">
        <x:v>Ramp</x:v>
      </x:c>
      <x:c r="B1386" s="2" t="str">
        <x:v>Halves</x:v>
      </x:c>
      <x:c r="C1386" s="2" t="str">
        <x:v>Lower half</x:v>
      </x:c>
      <x:c r="D1386" s="28" t="n">
        <x:v>45170</x:v>
      </x:c>
      <x:c r="E1386" s="2" t="str">
        <x:v>2023Q3</x:v>
      </x:c>
      <x:c r="F1386" s="20" t="n">
        <x:v>77528.4</x:v>
      </x:c>
      <x:c r="G1386" s="20" t="n">
        <x:f>'Quarterly data'!$E$440</x:f>
        <x:v>76493.2</x:v>
      </x:c>
      <x:c r="H1386" s="22" t="n">
        <x:f>100*F1386/G1386</x:f>
        <x:v>101.35332290974883</x:v>
      </x:c>
      <x:c r="I1386" s="24" t="n">
        <x:f>H1386/100-1</x:f>
        <x:v>0.01353322909748833</x:v>
      </x:c>
      <x:c r="J1386" s="26" t="n">
        <x:v>9</x:v>
      </x:c>
      <x:c r="K1386" s="7" t="b">
        <x:v>0</x:v>
      </x:c>
      <x:c r="L1386" s="2" t="str">
        <x:v>April 2026</x:v>
      </x:c>
      <x:c r="M1386" s="2" t="str">
        <x:v>https://datawrapper.dwcdn.net/wQR5S/23/dataset.csv</x:v>
      </x:c>
    </x:row>
    <x:row r="1387" ht="24" customHeight="1">
      <x:c r="A1387" s="2" t="str">
        <x:v>Ramp</x:v>
      </x:c>
      <x:c r="B1387" s="2" t="str">
        <x:v>Halves</x:v>
      </x:c>
      <x:c r="C1387" s="2" t="str">
        <x:v>Higher half</x:v>
      </x:c>
      <x:c r="D1387" s="28" t="n">
        <x:v>45170</x:v>
      </x:c>
      <x:c r="E1387" s="2" t="str">
        <x:v>2023Q3</x:v>
      </x:c>
      <x:c r="F1387" s="20" t="n">
        <x:v>55894.3</x:v>
      </x:c>
      <x:c r="G1387" s="20" t="n">
        <x:f>'Quarterly data'!$E$441</x:f>
        <x:v>55919.6333333333</x:v>
      </x:c>
      <x:c r="H1387" s="22" t="n">
        <x:f>100*F1387/G1387</x:f>
        <x:v>99.95469688940503</x:v>
      </x:c>
      <x:c r="I1387" s="24" t="n">
        <x:f>H1387/100-1</x:f>
        <x:v>-0.0004530311059497416</x:v>
      </x:c>
      <x:c r="J1387" s="26" t="n">
        <x:v>9</x:v>
      </x:c>
      <x:c r="K1387" s="7" t="b">
        <x:v>0</x:v>
      </x:c>
      <x:c r="L1387" s="2" t="str">
        <x:v>April 2026</x:v>
      </x:c>
      <x:c r="M1387" s="2" t="str">
        <x:v>https://datawrapper.dwcdn.net/wQR5S/23/dataset.csv</x:v>
      </x:c>
    </x:row>
    <x:row r="1388" ht="24" customHeight="1">
      <x:c r="A1388" s="2" t="str">
        <x:v>Ramp</x:v>
      </x:c>
      <x:c r="B1388" s="2" t="str">
        <x:v>Halves</x:v>
      </x:c>
      <x:c r="C1388" s="2" t="str">
        <x:v>Lower half</x:v>
      </x:c>
      <x:c r="D1388" s="28" t="n">
        <x:v>45200</x:v>
      </x:c>
      <x:c r="E1388" s="2" t="str">
        <x:v>2023Q4</x:v>
      </x:c>
      <x:c r="F1388" s="20" t="n">
        <x:v>77715.5</x:v>
      </x:c>
      <x:c r="G1388" s="20" t="n">
        <x:f>'Quarterly data'!$E$440</x:f>
        <x:v>76493.2</x:v>
      </x:c>
      <x:c r="H1388" s="22" t="n">
        <x:f>100*F1388/G1388</x:f>
        <x:v>101.59791981509468</x:v>
      </x:c>
      <x:c r="I1388" s="24" t="n">
        <x:f>H1388/100-1</x:f>
        <x:v>0.01597919815094695</x:v>
      </x:c>
      <x:c r="J1388" s="26" t="n">
        <x:v>9</x:v>
      </x:c>
      <x:c r="K1388" s="7" t="b">
        <x:v>0</x:v>
      </x:c>
      <x:c r="L1388" s="2" t="str">
        <x:v>April 2026</x:v>
      </x:c>
      <x:c r="M1388" s="2" t="str">
        <x:v>https://datawrapper.dwcdn.net/wQR5S/23/dataset.csv</x:v>
      </x:c>
    </x:row>
    <x:row r="1389" ht="24" customHeight="1">
      <x:c r="A1389" s="2" t="str">
        <x:v>Ramp</x:v>
      </x:c>
      <x:c r="B1389" s="2" t="str">
        <x:v>Halves</x:v>
      </x:c>
      <x:c r="C1389" s="2" t="str">
        <x:v>Higher half</x:v>
      </x:c>
      <x:c r="D1389" s="28" t="n">
        <x:v>45200</x:v>
      </x:c>
      <x:c r="E1389" s="2" t="str">
        <x:v>2023Q4</x:v>
      </x:c>
      <x:c r="F1389" s="20" t="n">
        <x:v>55820.8</x:v>
      </x:c>
      <x:c r="G1389" s="20" t="n">
        <x:f>'Quarterly data'!$E$441</x:f>
        <x:v>55919.6333333333</x:v>
      </x:c>
      <x:c r="H1389" s="22" t="n">
        <x:f>100*F1389/G1389</x:f>
        <x:v>99.82325825932341</x:v>
      </x:c>
      <x:c r="I1389" s="24" t="n">
        <x:f>H1389/100-1</x:f>
        <x:v>-0.001767417406765892</x:v>
      </x:c>
      <x:c r="J1389" s="26" t="n">
        <x:v>9</x:v>
      </x:c>
      <x:c r="K1389" s="7" t="b">
        <x:v>0</x:v>
      </x:c>
      <x:c r="L1389" s="2" t="str">
        <x:v>April 2026</x:v>
      </x:c>
      <x:c r="M1389" s="2" t="str">
        <x:v>https://datawrapper.dwcdn.net/wQR5S/23/dataset.csv</x:v>
      </x:c>
    </x:row>
    <x:row r="1390" ht="24" customHeight="1">
      <x:c r="A1390" s="2" t="str">
        <x:v>Ramp</x:v>
      </x:c>
      <x:c r="B1390" s="2" t="str">
        <x:v>Halves</x:v>
      </x:c>
      <x:c r="C1390" s="2" t="str">
        <x:v>Lower half</x:v>
      </x:c>
      <x:c r="D1390" s="28" t="n">
        <x:v>45231</x:v>
      </x:c>
      <x:c r="E1390" s="2" t="str">
        <x:v>2023Q4</x:v>
      </x:c>
      <x:c r="F1390" s="20" t="n">
        <x:v>77815.5</x:v>
      </x:c>
      <x:c r="G1390" s="20" t="n">
        <x:f>'Quarterly data'!$E$440</x:f>
        <x:v>76493.2</x:v>
      </x:c>
      <x:c r="H1390" s="22" t="n">
        <x:f>100*F1390/G1390</x:f>
        <x:v>101.72865038983858</x:v>
      </x:c>
      <x:c r="I1390" s="24" t="n">
        <x:f>H1390/100-1</x:f>
        <x:v>0.01728650389838582</x:v>
      </x:c>
      <x:c r="J1390" s="26" t="n">
        <x:v>9</x:v>
      </x:c>
      <x:c r="K1390" s="7" t="b">
        <x:v>0</x:v>
      </x:c>
      <x:c r="L1390" s="2" t="str">
        <x:v>April 2026</x:v>
      </x:c>
      <x:c r="M1390" s="2" t="str">
        <x:v>https://datawrapper.dwcdn.net/wQR5S/23/dataset.csv</x:v>
      </x:c>
    </x:row>
    <x:row r="1391" ht="24" customHeight="1">
      <x:c r="A1391" s="2" t="str">
        <x:v>Ramp</x:v>
      </x:c>
      <x:c r="B1391" s="2" t="str">
        <x:v>Halves</x:v>
      </x:c>
      <x:c r="C1391" s="2" t="str">
        <x:v>Higher half</x:v>
      </x:c>
      <x:c r="D1391" s="28" t="n">
        <x:v>45231</x:v>
      </x:c>
      <x:c r="E1391" s="2" t="str">
        <x:v>2023Q4</x:v>
      </x:c>
      <x:c r="F1391" s="20" t="n">
        <x:v>55807.8</x:v>
      </x:c>
      <x:c r="G1391" s="20" t="n">
        <x:f>'Quarterly data'!$E$441</x:f>
        <x:v>55919.6333333333</x:v>
      </x:c>
      <x:c r="H1391" s="22" t="n">
        <x:f>100*F1391/G1391</x:f>
        <x:v>99.80001061046543</x:v>
      </x:c>
      <x:c r="I1391" s="24" t="n">
        <x:f>H1391/100-1</x:f>
        <x:v>-0.001999893895345606</x:v>
      </x:c>
      <x:c r="J1391" s="26" t="n">
        <x:v>9</x:v>
      </x:c>
      <x:c r="K1391" s="7" t="b">
        <x:v>0</x:v>
      </x:c>
      <x:c r="L1391" s="2" t="str">
        <x:v>April 2026</x:v>
      </x:c>
      <x:c r="M1391" s="2" t="str">
        <x:v>https://datawrapper.dwcdn.net/wQR5S/23/dataset.csv</x:v>
      </x:c>
    </x:row>
    <x:row r="1392" ht="24" customHeight="1">
      <x:c r="A1392" s="2" t="str">
        <x:v>Ramp</x:v>
      </x:c>
      <x:c r="B1392" s="2" t="str">
        <x:v>Halves</x:v>
      </x:c>
      <x:c r="C1392" s="2" t="str">
        <x:v>Lower half</x:v>
      </x:c>
      <x:c r="D1392" s="28" t="n">
        <x:v>45261</x:v>
      </x:c>
      <x:c r="E1392" s="2" t="str">
        <x:v>2023Q4</x:v>
      </x:c>
      <x:c r="F1392" s="20" t="n">
        <x:v>77906.8</x:v>
      </x:c>
      <x:c r="G1392" s="20" t="n">
        <x:f>'Quarterly data'!$E$440</x:f>
        <x:v>76493.2</x:v>
      </x:c>
      <x:c r="H1392" s="22" t="n">
        <x:f>100*F1392/G1392</x:f>
        <x:v>101.84800740457976</x:v>
      </x:c>
      <x:c r="I1392" s="24" t="n">
        <x:f>H1392/100-1</x:f>
        <x:v>0.018480074045797545</x:v>
      </x:c>
      <x:c r="J1392" s="26" t="n">
        <x:v>9</x:v>
      </x:c>
      <x:c r="K1392" s="7" t="b">
        <x:v>0</x:v>
      </x:c>
      <x:c r="L1392" s="2" t="str">
        <x:v>April 2026</x:v>
      </x:c>
      <x:c r="M1392" s="2" t="str">
        <x:v>https://datawrapper.dwcdn.net/wQR5S/23/dataset.csv</x:v>
      </x:c>
    </x:row>
    <x:row r="1393" ht="24" customHeight="1">
      <x:c r="A1393" s="2" t="str">
        <x:v>Ramp</x:v>
      </x:c>
      <x:c r="B1393" s="2" t="str">
        <x:v>Halves</x:v>
      </x:c>
      <x:c r="C1393" s="2" t="str">
        <x:v>Higher half</x:v>
      </x:c>
      <x:c r="D1393" s="28" t="n">
        <x:v>45261</x:v>
      </x:c>
      <x:c r="E1393" s="2" t="str">
        <x:v>2023Q4</x:v>
      </x:c>
      <x:c r="F1393" s="20" t="n">
        <x:v>55815.7</x:v>
      </x:c>
      <x:c r="G1393" s="20" t="n">
        <x:f>'Quarterly data'!$E$441</x:f>
        <x:v>55919.6333333333</x:v>
      </x:c>
      <x:c r="H1393" s="22" t="n">
        <x:f>100*F1393/G1393</x:f>
        <x:v>99.81413802784836</x:v>
      </x:c>
      <x:c r="I1393" s="24" t="n">
        <x:f>H1393/100-1</x:f>
        <x:v>-0.0018586197215164635</x:v>
      </x:c>
      <x:c r="J1393" s="26" t="n">
        <x:v>9</x:v>
      </x:c>
      <x:c r="K1393" s="7" t="b">
        <x:v>0</x:v>
      </x:c>
      <x:c r="L1393" s="2" t="str">
        <x:v>April 2026</x:v>
      </x:c>
      <x:c r="M1393" s="2" t="str">
        <x:v>https://datawrapper.dwcdn.net/wQR5S/23/dataset.csv</x:v>
      </x:c>
    </x:row>
    <x:row r="1394" ht="24" customHeight="1">
      <x:c r="A1394" s="2" t="str">
        <x:v>Ramp</x:v>
      </x:c>
      <x:c r="B1394" s="2" t="str">
        <x:v>Halves</x:v>
      </x:c>
      <x:c r="C1394" s="2" t="str">
        <x:v>Lower half</x:v>
      </x:c>
      <x:c r="D1394" s="28" t="n">
        <x:v>45292</x:v>
      </x:c>
      <x:c r="E1394" s="2" t="str">
        <x:v>2024Q1</x:v>
      </x:c>
      <x:c r="F1394" s="20" t="n">
        <x:v>77995.2</x:v>
      </x:c>
      <x:c r="G1394" s="20" t="n">
        <x:f>'Quarterly data'!$E$440</x:f>
        <x:v>76493.2</x:v>
      </x:c>
      <x:c r="H1394" s="22" t="n">
        <x:f>100*F1394/G1394</x:f>
        <x:v>101.96357323265336</x:v>
      </x:c>
      <x:c r="I1394" s="24" t="n">
        <x:f>H1394/100-1</x:f>
        <x:v>0.019635732326533706</x:v>
      </x:c>
      <x:c r="J1394" s="26" t="n">
        <x:v>9</x:v>
      </x:c>
      <x:c r="K1394" s="7" t="b">
        <x:v>0</x:v>
      </x:c>
      <x:c r="L1394" s="2" t="str">
        <x:v>April 2026</x:v>
      </x:c>
      <x:c r="M1394" s="2" t="str">
        <x:v>https://datawrapper.dwcdn.net/wQR5S/23/dataset.csv</x:v>
      </x:c>
    </x:row>
    <x:row r="1395" ht="24" customHeight="1">
      <x:c r="A1395" s="2" t="str">
        <x:v>Ramp</x:v>
      </x:c>
      <x:c r="B1395" s="2" t="str">
        <x:v>Halves</x:v>
      </x:c>
      <x:c r="C1395" s="2" t="str">
        <x:v>Higher half</x:v>
      </x:c>
      <x:c r="D1395" s="28" t="n">
        <x:v>45292</x:v>
      </x:c>
      <x:c r="E1395" s="2" t="str">
        <x:v>2024Q1</x:v>
      </x:c>
      <x:c r="F1395" s="20" t="n">
        <x:v>55853.5</x:v>
      </x:c>
      <x:c r="G1395" s="20" t="n">
        <x:f>'Quarterly data'!$E$441</x:f>
        <x:v>55919.6333333333</x:v>
      </x:c>
      <x:c r="H1395" s="22" t="n">
        <x:f>100*F1395/G1395</x:f>
        <x:v>99.88173503760461</x:v>
      </x:c>
      <x:c r="I1395" s="24" t="n">
        <x:f>H1395/100-1</x:f>
        <x:v>-0.0011826496239538686</x:v>
      </x:c>
      <x:c r="J1395" s="26" t="n">
        <x:v>9</x:v>
      </x:c>
      <x:c r="K1395" s="7" t="b">
        <x:v>0</x:v>
      </x:c>
      <x:c r="L1395" s="2" t="str">
        <x:v>April 2026</x:v>
      </x:c>
      <x:c r="M1395" s="2" t="str">
        <x:v>https://datawrapper.dwcdn.net/wQR5S/23/dataset.csv</x:v>
      </x:c>
    </x:row>
    <x:row r="1396" ht="24" customHeight="1">
      <x:c r="A1396" s="2" t="str">
        <x:v>Ramp</x:v>
      </x:c>
      <x:c r="B1396" s="2" t="str">
        <x:v>Halves</x:v>
      </x:c>
      <x:c r="C1396" s="2" t="str">
        <x:v>Lower half</x:v>
      </x:c>
      <x:c r="D1396" s="28" t="n">
        <x:v>45323</x:v>
      </x:c>
      <x:c r="E1396" s="2" t="str">
        <x:v>2024Q1</x:v>
      </x:c>
      <x:c r="F1396" s="20" t="n">
        <x:v>78179.8</x:v>
      </x:c>
      <x:c r="G1396" s="20" t="n">
        <x:f>'Quarterly data'!$E$440</x:f>
        <x:v>76493.2</x:v>
      </x:c>
      <x:c r="H1396" s="22" t="n">
        <x:f>100*F1396/G1396</x:f>
        <x:v>102.2049018736306</x:v>
      </x:c>
      <x:c r="I1396" s="24" t="n">
        <x:f>H1396/100-1</x:f>
        <x:v>0.022049018736306047</x:v>
      </x:c>
      <x:c r="J1396" s="26" t="n">
        <x:v>9</x:v>
      </x:c>
      <x:c r="K1396" s="7" t="b">
        <x:v>0</x:v>
      </x:c>
      <x:c r="L1396" s="2" t="str">
        <x:v>April 2026</x:v>
      </x:c>
      <x:c r="M1396" s="2" t="str">
        <x:v>https://datawrapper.dwcdn.net/wQR5S/23/dataset.csv</x:v>
      </x:c>
    </x:row>
    <x:row r="1397" ht="24" customHeight="1">
      <x:c r="A1397" s="2" t="str">
        <x:v>Ramp</x:v>
      </x:c>
      <x:c r="B1397" s="2" t="str">
        <x:v>Halves</x:v>
      </x:c>
      <x:c r="C1397" s="2" t="str">
        <x:v>Higher half</x:v>
      </x:c>
      <x:c r="D1397" s="28" t="n">
        <x:v>45323</x:v>
      </x:c>
      <x:c r="E1397" s="2" t="str">
        <x:v>2024Q1</x:v>
      </x:c>
      <x:c r="F1397" s="20" t="n">
        <x:v>55804.5</x:v>
      </x:c>
      <x:c r="G1397" s="20" t="n">
        <x:f>'Quarterly data'!$E$441</x:f>
        <x:v>55919.6333333333</x:v>
      </x:c>
      <x:c r="H1397" s="22" t="n">
        <x:f>100*F1397/G1397</x:f>
        <x:v>99.79410928421687</x:v>
      </x:c>
      <x:c r="I1397" s="24" t="n">
        <x:f>H1397/100-1</x:f>
        <x:v>-0.0020589071578313023</x:v>
      </x:c>
      <x:c r="J1397" s="26" t="n">
        <x:v>9</x:v>
      </x:c>
      <x:c r="K1397" s="7" t="b">
        <x:v>0</x:v>
      </x:c>
      <x:c r="L1397" s="2" t="str">
        <x:v>April 2026</x:v>
      </x:c>
      <x:c r="M1397" s="2" t="str">
        <x:v>https://datawrapper.dwcdn.net/wQR5S/23/dataset.csv</x:v>
      </x:c>
    </x:row>
    <x:row r="1398" ht="24" customHeight="1">
      <x:c r="A1398" s="2" t="str">
        <x:v>Ramp</x:v>
      </x:c>
      <x:c r="B1398" s="2" t="str">
        <x:v>Halves</x:v>
      </x:c>
      <x:c r="C1398" s="2" t="str">
        <x:v>Lower half</x:v>
      </x:c>
      <x:c r="D1398" s="28" t="n">
        <x:v>45352</x:v>
      </x:c>
      <x:c r="E1398" s="2" t="str">
        <x:v>2024Q1</x:v>
      </x:c>
      <x:c r="F1398" s="20" t="n">
        <x:v>78359.2</x:v>
      </x:c>
      <x:c r="G1398" s="20" t="n">
        <x:f>'Quarterly data'!$E$440</x:f>
        <x:v>76493.2</x:v>
      </x:c>
      <x:c r="H1398" s="22" t="n">
        <x:f>100*F1398/G1398</x:f>
        <x:v>102.43943252472116</x:v>
      </x:c>
      <x:c r="I1398" s="24" t="n">
        <x:f>H1398/100-1</x:f>
        <x:v>0.024394325247211635</x:v>
      </x:c>
      <x:c r="J1398" s="26" t="n">
        <x:v>9</x:v>
      </x:c>
      <x:c r="K1398" s="7" t="b">
        <x:v>0</x:v>
      </x:c>
      <x:c r="L1398" s="2" t="str">
        <x:v>April 2026</x:v>
      </x:c>
      <x:c r="M1398" s="2" t="str">
        <x:v>https://datawrapper.dwcdn.net/wQR5S/23/dataset.csv</x:v>
      </x:c>
    </x:row>
    <x:row r="1399" ht="24" customHeight="1">
      <x:c r="A1399" s="2" t="str">
        <x:v>Ramp</x:v>
      </x:c>
      <x:c r="B1399" s="2" t="str">
        <x:v>Halves</x:v>
      </x:c>
      <x:c r="C1399" s="2" t="str">
        <x:v>Higher half</x:v>
      </x:c>
      <x:c r="D1399" s="28" t="n">
        <x:v>45352</x:v>
      </x:c>
      <x:c r="E1399" s="2" t="str">
        <x:v>2024Q1</x:v>
      </x:c>
      <x:c r="F1399" s="20" t="n">
        <x:v>55768.8</x:v>
      </x:c>
      <x:c r="G1399" s="20" t="n">
        <x:f>'Quarterly data'!$E$441</x:f>
        <x:v>55919.6333333333</x:v>
      </x:c>
      <x:c r="H1399" s="22" t="n">
        <x:f>100*F1399/G1399</x:f>
        <x:v>99.73026766389151</x:v>
      </x:c>
      <x:c r="I1399" s="24" t="n">
        <x:f>H1399/100-1</x:f>
        <x:v>-0.002697323361084858</x:v>
      </x:c>
      <x:c r="J1399" s="26" t="n">
        <x:v>9</x:v>
      </x:c>
      <x:c r="K1399" s="7" t="b">
        <x:v>0</x:v>
      </x:c>
      <x:c r="L1399" s="2" t="str">
        <x:v>April 2026</x:v>
      </x:c>
      <x:c r="M1399" s="2" t="str">
        <x:v>https://datawrapper.dwcdn.net/wQR5S/23/dataset.csv</x:v>
      </x:c>
    </x:row>
    <x:row r="1400" ht="24" customHeight="1">
      <x:c r="A1400" s="2" t="str">
        <x:v>Ramp</x:v>
      </x:c>
      <x:c r="B1400" s="2" t="str">
        <x:v>Halves</x:v>
      </x:c>
      <x:c r="C1400" s="2" t="str">
        <x:v>Lower half</x:v>
      </x:c>
      <x:c r="D1400" s="28" t="n">
        <x:v>45383</x:v>
      </x:c>
      <x:c r="E1400" s="2" t="str">
        <x:v>2024Q2</x:v>
      </x:c>
      <x:c r="F1400" s="20" t="n">
        <x:v>78441.2</x:v>
      </x:c>
      <x:c r="G1400" s="20" t="n">
        <x:f>'Quarterly data'!$E$440</x:f>
        <x:v>76493.2</x:v>
      </x:c>
      <x:c r="H1400" s="22" t="n">
        <x:f>100*F1400/G1400</x:f>
        <x:v>102.54663159601115</x:v>
      </x:c>
      <x:c r="I1400" s="24" t="n">
        <x:f>H1400/100-1</x:f>
        <x:v>0.02546631596011162</x:v>
      </x:c>
      <x:c r="J1400" s="26" t="n">
        <x:v>9</x:v>
      </x:c>
      <x:c r="K1400" s="7" t="b">
        <x:v>0</x:v>
      </x:c>
      <x:c r="L1400" s="2" t="str">
        <x:v>April 2026</x:v>
      </x:c>
      <x:c r="M1400" s="2" t="str">
        <x:v>https://datawrapper.dwcdn.net/wQR5S/23/dataset.csv</x:v>
      </x:c>
    </x:row>
    <x:row r="1401" ht="24" customHeight="1">
      <x:c r="A1401" s="2" t="str">
        <x:v>Ramp</x:v>
      </x:c>
      <x:c r="B1401" s="2" t="str">
        <x:v>Halves</x:v>
      </x:c>
      <x:c r="C1401" s="2" t="str">
        <x:v>Higher half</x:v>
      </x:c>
      <x:c r="D1401" s="28" t="n">
        <x:v>45383</x:v>
      </x:c>
      <x:c r="E1401" s="2" t="str">
        <x:v>2024Q2</x:v>
      </x:c>
      <x:c r="F1401" s="20" t="n">
        <x:v>55750.7</x:v>
      </x:c>
      <x:c r="G1401" s="20" t="n">
        <x:f>'Quarterly data'!$E$441</x:f>
        <x:v>55919.6333333333</x:v>
      </x:c>
      <x:c r="H1401" s="22" t="n">
        <x:f>100*F1401/G1401</x:f>
        <x:v>99.69789978355848</x:v>
      </x:c>
      <x:c r="I1401" s="24" t="n">
        <x:f>H1401/100-1</x:f>
        <x:v>-0.003021002164415143</x:v>
      </x:c>
      <x:c r="J1401" s="26" t="n">
        <x:v>9</x:v>
      </x:c>
      <x:c r="K1401" s="7" t="b">
        <x:v>0</x:v>
      </x:c>
      <x:c r="L1401" s="2" t="str">
        <x:v>April 2026</x:v>
      </x:c>
      <x:c r="M1401" s="2" t="str">
        <x:v>https://datawrapper.dwcdn.net/wQR5S/23/dataset.csv</x:v>
      </x:c>
    </x:row>
    <x:row r="1402" ht="24" customHeight="1">
      <x:c r="A1402" s="2" t="str">
        <x:v>Ramp</x:v>
      </x:c>
      <x:c r="B1402" s="2" t="str">
        <x:v>Halves</x:v>
      </x:c>
      <x:c r="C1402" s="2" t="str">
        <x:v>Lower half</x:v>
      </x:c>
      <x:c r="D1402" s="28" t="n">
        <x:v>45413</x:v>
      </x:c>
      <x:c r="E1402" s="2" t="str">
        <x:v>2024Q2</x:v>
      </x:c>
      <x:c r="F1402" s="20" t="n">
        <x:v>78495.8</x:v>
      </x:c>
      <x:c r="G1402" s="20" t="n">
        <x:f>'Quarterly data'!$E$440</x:f>
        <x:v>76493.2</x:v>
      </x:c>
      <x:c r="H1402" s="22" t="n">
        <x:f>100*F1402/G1402</x:f>
        <x:v>102.61801048982132</x:v>
      </x:c>
      <x:c r="I1402" s="24" t="n">
        <x:f>H1402/100-1</x:f>
        <x:v>0.026180104898213097</x:v>
      </x:c>
      <x:c r="J1402" s="26" t="n">
        <x:v>9</x:v>
      </x:c>
      <x:c r="K1402" s="7" t="b">
        <x:v>0</x:v>
      </x:c>
      <x:c r="L1402" s="2" t="str">
        <x:v>April 2026</x:v>
      </x:c>
      <x:c r="M1402" s="2" t="str">
        <x:v>https://datawrapper.dwcdn.net/wQR5S/23/dataset.csv</x:v>
      </x:c>
    </x:row>
    <x:row r="1403" ht="24" customHeight="1">
      <x:c r="A1403" s="2" t="str">
        <x:v>Ramp</x:v>
      </x:c>
      <x:c r="B1403" s="2" t="str">
        <x:v>Halves</x:v>
      </x:c>
      <x:c r="C1403" s="2" t="str">
        <x:v>Higher half</x:v>
      </x:c>
      <x:c r="D1403" s="28" t="n">
        <x:v>45413</x:v>
      </x:c>
      <x:c r="E1403" s="2" t="str">
        <x:v>2024Q2</x:v>
      </x:c>
      <x:c r="F1403" s="20" t="n">
        <x:v>55742.7</x:v>
      </x:c>
      <x:c r="G1403" s="20" t="n">
        <x:f>'Quarterly data'!$E$441</x:f>
        <x:v>55919.6333333333</x:v>
      </x:c>
      <x:c r="H1403" s="22" t="n">
        <x:f>100*F1403/G1403</x:f>
        <x:v>99.68359353810742</x:v>
      </x:c>
      <x:c r="I1403" s="24" t="n">
        <x:f>H1403/100-1</x:f>
        <x:v>-0.0031640646189258215</x:v>
      </x:c>
      <x:c r="J1403" s="26" t="n">
        <x:v>9</x:v>
      </x:c>
      <x:c r="K1403" s="7" t="b">
        <x:v>0</x:v>
      </x:c>
      <x:c r="L1403" s="2" t="str">
        <x:v>April 2026</x:v>
      </x:c>
      <x:c r="M1403" s="2" t="str">
        <x:v>https://datawrapper.dwcdn.net/wQR5S/23/dataset.csv</x:v>
      </x:c>
    </x:row>
    <x:row r="1404" ht="24" customHeight="1">
      <x:c r="A1404" s="2" t="str">
        <x:v>Ramp</x:v>
      </x:c>
      <x:c r="B1404" s="2" t="str">
        <x:v>Halves</x:v>
      </x:c>
      <x:c r="C1404" s="2" t="str">
        <x:v>Lower half</x:v>
      </x:c>
      <x:c r="D1404" s="28" t="n">
        <x:v>45444</x:v>
      </x:c>
      <x:c r="E1404" s="2" t="str">
        <x:v>2024Q2</x:v>
      </x:c>
      <x:c r="F1404" s="20" t="n">
        <x:v>78572.9</x:v>
      </x:c>
      <x:c r="G1404" s="20" t="n">
        <x:f>'Quarterly data'!$E$440</x:f>
        <x:v>76493.2</x:v>
      </x:c>
      <x:c r="H1404" s="22" t="n">
        <x:f>100*F1404/G1404</x:f>
        <x:v>102.71880376294885</x:v>
      </x:c>
      <x:c r="I1404" s="24" t="n">
        <x:f>H1404/100-1</x:f>
        <x:v>0.027188037629488626</x:v>
      </x:c>
      <x:c r="J1404" s="26" t="n">
        <x:v>9</x:v>
      </x:c>
      <x:c r="K1404" s="7" t="b">
        <x:v>0</x:v>
      </x:c>
      <x:c r="L1404" s="2" t="str">
        <x:v>April 2026</x:v>
      </x:c>
      <x:c r="M1404" s="2" t="str">
        <x:v>https://datawrapper.dwcdn.net/wQR5S/23/dataset.csv</x:v>
      </x:c>
    </x:row>
    <x:row r="1405" ht="24" customHeight="1">
      <x:c r="A1405" s="2" t="str">
        <x:v>Ramp</x:v>
      </x:c>
      <x:c r="B1405" s="2" t="str">
        <x:v>Halves</x:v>
      </x:c>
      <x:c r="C1405" s="2" t="str">
        <x:v>Higher half</x:v>
      </x:c>
      <x:c r="D1405" s="28" t="n">
        <x:v>45444</x:v>
      </x:c>
      <x:c r="E1405" s="2" t="str">
        <x:v>2024Q2</x:v>
      </x:c>
      <x:c r="F1405" s="20" t="n">
        <x:v>55744.3</x:v>
      </x:c>
      <x:c r="G1405" s="20" t="n">
        <x:f>'Quarterly data'!$E$441</x:f>
        <x:v>55919.6333333333</x:v>
      </x:c>
      <x:c r="H1405" s="22" t="n">
        <x:f>100*F1405/G1405</x:f>
        <x:v>99.68645478719763</x:v>
      </x:c>
      <x:c r="I1405" s="24" t="n">
        <x:f>H1405/100-1</x:f>
        <x:v>-0.0031354521280236858</x:v>
      </x:c>
      <x:c r="J1405" s="26" t="n">
        <x:v>9</x:v>
      </x:c>
      <x:c r="K1405" s="7" t="b">
        <x:v>0</x:v>
      </x:c>
      <x:c r="L1405" s="2" t="str">
        <x:v>April 2026</x:v>
      </x:c>
      <x:c r="M1405" s="2" t="str">
        <x:v>https://datawrapper.dwcdn.net/wQR5S/23/dataset.csv</x:v>
      </x:c>
    </x:row>
    <x:row r="1406" ht="24" customHeight="1">
      <x:c r="A1406" s="2" t="str">
        <x:v>Ramp</x:v>
      </x:c>
      <x:c r="B1406" s="2" t="str">
        <x:v>Halves</x:v>
      </x:c>
      <x:c r="C1406" s="2" t="str">
        <x:v>Lower half</x:v>
      </x:c>
      <x:c r="D1406" s="28" t="n">
        <x:v>45474</x:v>
      </x:c>
      <x:c r="E1406" s="2" t="str">
        <x:v>2024Q3</x:v>
      </x:c>
      <x:c r="F1406" s="20" t="n">
        <x:v>78619.3</x:v>
      </x:c>
      <x:c r="G1406" s="20" t="n">
        <x:f>'Quarterly data'!$E$440</x:f>
        <x:v>76493.2</x:v>
      </x:c>
      <x:c r="H1406" s="22" t="n">
        <x:f>100*F1406/G1406</x:f>
        <x:v>102.77946274963004</x:v>
      </x:c>
      <x:c r="I1406" s="24" t="n">
        <x:f>H1406/100-1</x:f>
        <x:v>0.02779462749630035</x:v>
      </x:c>
      <x:c r="J1406" s="26" t="n">
        <x:v>9</x:v>
      </x:c>
      <x:c r="K1406" s="7" t="b">
        <x:v>0</x:v>
      </x:c>
      <x:c r="L1406" s="2" t="str">
        <x:v>April 2026</x:v>
      </x:c>
      <x:c r="M1406" s="2" t="str">
        <x:v>https://datawrapper.dwcdn.net/wQR5S/23/dataset.csv</x:v>
      </x:c>
    </x:row>
    <x:row r="1407" ht="24" customHeight="1">
      <x:c r="A1407" s="2" t="str">
        <x:v>Ramp</x:v>
      </x:c>
      <x:c r="B1407" s="2" t="str">
        <x:v>Halves</x:v>
      </x:c>
      <x:c r="C1407" s="2" t="str">
        <x:v>Higher half</x:v>
      </x:c>
      <x:c r="D1407" s="28" t="n">
        <x:v>45474</x:v>
      </x:c>
      <x:c r="E1407" s="2" t="str">
        <x:v>2024Q3</x:v>
      </x:c>
      <x:c r="F1407" s="20" t="n">
        <x:v>55688.7</x:v>
      </x:c>
      <x:c r="G1407" s="20" t="n">
        <x:f>'Quarterly data'!$E$441</x:f>
        <x:v>55919.6333333333</x:v>
      </x:c>
      <x:c r="H1407" s="22" t="n">
        <x:f>100*F1407/G1407</x:f>
        <x:v>99.58702638131275</x:v>
      </x:c>
      <x:c r="I1407" s="24" t="n">
        <x:f>H1407/100-1</x:f>
        <x:v>-0.004129736186872512</x:v>
      </x:c>
      <x:c r="J1407" s="26" t="n">
        <x:v>9</x:v>
      </x:c>
      <x:c r="K1407" s="7" t="b">
        <x:v>0</x:v>
      </x:c>
      <x:c r="L1407" s="2" t="str">
        <x:v>April 2026</x:v>
      </x:c>
      <x:c r="M1407" s="2" t="str">
        <x:v>https://datawrapper.dwcdn.net/wQR5S/23/dataset.csv</x:v>
      </x:c>
    </x:row>
    <x:row r="1408" ht="24" customHeight="1">
      <x:c r="A1408" s="2" t="str">
        <x:v>Ramp</x:v>
      </x:c>
      <x:c r="B1408" s="2" t="str">
        <x:v>Halves</x:v>
      </x:c>
      <x:c r="C1408" s="2" t="str">
        <x:v>Lower half</x:v>
      </x:c>
      <x:c r="D1408" s="28" t="n">
        <x:v>45505</x:v>
      </x:c>
      <x:c r="E1408" s="2" t="str">
        <x:v>2024Q3</x:v>
      </x:c>
      <x:c r="F1408" s="20" t="n">
        <x:v>78660.7</x:v>
      </x:c>
      <x:c r="G1408" s="20" t="n">
        <x:f>'Quarterly data'!$E$440</x:f>
        <x:v>76493.2</x:v>
      </x:c>
      <x:c r="H1408" s="22" t="n">
        <x:f>100*F1408/G1408</x:f>
        <x:v>102.833585207574</x:v>
      </x:c>
      <x:c r="I1408" s="24" t="n">
        <x:f>H1408/100-1</x:f>
        <x:v>0.028335852075739965</x:v>
      </x:c>
      <x:c r="J1408" s="26" t="n">
        <x:v>9</x:v>
      </x:c>
      <x:c r="K1408" s="7" t="b">
        <x:v>0</x:v>
      </x:c>
      <x:c r="L1408" s="2" t="str">
        <x:v>April 2026</x:v>
      </x:c>
      <x:c r="M1408" s="2" t="str">
        <x:v>https://datawrapper.dwcdn.net/wQR5S/23/dataset.csv</x:v>
      </x:c>
    </x:row>
    <x:row r="1409" ht="24" customHeight="1">
      <x:c r="A1409" s="2" t="str">
        <x:v>Ramp</x:v>
      </x:c>
      <x:c r="B1409" s="2" t="str">
        <x:v>Halves</x:v>
      </x:c>
      <x:c r="C1409" s="2" t="str">
        <x:v>Higher half</x:v>
      </x:c>
      <x:c r="D1409" s="28" t="n">
        <x:v>45505</x:v>
      </x:c>
      <x:c r="E1409" s="2" t="str">
        <x:v>2024Q3</x:v>
      </x:c>
      <x:c r="F1409" s="20" t="n">
        <x:v>55620.8</x:v>
      </x:c>
      <x:c r="G1409" s="20" t="n">
        <x:f>'Quarterly data'!$E$441</x:f>
        <x:v>55919.6333333333</x:v>
      </x:c>
      <x:c r="H1409" s="22" t="n">
        <x:f>100*F1409/G1409</x:f>
        <x:v>99.46560212304688</x:v>
      </x:c>
      <x:c r="I1409" s="24" t="n">
        <x:f>H1409/100-1</x:f>
        <x:v>-0.005343978769531188</x:v>
      </x:c>
      <x:c r="J1409" s="26" t="n">
        <x:v>9</x:v>
      </x:c>
      <x:c r="K1409" s="7" t="b">
        <x:v>0</x:v>
      </x:c>
      <x:c r="L1409" s="2" t="str">
        <x:v>April 2026</x:v>
      </x:c>
      <x:c r="M1409" s="2" t="str">
        <x:v>https://datawrapper.dwcdn.net/wQR5S/23/dataset.csv</x:v>
      </x:c>
    </x:row>
    <x:row r="1410" ht="24" customHeight="1">
      <x:c r="A1410" s="2" t="str">
        <x:v>Ramp</x:v>
      </x:c>
      <x:c r="B1410" s="2" t="str">
        <x:v>Halves</x:v>
      </x:c>
      <x:c r="C1410" s="2" t="str">
        <x:v>Lower half</x:v>
      </x:c>
      <x:c r="D1410" s="28" t="n">
        <x:v>45536</x:v>
      </x:c>
      <x:c r="E1410" s="2" t="str">
        <x:v>2024Q3</x:v>
      </x:c>
      <x:c r="F1410" s="20" t="n">
        <x:v>78812.6</x:v>
      </x:c>
      <x:c r="G1410" s="20" t="n">
        <x:f>'Quarterly data'!$E$440</x:f>
        <x:v>76493.2</x:v>
      </x:c>
      <x:c r="H1410" s="22" t="n">
        <x:f>100*F1410/G1410</x:f>
        <x:v>103.03216495061001</x:v>
      </x:c>
      <x:c r="I1410" s="24" t="n">
        <x:f>H1410/100-1</x:f>
        <x:v>0.030321649506100057</x:v>
      </x:c>
      <x:c r="J1410" s="26" t="n">
        <x:v>9</x:v>
      </x:c>
      <x:c r="K1410" s="7" t="b">
        <x:v>0</x:v>
      </x:c>
      <x:c r="L1410" s="2" t="str">
        <x:v>April 2026</x:v>
      </x:c>
      <x:c r="M1410" s="2" t="str">
        <x:v>https://datawrapper.dwcdn.net/wQR5S/23/dataset.csv</x:v>
      </x:c>
    </x:row>
    <x:row r="1411" ht="24" customHeight="1">
      <x:c r="A1411" s="2" t="str">
        <x:v>Ramp</x:v>
      </x:c>
      <x:c r="B1411" s="2" t="str">
        <x:v>Halves</x:v>
      </x:c>
      <x:c r="C1411" s="2" t="str">
        <x:v>Higher half</x:v>
      </x:c>
      <x:c r="D1411" s="28" t="n">
        <x:v>45536</x:v>
      </x:c>
      <x:c r="E1411" s="2" t="str">
        <x:v>2024Q3</x:v>
      </x:c>
      <x:c r="F1411" s="20" t="n">
        <x:v>55609.7</x:v>
      </x:c>
      <x:c r="G1411" s="20" t="n">
        <x:f>'Quarterly data'!$E$441</x:f>
        <x:v>55919.6333333333</x:v>
      </x:c>
      <x:c r="H1411" s="22" t="n">
        <x:f>100*F1411/G1411</x:f>
        <x:v>99.44575220748354</x:v>
      </x:c>
      <x:c r="I1411" s="24" t="n">
        <x:f>H1411/100-1</x:f>
        <x:v>-0.005542477925164602</x:v>
      </x:c>
      <x:c r="J1411" s="26" t="n">
        <x:v>9</x:v>
      </x:c>
      <x:c r="K1411" s="7" t="b">
        <x:v>0</x:v>
      </x:c>
      <x:c r="L1411" s="2" t="str">
        <x:v>April 2026</x:v>
      </x:c>
      <x:c r="M1411" s="2" t="str">
        <x:v>https://datawrapper.dwcdn.net/wQR5S/23/dataset.csv</x:v>
      </x:c>
    </x:row>
    <x:row r="1412" ht="24" customHeight="1">
      <x:c r="A1412" s="2" t="str">
        <x:v>Ramp</x:v>
      </x:c>
      <x:c r="B1412" s="2" t="str">
        <x:v>Halves</x:v>
      </x:c>
      <x:c r="C1412" s="2" t="str">
        <x:v>Lower half</x:v>
      </x:c>
      <x:c r="D1412" s="28" t="n">
        <x:v>45566</x:v>
      </x:c>
      <x:c r="E1412" s="2" t="str">
        <x:v>2024Q4</x:v>
      </x:c>
      <x:c r="F1412" s="20" t="n">
        <x:v>78916.7</x:v>
      </x:c>
      <x:c r="G1412" s="20" t="n">
        <x:f>'Quarterly data'!$E$440</x:f>
        <x:v>76493.2</x:v>
      </x:c>
      <x:c r="H1412" s="22" t="n">
        <x:f>100*F1412/G1412</x:f>
        <x:v>103.1682554789184</x:v>
      </x:c>
      <x:c r="I1412" s="24" t="n">
        <x:f>H1412/100-1</x:f>
        <x:v>0.031682554789183914</x:v>
      </x:c>
      <x:c r="J1412" s="26" t="n">
        <x:v>9</x:v>
      </x:c>
      <x:c r="K1412" s="7" t="b">
        <x:v>0</x:v>
      </x:c>
      <x:c r="L1412" s="2" t="str">
        <x:v>April 2026</x:v>
      </x:c>
      <x:c r="M1412" s="2" t="str">
        <x:v>https://datawrapper.dwcdn.net/wQR5S/23/dataset.csv</x:v>
      </x:c>
    </x:row>
    <x:row r="1413" ht="24" customHeight="1">
      <x:c r="A1413" s="2" t="str">
        <x:v>Ramp</x:v>
      </x:c>
      <x:c r="B1413" s="2" t="str">
        <x:v>Halves</x:v>
      </x:c>
      <x:c r="C1413" s="2" t="str">
        <x:v>Higher half</x:v>
      </x:c>
      <x:c r="D1413" s="28" t="n">
        <x:v>45566</x:v>
      </x:c>
      <x:c r="E1413" s="2" t="str">
        <x:v>2024Q4</x:v>
      </x:c>
      <x:c r="F1413" s="20" t="n">
        <x:v>55500.1</x:v>
      </x:c>
      <x:c r="G1413" s="20" t="n">
        <x:f>'Quarterly data'!$E$441</x:f>
        <x:v>55919.6333333333</x:v>
      </x:c>
      <x:c r="H1413" s="22" t="n">
        <x:f>100*F1413/G1413</x:f>
        <x:v>99.249756644804</x:v>
      </x:c>
      <x:c r="I1413" s="24" t="n">
        <x:f>H1413/100-1</x:f>
        <x:v>-0.007502433551960008</x:v>
      </x:c>
      <x:c r="J1413" s="26" t="n">
        <x:v>9</x:v>
      </x:c>
      <x:c r="K1413" s="7" t="b">
        <x:v>0</x:v>
      </x:c>
      <x:c r="L1413" s="2" t="str">
        <x:v>April 2026</x:v>
      </x:c>
      <x:c r="M1413" s="2" t="str">
        <x:v>https://datawrapper.dwcdn.net/wQR5S/23/dataset.csv</x:v>
      </x:c>
    </x:row>
    <x:row r="1414" ht="24" customHeight="1">
      <x:c r="A1414" s="2" t="str">
        <x:v>Ramp</x:v>
      </x:c>
      <x:c r="B1414" s="2" t="str">
        <x:v>Halves</x:v>
      </x:c>
      <x:c r="C1414" s="2" t="str">
        <x:v>Lower half</x:v>
      </x:c>
      <x:c r="D1414" s="28" t="n">
        <x:v>45597</x:v>
      </x:c>
      <x:c r="E1414" s="2" t="str">
        <x:v>2024Q4</x:v>
      </x:c>
      <x:c r="F1414" s="20" t="n">
        <x:v>78997.2</x:v>
      </x:c>
      <x:c r="G1414" s="20" t="n">
        <x:f>'Quarterly data'!$E$440</x:f>
        <x:v>76493.2</x:v>
      </x:c>
      <x:c r="H1414" s="22" t="n">
        <x:f>100*F1414/G1414</x:f>
        <x:v>103.27349359158723</x:v>
      </x:c>
      <x:c r="I1414" s="24" t="n">
        <x:f>H1414/100-1</x:f>
        <x:v>0.032734935915872176</x:v>
      </x:c>
      <x:c r="J1414" s="26" t="n">
        <x:v>9</x:v>
      </x:c>
      <x:c r="K1414" s="7" t="b">
        <x:v>0</x:v>
      </x:c>
      <x:c r="L1414" s="2" t="str">
        <x:v>April 2026</x:v>
      </x:c>
      <x:c r="M1414" s="2" t="str">
        <x:v>https://datawrapper.dwcdn.net/wQR5S/23/dataset.csv</x:v>
      </x:c>
    </x:row>
    <x:row r="1415" ht="24" customHeight="1">
      <x:c r="A1415" s="2" t="str">
        <x:v>Ramp</x:v>
      </x:c>
      <x:c r="B1415" s="2" t="str">
        <x:v>Halves</x:v>
      </x:c>
      <x:c r="C1415" s="2" t="str">
        <x:v>Higher half</x:v>
      </x:c>
      <x:c r="D1415" s="28" t="n">
        <x:v>45597</x:v>
      </x:c>
      <x:c r="E1415" s="2" t="str">
        <x:v>2024Q4</x:v>
      </x:c>
      <x:c r="F1415" s="20" t="n">
        <x:v>55537.5</x:v>
      </x:c>
      <x:c r="G1415" s="20" t="n">
        <x:f>'Quarterly data'!$E$441</x:f>
        <x:v>55919.6333333333</x:v>
      </x:c>
      <x:c r="H1415" s="22" t="n">
        <x:f>100*F1415/G1415</x:f>
        <x:v>99.3166383422877</x:v>
      </x:c>
      <x:c r="I1415" s="24" t="n">
        <x:f>H1415/100-1</x:f>
        <x:v>-0.006833616577123003</x:v>
      </x:c>
      <x:c r="J1415" s="26" t="n">
        <x:v>9</x:v>
      </x:c>
      <x:c r="K1415" s="7" t="b">
        <x:v>0</x:v>
      </x:c>
      <x:c r="L1415" s="2" t="str">
        <x:v>April 2026</x:v>
      </x:c>
      <x:c r="M1415" s="2" t="str">
        <x:v>https://datawrapper.dwcdn.net/wQR5S/23/dataset.csv</x:v>
      </x:c>
    </x:row>
    <x:row r="1416" ht="24" customHeight="1">
      <x:c r="A1416" s="2" t="str">
        <x:v>Ramp</x:v>
      </x:c>
      <x:c r="B1416" s="2" t="str">
        <x:v>Halves</x:v>
      </x:c>
      <x:c r="C1416" s="2" t="str">
        <x:v>Lower half</x:v>
      </x:c>
      <x:c r="D1416" s="28" t="n">
        <x:v>45627</x:v>
      </x:c>
      <x:c r="E1416" s="2" t="str">
        <x:v>2024Q4</x:v>
      </x:c>
      <x:c r="F1416" s="20" t="n">
        <x:v>79171.4</x:v>
      </x:c>
      <x:c r="G1416" s="20" t="n">
        <x:f>'Quarterly data'!$E$440</x:f>
        <x:v>76493.2</x:v>
      </x:c>
      <x:c r="H1416" s="22" t="n">
        <x:f>100*F1416/G1416</x:f>
        <x:v>103.50122625279108</x:v>
      </x:c>
      <x:c r="I1416" s="24" t="n">
        <x:f>H1416/100-1</x:f>
        <x:v>0.03501226252791079</x:v>
      </x:c>
      <x:c r="J1416" s="26" t="n">
        <x:v>9</x:v>
      </x:c>
      <x:c r="K1416" s="7" t="b">
        <x:v>0</x:v>
      </x:c>
      <x:c r="L1416" s="2" t="str">
        <x:v>April 2026</x:v>
      </x:c>
      <x:c r="M1416" s="2" t="str">
        <x:v>https://datawrapper.dwcdn.net/wQR5S/23/dataset.csv</x:v>
      </x:c>
    </x:row>
    <x:row r="1417" ht="24" customHeight="1">
      <x:c r="A1417" s="2" t="str">
        <x:v>Ramp</x:v>
      </x:c>
      <x:c r="B1417" s="2" t="str">
        <x:v>Halves</x:v>
      </x:c>
      <x:c r="C1417" s="2" t="str">
        <x:v>Higher half</x:v>
      </x:c>
      <x:c r="D1417" s="28" t="n">
        <x:v>45627</x:v>
      </x:c>
      <x:c r="E1417" s="2" t="str">
        <x:v>2024Q4</x:v>
      </x:c>
      <x:c r="F1417" s="20" t="n">
        <x:v>55575.6</x:v>
      </x:c>
      <x:c r="G1417" s="20" t="n">
        <x:f>'Quarterly data'!$E$441</x:f>
        <x:v>55919.6333333333</x:v>
      </x:c>
      <x:c r="H1417" s="22" t="n">
        <x:f>100*F1417/G1417</x:f>
        <x:v>99.38477183624839</x:v>
      </x:c>
      <x:c r="I1417" s="24" t="n">
        <x:f>H1417/100-1</x:f>
        <x:v>-0.006152281637516133</x:v>
      </x:c>
      <x:c r="J1417" s="26" t="n">
        <x:v>9</x:v>
      </x:c>
      <x:c r="K1417" s="7" t="b">
        <x:v>0</x:v>
      </x:c>
      <x:c r="L1417" s="2" t="str">
        <x:v>April 2026</x:v>
      </x:c>
      <x:c r="M1417" s="2" t="str">
        <x:v>https://datawrapper.dwcdn.net/wQR5S/23/dataset.csv</x:v>
      </x:c>
    </x:row>
    <x:row r="1418" ht="24" customHeight="1">
      <x:c r="A1418" s="2" t="str">
        <x:v>Ramp</x:v>
      </x:c>
      <x:c r="B1418" s="2" t="str">
        <x:v>Halves</x:v>
      </x:c>
      <x:c r="C1418" s="2" t="str">
        <x:v>Lower half</x:v>
      </x:c>
      <x:c r="D1418" s="28" t="n">
        <x:v>45658</x:v>
      </x:c>
      <x:c r="E1418" s="2" t="str">
        <x:v>2025Q1</x:v>
      </x:c>
      <x:c r="F1418" s="20" t="n">
        <x:v>79193.6</x:v>
      </x:c>
      <x:c r="G1418" s="20" t="n">
        <x:f>'Quarterly data'!$E$440</x:f>
        <x:v>76493.2</x:v>
      </x:c>
      <x:c r="H1418" s="22" t="n">
        <x:f>100*F1418/G1418</x:f>
        <x:v>103.53024844038426</x:v>
      </x:c>
      <x:c r="I1418" s="24" t="n">
        <x:f>H1418/100-1</x:f>
        <x:v>0.03530248440384254</x:v>
      </x:c>
      <x:c r="J1418" s="26" t="n">
        <x:v>9</x:v>
      </x:c>
      <x:c r="K1418" s="7" t="b">
        <x:v>0</x:v>
      </x:c>
      <x:c r="L1418" s="2" t="str">
        <x:v>April 2026</x:v>
      </x:c>
      <x:c r="M1418" s="2" t="str">
        <x:v>https://datawrapper.dwcdn.net/wQR5S/23/dataset.csv</x:v>
      </x:c>
    </x:row>
    <x:row r="1419" ht="24" customHeight="1">
      <x:c r="A1419" s="2" t="str">
        <x:v>Ramp</x:v>
      </x:c>
      <x:c r="B1419" s="2" t="str">
        <x:v>Halves</x:v>
      </x:c>
      <x:c r="C1419" s="2" t="str">
        <x:v>Higher half</x:v>
      </x:c>
      <x:c r="D1419" s="28" t="n">
        <x:v>45658</x:v>
      </x:c>
      <x:c r="E1419" s="2" t="str">
        <x:v>2025Q1</x:v>
      </x:c>
      <x:c r="F1419" s="20" t="n">
        <x:v>55476.4</x:v>
      </x:c>
      <x:c r="G1419" s="20" t="n">
        <x:f>'Quarterly data'!$E$441</x:f>
        <x:v>55919.6333333333</x:v>
      </x:c>
      <x:c r="H1419" s="22" t="n">
        <x:f>100*F1419/G1419</x:f>
        <x:v>99.20737439265523</x:v>
      </x:c>
      <x:c r="I1419" s="24" t="n">
        <x:f>H1419/100-1</x:f>
        <x:v>-0.007926256073447768</x:v>
      </x:c>
      <x:c r="J1419" s="26" t="n">
        <x:v>9</x:v>
      </x:c>
      <x:c r="K1419" s="7" t="b">
        <x:v>0</x:v>
      </x:c>
      <x:c r="L1419" s="2" t="str">
        <x:v>April 2026</x:v>
      </x:c>
      <x:c r="M1419" s="2" t="str">
        <x:v>https://datawrapper.dwcdn.net/wQR5S/23/dataset.csv</x:v>
      </x:c>
    </x:row>
    <x:row r="1420" ht="24" customHeight="1">
      <x:c r="A1420" s="2" t="str">
        <x:v>Ramp</x:v>
      </x:c>
      <x:c r="B1420" s="2" t="str">
        <x:v>Halves</x:v>
      </x:c>
      <x:c r="C1420" s="2" t="str">
        <x:v>Lower half</x:v>
      </x:c>
      <x:c r="D1420" s="28" t="n">
        <x:v>45689</x:v>
      </x:c>
      <x:c r="E1420" s="2" t="str">
        <x:v>2025Q1</x:v>
      </x:c>
      <x:c r="F1420" s="20" t="n">
        <x:v>79218.6</x:v>
      </x:c>
      <x:c r="G1420" s="20" t="n">
        <x:f>'Quarterly data'!$E$440</x:f>
        <x:v>76493.2</x:v>
      </x:c>
      <x:c r="H1420" s="22" t="n">
        <x:f>100*F1420/G1420</x:f>
        <x:v>103.56293108407023</x:v>
      </x:c>
      <x:c r="I1420" s="24" t="n">
        <x:f>H1420/100-1</x:f>
        <x:v>0.0356293108407022</x:v>
      </x:c>
      <x:c r="J1420" s="26" t="n">
        <x:v>9</x:v>
      </x:c>
      <x:c r="K1420" s="7" t="b">
        <x:v>0</x:v>
      </x:c>
      <x:c r="L1420" s="2" t="str">
        <x:v>April 2026</x:v>
      </x:c>
      <x:c r="M1420" s="2" t="str">
        <x:v>https://datawrapper.dwcdn.net/wQR5S/23/dataset.csv</x:v>
      </x:c>
    </x:row>
    <x:row r="1421" ht="24" customHeight="1">
      <x:c r="A1421" s="2" t="str">
        <x:v>Ramp</x:v>
      </x:c>
      <x:c r="B1421" s="2" t="str">
        <x:v>Halves</x:v>
      </x:c>
      <x:c r="C1421" s="2" t="str">
        <x:v>Higher half</x:v>
      </x:c>
      <x:c r="D1421" s="28" t="n">
        <x:v>45689</x:v>
      </x:c>
      <x:c r="E1421" s="2" t="str">
        <x:v>2025Q1</x:v>
      </x:c>
      <x:c r="F1421" s="20" t="n">
        <x:v>55490.2</x:v>
      </x:c>
      <x:c r="G1421" s="20" t="n">
        <x:f>'Quarterly data'!$E$441</x:f>
        <x:v>55919.6333333333</x:v>
      </x:c>
      <x:c r="H1421" s="22" t="n">
        <x:f>100*F1421/G1421</x:f>
        <x:v>99.23205266605831</x:v>
      </x:c>
      <x:c r="I1421" s="24" t="n">
        <x:f>H1421/100-1</x:f>
        <x:v>-0.007679473339416876</x:v>
      </x:c>
      <x:c r="J1421" s="26" t="n">
        <x:v>9</x:v>
      </x:c>
      <x:c r="K1421" s="7" t="b">
        <x:v>0</x:v>
      </x:c>
      <x:c r="L1421" s="2" t="str">
        <x:v>April 2026</x:v>
      </x:c>
      <x:c r="M1421" s="2" t="str">
        <x:v>https://datawrapper.dwcdn.net/wQR5S/23/dataset.csv</x:v>
      </x:c>
    </x:row>
    <x:row r="1422" ht="24" customHeight="1">
      <x:c r="A1422" s="2" t="str">
        <x:v>Ramp</x:v>
      </x:c>
      <x:c r="B1422" s="2" t="str">
        <x:v>Halves</x:v>
      </x:c>
      <x:c r="C1422" s="2" t="str">
        <x:v>Lower half</x:v>
      </x:c>
      <x:c r="D1422" s="28" t="n">
        <x:v>45717</x:v>
      </x:c>
      <x:c r="E1422" s="2" t="str">
        <x:v>2025Q1</x:v>
      </x:c>
      <x:c r="F1422" s="20" t="n">
        <x:v>79324.8</x:v>
      </x:c>
      <x:c r="G1422" s="20" t="n">
        <x:f>'Quarterly data'!$E$440</x:f>
        <x:v>76493.2</x:v>
      </x:c>
      <x:c r="H1422" s="22" t="n">
        <x:f>100*F1422/G1422</x:f>
        <x:v>103.70176695444825</x:v>
      </x:c>
      <x:c r="I1422" s="24" t="n">
        <x:f>H1422/100-1</x:f>
        <x:v>0.03701766954448238</x:v>
      </x:c>
      <x:c r="J1422" s="26" t="n">
        <x:v>9</x:v>
      </x:c>
      <x:c r="K1422" s="7" t="b">
        <x:v>0</x:v>
      </x:c>
      <x:c r="L1422" s="2" t="str">
        <x:v>April 2026</x:v>
      </x:c>
      <x:c r="M1422" s="2" t="str">
        <x:v>https://datawrapper.dwcdn.net/wQR5S/23/dataset.csv</x:v>
      </x:c>
    </x:row>
    <x:row r="1423" ht="24" customHeight="1">
      <x:c r="A1423" s="2" t="str">
        <x:v>Ramp</x:v>
      </x:c>
      <x:c r="B1423" s="2" t="str">
        <x:v>Halves</x:v>
      </x:c>
      <x:c r="C1423" s="2" t="str">
        <x:v>Higher half</x:v>
      </x:c>
      <x:c r="D1423" s="28" t="n">
        <x:v>45717</x:v>
      </x:c>
      <x:c r="E1423" s="2" t="str">
        <x:v>2025Q1</x:v>
      </x:c>
      <x:c r="F1423" s="20" t="n">
        <x:v>55451.1</x:v>
      </x:c>
      <x:c r="G1423" s="20" t="n">
        <x:f>'Quarterly data'!$E$441</x:f>
        <x:v>55919.6333333333</x:v>
      </x:c>
      <x:c r="H1423" s="22" t="n">
        <x:f>100*F1423/G1423</x:f>
        <x:v>99.16213089141625</x:v>
      </x:c>
      <x:c r="I1423" s="24" t="n">
        <x:f>H1423/100-1</x:f>
        <x:v>-0.008378691085837442</x:v>
      </x:c>
      <x:c r="J1423" s="26" t="n">
        <x:v>9</x:v>
      </x:c>
      <x:c r="K1423" s="7" t="b">
        <x:v>0</x:v>
      </x:c>
      <x:c r="L1423" s="2" t="str">
        <x:v>April 2026</x:v>
      </x:c>
      <x:c r="M1423" s="2" t="str">
        <x:v>https://datawrapper.dwcdn.net/wQR5S/23/dataset.csv</x:v>
      </x:c>
    </x:row>
    <x:row r="1424" ht="24" customHeight="1">
      <x:c r="A1424" s="2" t="str">
        <x:v>Ramp</x:v>
      </x:c>
      <x:c r="B1424" s="2" t="str">
        <x:v>Halves</x:v>
      </x:c>
      <x:c r="C1424" s="2" t="str">
        <x:v>Lower half</x:v>
      </x:c>
      <x:c r="D1424" s="28" t="n">
        <x:v>45748</x:v>
      </x:c>
      <x:c r="E1424" s="2" t="str">
        <x:v>2025Q2</x:v>
      </x:c>
      <x:c r="F1424" s="20" t="n">
        <x:v>79407.6</x:v>
      </x:c>
      <x:c r="G1424" s="20" t="n">
        <x:f>'Quarterly data'!$E$440</x:f>
        <x:v>76493.2</x:v>
      </x:c>
      <x:c r="H1424" s="22" t="n">
        <x:f>100*F1424/G1424</x:f>
        <x:v>103.8100118703362</x:v>
      </x:c>
      <x:c r="I1424" s="24" t="n">
        <x:f>H1424/100-1</x:f>
        <x:v>0.03810011870336205</x:v>
      </x:c>
      <x:c r="J1424" s="26" t="n">
        <x:v>9</x:v>
      </x:c>
      <x:c r="K1424" s="7" t="b">
        <x:v>0</x:v>
      </x:c>
      <x:c r="L1424" s="2" t="str">
        <x:v>April 2026</x:v>
      </x:c>
      <x:c r="M1424" s="2" t="str">
        <x:v>https://datawrapper.dwcdn.net/wQR5S/23/dataset.csv</x:v>
      </x:c>
    </x:row>
    <x:row r="1425" ht="24" customHeight="1">
      <x:c r="A1425" s="2" t="str">
        <x:v>Ramp</x:v>
      </x:c>
      <x:c r="B1425" s="2" t="str">
        <x:v>Halves</x:v>
      </x:c>
      <x:c r="C1425" s="2" t="str">
        <x:v>Higher half</x:v>
      </x:c>
      <x:c r="D1425" s="28" t="n">
        <x:v>45748</x:v>
      </x:c>
      <x:c r="E1425" s="2" t="str">
        <x:v>2025Q2</x:v>
      </x:c>
      <x:c r="F1425" s="20" t="n">
        <x:v>55466.7</x:v>
      </x:c>
      <x:c r="G1425" s="20" t="n">
        <x:f>'Quarterly data'!$E$441</x:f>
        <x:v>55919.6333333333</x:v>
      </x:c>
      <x:c r="H1425" s="22" t="n">
        <x:f>100*F1425/G1425</x:f>
        <x:v>99.19002807004581</x:v>
      </x:c>
      <x:c r="I1425" s="24" t="n">
        <x:f>H1425/100-1</x:f>
        <x:v>-0.008099719299541897</x:v>
      </x:c>
      <x:c r="J1425" s="26" t="n">
        <x:v>9</x:v>
      </x:c>
      <x:c r="K1425" s="7" t="b">
        <x:v>0</x:v>
      </x:c>
      <x:c r="L1425" s="2" t="str">
        <x:v>April 2026</x:v>
      </x:c>
      <x:c r="M1425" s="2" t="str">
        <x:v>https://datawrapper.dwcdn.net/wQR5S/23/dataset.csv</x:v>
      </x:c>
    </x:row>
    <x:row r="1426" ht="24" customHeight="1">
      <x:c r="A1426" s="2" t="str">
        <x:v>Ramp</x:v>
      </x:c>
      <x:c r="B1426" s="2" t="str">
        <x:v>Halves</x:v>
      </x:c>
      <x:c r="C1426" s="2" t="str">
        <x:v>Lower half</x:v>
      </x:c>
      <x:c r="D1426" s="28" t="n">
        <x:v>45778</x:v>
      </x:c>
      <x:c r="E1426" s="2" t="str">
        <x:v>2025Q2</x:v>
      </x:c>
      <x:c r="F1426" s="20" t="n">
        <x:v>79457.1</x:v>
      </x:c>
      <x:c r="G1426" s="20" t="n">
        <x:f>'Quarterly data'!$E$440</x:f>
        <x:v>76493.2</x:v>
      </x:c>
      <x:c r="H1426" s="22" t="n">
        <x:f>100*F1426/G1426</x:f>
        <x:v>103.87472350483444</x:v>
      </x:c>
      <x:c r="I1426" s="24" t="n">
        <x:f>H1426/100-1</x:f>
        <x:v>0.03874723504834443</x:v>
      </x:c>
      <x:c r="J1426" s="26" t="n">
        <x:v>9</x:v>
      </x:c>
      <x:c r="K1426" s="7" t="b">
        <x:v>0</x:v>
      </x:c>
      <x:c r="L1426" s="2" t="str">
        <x:v>April 2026</x:v>
      </x:c>
      <x:c r="M1426" s="2" t="str">
        <x:v>https://datawrapper.dwcdn.net/wQR5S/23/dataset.csv</x:v>
      </x:c>
    </x:row>
    <x:row r="1427" ht="24" customHeight="1">
      <x:c r="A1427" s="2" t="str">
        <x:v>Ramp</x:v>
      </x:c>
      <x:c r="B1427" s="2" t="str">
        <x:v>Halves</x:v>
      </x:c>
      <x:c r="C1427" s="2" t="str">
        <x:v>Higher half</x:v>
      </x:c>
      <x:c r="D1427" s="28" t="n">
        <x:v>45778</x:v>
      </x:c>
      <x:c r="E1427" s="2" t="str">
        <x:v>2025Q2</x:v>
      </x:c>
      <x:c r="F1427" s="20" t="n">
        <x:v>55437.8</x:v>
      </x:c>
      <x:c r="G1427" s="20" t="n">
        <x:f>'Quarterly data'!$E$441</x:f>
        <x:v>55919.6333333333</x:v>
      </x:c>
      <x:c r="H1427" s="22" t="n">
        <x:f>100*F1427/G1427</x:f>
        <x:v>99.13834675835386</x:v>
      </x:c>
      <x:c r="I1427" s="24" t="n">
        <x:f>H1427/100-1</x:f>
        <x:v>-0.008616532416461431</x:v>
      </x:c>
      <x:c r="J1427" s="26" t="n">
        <x:v>9</x:v>
      </x:c>
      <x:c r="K1427" s="7" t="b">
        <x:v>0</x:v>
      </x:c>
      <x:c r="L1427" s="2" t="str">
        <x:v>April 2026</x:v>
      </x:c>
      <x:c r="M1427" s="2" t="str">
        <x:v>https://datawrapper.dwcdn.net/wQR5S/23/dataset.csv</x:v>
      </x:c>
    </x:row>
    <x:row r="1428" ht="24" customHeight="1">
      <x:c r="A1428" s="2" t="str">
        <x:v>Ramp</x:v>
      </x:c>
      <x:c r="B1428" s="2" t="str">
        <x:v>Halves</x:v>
      </x:c>
      <x:c r="C1428" s="2" t="str">
        <x:v>Lower half</x:v>
      </x:c>
      <x:c r="D1428" s="28" t="n">
        <x:v>45809</x:v>
      </x:c>
      <x:c r="E1428" s="2" t="str">
        <x:v>2025Q2</x:v>
      </x:c>
      <x:c r="F1428" s="20" t="n">
        <x:v>79483.3</x:v>
      </x:c>
      <x:c r="G1428" s="20" t="n">
        <x:f>'Quarterly data'!$E$440</x:f>
        <x:v>76493.2</x:v>
      </x:c>
      <x:c r="H1428" s="22" t="n">
        <x:f>100*F1428/G1428</x:f>
        <x:v>103.90897491541732</x:v>
      </x:c>
      <x:c r="I1428" s="24" t="n">
        <x:f>H1428/100-1</x:f>
        <x:v>0.03908974915417307</x:v>
      </x:c>
      <x:c r="J1428" s="26" t="n">
        <x:v>9</x:v>
      </x:c>
      <x:c r="K1428" s="7" t="b">
        <x:v>0</x:v>
      </x:c>
      <x:c r="L1428" s="2" t="str">
        <x:v>April 2026</x:v>
      </x:c>
      <x:c r="M1428" s="2" t="str">
        <x:v>https://datawrapper.dwcdn.net/wQR5S/23/dataset.csv</x:v>
      </x:c>
    </x:row>
    <x:row r="1429" ht="24" customHeight="1">
      <x:c r="A1429" s="2" t="str">
        <x:v>Ramp</x:v>
      </x:c>
      <x:c r="B1429" s="2" t="str">
        <x:v>Halves</x:v>
      </x:c>
      <x:c r="C1429" s="2" t="str">
        <x:v>Higher half</x:v>
      </x:c>
      <x:c r="D1429" s="28" t="n">
        <x:v>45809</x:v>
      </x:c>
      <x:c r="E1429" s="2" t="str">
        <x:v>2025Q2</x:v>
      </x:c>
      <x:c r="F1429" s="20" t="n">
        <x:v>55366.7</x:v>
      </x:c>
      <x:c r="G1429" s="20" t="n">
        <x:f>'Quarterly data'!$E$441</x:f>
        <x:v>55919.6333333333</x:v>
      </x:c>
      <x:c r="H1429" s="22" t="n">
        <x:f>100*F1429/G1429</x:f>
        <x:v>99.01120000190755</x:v>
      </x:c>
      <x:c r="I1429" s="24" t="n">
        <x:f>H1429/100-1</x:f>
        <x:v>-0.009887999980924489</x:v>
      </x:c>
      <x:c r="J1429" s="26" t="n">
        <x:v>9</x:v>
      </x:c>
      <x:c r="K1429" s="7" t="b">
        <x:v>0</x:v>
      </x:c>
      <x:c r="L1429" s="2" t="str">
        <x:v>April 2026</x:v>
      </x:c>
      <x:c r="M1429" s="2" t="str">
        <x:v>https://datawrapper.dwcdn.net/wQR5S/23/dataset.csv</x:v>
      </x:c>
    </x:row>
    <x:row r="1430" ht="24" customHeight="1">
      <x:c r="A1430" s="2" t="str">
        <x:v>Ramp</x:v>
      </x:c>
      <x:c r="B1430" s="2" t="str">
        <x:v>Halves</x:v>
      </x:c>
      <x:c r="C1430" s="2" t="str">
        <x:v>Lower half</x:v>
      </x:c>
      <x:c r="D1430" s="28" t="n">
        <x:v>45839</x:v>
      </x:c>
      <x:c r="E1430" s="2" t="str">
        <x:v>2025Q3</x:v>
      </x:c>
      <x:c r="F1430" s="20" t="n">
        <x:v>79573.9</x:v>
      </x:c>
      <x:c r="G1430" s="20" t="n">
        <x:f>'Quarterly data'!$E$440</x:f>
        <x:v>76493.2</x:v>
      </x:c>
      <x:c r="H1430" s="22" t="n">
        <x:f>100*F1430/G1430</x:f>
        <x:v>104.02741681613529</x:v>
      </x:c>
      <x:c r="I1430" s="24" t="n">
        <x:f>H1430/100-1</x:f>
        <x:v>0.040274168161352764</x:v>
      </x:c>
      <x:c r="J1430" s="26" t="n">
        <x:v>9</x:v>
      </x:c>
      <x:c r="K1430" s="7" t="b">
        <x:v>0</x:v>
      </x:c>
      <x:c r="L1430" s="2" t="str">
        <x:v>April 2026</x:v>
      </x:c>
      <x:c r="M1430" s="2" t="str">
        <x:v>https://datawrapper.dwcdn.net/wQR5S/23/dataset.csv</x:v>
      </x:c>
    </x:row>
    <x:row r="1431" ht="24" customHeight="1">
      <x:c r="A1431" s="2" t="str">
        <x:v>Ramp</x:v>
      </x:c>
      <x:c r="B1431" s="2" t="str">
        <x:v>Halves</x:v>
      </x:c>
      <x:c r="C1431" s="2" t="str">
        <x:v>Higher half</x:v>
      </x:c>
      <x:c r="D1431" s="28" t="n">
        <x:v>45839</x:v>
      </x:c>
      <x:c r="E1431" s="2" t="str">
        <x:v>2025Q3</x:v>
      </x:c>
      <x:c r="F1431" s="20" t="n">
        <x:v>55342</x:v>
      </x:c>
      <x:c r="G1431" s="20" t="n">
        <x:f>'Quarterly data'!$E$441</x:f>
        <x:v>55919.6333333333</x:v>
      </x:c>
      <x:c r="H1431" s="22" t="n">
        <x:f>100*F1431/G1431</x:f>
        <x:v>98.9670294690774</x:v>
      </x:c>
      <x:c r="I1431" s="24" t="n">
        <x:f>H1431/100-1</x:f>
        <x:v>-0.010329705309225945</x:v>
      </x:c>
      <x:c r="J1431" s="26" t="n">
        <x:v>9</x:v>
      </x:c>
      <x:c r="K1431" s="7" t="b">
        <x:v>0</x:v>
      </x:c>
      <x:c r="L1431" s="2" t="str">
        <x:v>April 2026</x:v>
      </x:c>
      <x:c r="M1431" s="2" t="str">
        <x:v>https://datawrapper.dwcdn.net/wQR5S/23/dataset.csv</x:v>
      </x:c>
    </x:row>
    <x:row r="1432" ht="24" customHeight="1">
      <x:c r="A1432" s="2" t="str">
        <x:v>Ramp</x:v>
      </x:c>
      <x:c r="B1432" s="2" t="str">
        <x:v>Halves</x:v>
      </x:c>
      <x:c r="C1432" s="2" t="str">
        <x:v>Lower half</x:v>
      </x:c>
      <x:c r="D1432" s="28" t="n">
        <x:v>45870</x:v>
      </x:c>
      <x:c r="E1432" s="2" t="str">
        <x:v>2025Q3</x:v>
      </x:c>
      <x:c r="F1432" s="20" t="n">
        <x:v>79616.8</x:v>
      </x:c>
      <x:c r="G1432" s="20" t="n">
        <x:f>'Quarterly data'!$E$440</x:f>
        <x:v>76493.2</x:v>
      </x:c>
      <x:c r="H1432" s="22" t="n">
        <x:f>100*F1432/G1432</x:f>
        <x:v>104.08350023270043</x:v>
      </x:c>
      <x:c r="I1432" s="24" t="n">
        <x:f>H1432/100-1</x:f>
        <x:v>0.04083500232700432</x:v>
      </x:c>
      <x:c r="J1432" s="26" t="n">
        <x:v>9</x:v>
      </x:c>
      <x:c r="K1432" s="7" t="b">
        <x:v>0</x:v>
      </x:c>
      <x:c r="L1432" s="2" t="str">
        <x:v>April 2026</x:v>
      </x:c>
      <x:c r="M1432" s="2" t="str">
        <x:v>https://datawrapper.dwcdn.net/wQR5S/23/dataset.csv</x:v>
      </x:c>
    </x:row>
    <x:row r="1433" ht="24" customHeight="1">
      <x:c r="A1433" s="2" t="str">
        <x:v>Ramp</x:v>
      </x:c>
      <x:c r="B1433" s="2" t="str">
        <x:v>Halves</x:v>
      </x:c>
      <x:c r="C1433" s="2" t="str">
        <x:v>Higher half</x:v>
      </x:c>
      <x:c r="D1433" s="28" t="n">
        <x:v>45870</x:v>
      </x:c>
      <x:c r="E1433" s="2" t="str">
        <x:v>2025Q3</x:v>
      </x:c>
      <x:c r="F1433" s="20" t="n">
        <x:v>55279.8</x:v>
      </x:c>
      <x:c r="G1433" s="20" t="n">
        <x:f>'Quarterly data'!$E$441</x:f>
        <x:v>55919.6333333333</x:v>
      </x:c>
      <x:c r="H1433" s="22" t="n">
        <x:f>100*F1433/G1433</x:f>
        <x:v>98.8557984106954</x:v>
      </x:c>
      <x:c r="I1433" s="24" t="n">
        <x:f>H1433/100-1</x:f>
        <x:v>-0.011442015893046054</x:v>
      </x:c>
      <x:c r="J1433" s="26" t="n">
        <x:v>9</x:v>
      </x:c>
      <x:c r="K1433" s="7" t="b">
        <x:v>0</x:v>
      </x:c>
      <x:c r="L1433" s="2" t="str">
        <x:v>April 2026</x:v>
      </x:c>
      <x:c r="M1433" s="2" t="str">
        <x:v>https://datawrapper.dwcdn.net/wQR5S/23/dataset.csv</x:v>
      </x:c>
    </x:row>
    <x:row r="1434" ht="24" customHeight="1">
      <x:c r="A1434" s="2" t="str">
        <x:v>Ramp</x:v>
      </x:c>
      <x:c r="B1434" s="2" t="str">
        <x:v>Halves</x:v>
      </x:c>
      <x:c r="C1434" s="2" t="str">
        <x:v>Lower half</x:v>
      </x:c>
      <x:c r="D1434" s="28" t="n">
        <x:v>45901</x:v>
      </x:c>
      <x:c r="E1434" s="2" t="str">
        <x:v>2025Q3</x:v>
      </x:c>
      <x:c r="F1434" s="20" t="n">
        <x:v>79694.5</x:v>
      </x:c>
      <x:c r="G1434" s="20" t="n">
        <x:f>'Quarterly data'!$E$440</x:f>
        <x:v>76493.2</x:v>
      </x:c>
      <x:c r="H1434" s="22" t="n">
        <x:f>100*F1434/G1434</x:f>
        <x:v>104.18507788927644</x:v>
      </x:c>
      <x:c r="I1434" s="24" t="n">
        <x:f>H1434/100-1</x:f>
        <x:v>0.04185077889276445</x:v>
      </x:c>
      <x:c r="J1434" s="26" t="n">
        <x:v>9</x:v>
      </x:c>
      <x:c r="K1434" s="7" t="b">
        <x:v>0</x:v>
      </x:c>
      <x:c r="L1434" s="2" t="str">
        <x:v>April 2026</x:v>
      </x:c>
      <x:c r="M1434" s="2" t="str">
        <x:v>https://datawrapper.dwcdn.net/wQR5S/23/dataset.csv</x:v>
      </x:c>
    </x:row>
    <x:row r="1435" ht="24" customHeight="1">
      <x:c r="A1435" s="2" t="str">
        <x:v>Ramp</x:v>
      </x:c>
      <x:c r="B1435" s="2" t="str">
        <x:v>Halves</x:v>
      </x:c>
      <x:c r="C1435" s="2" t="str">
        <x:v>Higher half</x:v>
      </x:c>
      <x:c r="D1435" s="28" t="n">
        <x:v>45901</x:v>
      </x:c>
      <x:c r="E1435" s="2" t="str">
        <x:v>2025Q3</x:v>
      </x:c>
      <x:c r="F1435" s="20" t="n">
        <x:v>55270.9</x:v>
      </x:c>
      <x:c r="G1435" s="20" t="n">
        <x:f>'Quarterly data'!$E$441</x:f>
        <x:v>55919.6333333333</x:v>
      </x:c>
      <x:c r="H1435" s="22" t="n">
        <x:f>100*F1435/G1435</x:f>
        <x:v>98.8398827126311</x:v>
      </x:c>
      <x:c r="I1435" s="24" t="n">
        <x:f>H1435/100-1</x:f>
        <x:v>-0.011601172873689003</x:v>
      </x:c>
      <x:c r="J1435" s="26" t="n">
        <x:v>9</x:v>
      </x:c>
      <x:c r="K1435" s="7" t="b">
        <x:v>0</x:v>
      </x:c>
      <x:c r="L1435" s="2" t="str">
        <x:v>April 2026</x:v>
      </x:c>
      <x:c r="M1435" s="2" t="str">
        <x:v>https://datawrapper.dwcdn.net/wQR5S/23/dataset.csv</x:v>
      </x:c>
    </x:row>
    <x:row r="1436" ht="24" customHeight="1">
      <x:c r="A1436" s="2" t="str">
        <x:v>Ramp</x:v>
      </x:c>
      <x:c r="B1436" s="2" t="str">
        <x:v>Halves</x:v>
      </x:c>
      <x:c r="C1436" s="2" t="str">
        <x:v>Lower half</x:v>
      </x:c>
      <x:c r="D1436" s="28" t="n">
        <x:v>45931</x:v>
      </x:c>
      <x:c r="E1436" s="2" t="str">
        <x:v>2025Q4</x:v>
      </x:c>
      <x:c r="F1436" s="20" t="n">
        <x:v>79746.3</x:v>
      </x:c>
      <x:c r="G1436" s="20" t="n">
        <x:f>'Quarterly data'!$E$440</x:f>
        <x:v>76493.2</x:v>
      </x:c>
      <x:c r="H1436" s="22" t="n">
        <x:f>100*F1436/G1436</x:f>
        <x:v>104.25279632699377</x:v>
      </x:c>
      <x:c r="I1436" s="24" t="n">
        <x:f>H1436/100-1</x:f>
        <x:v>0.042527963269937796</x:v>
      </x:c>
      <x:c r="J1436" s="26" t="n">
        <x:v>9</x:v>
      </x:c>
      <x:c r="K1436" s="7" t="b">
        <x:v>0</x:v>
      </x:c>
      <x:c r="L1436" s="2" t="str">
        <x:v>April 2026</x:v>
      </x:c>
      <x:c r="M1436" s="2" t="str">
        <x:v>https://datawrapper.dwcdn.net/wQR5S/23/dataset.csv</x:v>
      </x:c>
    </x:row>
    <x:row r="1437" ht="24" customHeight="1">
      <x:c r="A1437" s="2" t="str">
        <x:v>Ramp</x:v>
      </x:c>
      <x:c r="B1437" s="2" t="str">
        <x:v>Halves</x:v>
      </x:c>
      <x:c r="C1437" s="2" t="str">
        <x:v>Higher half</x:v>
      </x:c>
      <x:c r="D1437" s="28" t="n">
        <x:v>45931</x:v>
      </x:c>
      <x:c r="E1437" s="2" t="str">
        <x:v>2025Q4</x:v>
      </x:c>
      <x:c r="F1437" s="20" t="n">
        <x:v>55232.7</x:v>
      </x:c>
      <x:c r="G1437" s="20" t="n">
        <x:f>'Quarterly data'!$E$441</x:f>
        <x:v>55919.6333333333</x:v>
      </x:c>
      <x:c r="H1437" s="22" t="n">
        <x:f>100*F1437/G1437</x:f>
        <x:v>98.77157039060228</x:v>
      </x:c>
      <x:c r="I1437" s="24" t="n">
        <x:f>H1437/100-1</x:f>
        <x:v>-0.012284296093977187</x:v>
      </x:c>
      <x:c r="J1437" s="26" t="n">
        <x:v>9</x:v>
      </x:c>
      <x:c r="K1437" s="7" t="b">
        <x:v>0</x:v>
      </x:c>
      <x:c r="L1437" s="2" t="str">
        <x:v>April 2026</x:v>
      </x:c>
      <x:c r="M1437" s="2" t="str">
        <x:v>https://datawrapper.dwcdn.net/wQR5S/23/dataset.csv</x:v>
      </x:c>
    </x:row>
    <x:row r="1438" ht="24" customHeight="1">
      <x:c r="A1438" s="2" t="str">
        <x:v>Ramp</x:v>
      </x:c>
      <x:c r="B1438" s="2" t="str">
        <x:v>Halves</x:v>
      </x:c>
      <x:c r="C1438" s="2" t="str">
        <x:v>Lower half</x:v>
      </x:c>
      <x:c r="D1438" s="28" t="n">
        <x:v>45962</x:v>
      </x:c>
      <x:c r="E1438" s="2" t="str">
        <x:v>2025Q4</x:v>
      </x:c>
      <x:c r="F1438" s="20" t="n">
        <x:v>79790</x:v>
      </x:c>
      <x:c r="G1438" s="20" t="n">
        <x:f>'Quarterly data'!$E$440</x:f>
        <x:v>76493.2</x:v>
      </x:c>
      <x:c r="H1438" s="22" t="n">
        <x:f>100*F1438/G1438</x:f>
        <x:v>104.30992558815686</x:v>
      </x:c>
      <x:c r="I1438" s="24" t="n">
        <x:f>H1438/100-1</x:f>
        <x:v>0.0430992558815686</x:v>
      </x:c>
      <x:c r="J1438" s="26" t="n">
        <x:v>9</x:v>
      </x:c>
      <x:c r="K1438" s="7" t="b">
        <x:v>0</x:v>
      </x:c>
      <x:c r="L1438" s="2" t="str">
        <x:v>April 2026</x:v>
      </x:c>
      <x:c r="M1438" s="2" t="str">
        <x:v>https://datawrapper.dwcdn.net/wQR5S/23/dataset.csv</x:v>
      </x:c>
    </x:row>
    <x:row r="1439" ht="24" customHeight="1">
      <x:c r="A1439" s="2" t="str">
        <x:v>Ramp</x:v>
      </x:c>
      <x:c r="B1439" s="2" t="str">
        <x:v>Halves</x:v>
      </x:c>
      <x:c r="C1439" s="2" t="str">
        <x:v>Higher half</x:v>
      </x:c>
      <x:c r="D1439" s="28" t="n">
        <x:v>45962</x:v>
      </x:c>
      <x:c r="E1439" s="2" t="str">
        <x:v>2025Q4</x:v>
      </x:c>
      <x:c r="F1439" s="20" t="n">
        <x:v>55262.7</x:v>
      </x:c>
      <x:c r="G1439" s="20" t="n">
        <x:f>'Quarterly data'!$E$441</x:f>
        <x:v>55919.6333333333</x:v>
      </x:c>
      <x:c r="H1439" s="22" t="n">
        <x:f>100*F1439/G1439</x:f>
        <x:v>98.82521881104375</x:v>
      </x:c>
      <x:c r="I1439" s="24" t="n">
        <x:f>H1439/100-1</x:f>
        <x:v>-0.01174781188956242</x:v>
      </x:c>
      <x:c r="J1439" s="26" t="n">
        <x:v>9</x:v>
      </x:c>
      <x:c r="K1439" s="7" t="b">
        <x:v>0</x:v>
      </x:c>
      <x:c r="L1439" s="2" t="str">
        <x:v>April 2026</x:v>
      </x:c>
      <x:c r="M1439" s="2" t="str">
        <x:v>https://datawrapper.dwcdn.net/wQR5S/23/dataset.csv</x:v>
      </x:c>
    </x:row>
    <x:row r="1440" ht="24" customHeight="1">
      <x:c r="A1440" s="2" t="str">
        <x:v>Ramp</x:v>
      </x:c>
      <x:c r="B1440" s="2" t="str">
        <x:v>Halves</x:v>
      </x:c>
      <x:c r="C1440" s="2" t="str">
        <x:v>Lower half</x:v>
      </x:c>
      <x:c r="D1440" s="28" t="n">
        <x:v>45992</x:v>
      </x:c>
      <x:c r="E1440" s="2" t="str">
        <x:v>2025Q4</x:v>
      </x:c>
      <x:c r="F1440" s="20" t="n">
        <x:v>79830.7</x:v>
      </x:c>
      <x:c r="G1440" s="20" t="n">
        <x:f>'Quarterly data'!$E$440</x:f>
        <x:v>76493.2</x:v>
      </x:c>
      <x:c r="H1440" s="22" t="n">
        <x:f>100*F1440/G1440</x:f>
        <x:v>104.36313293207763</x:v>
      </x:c>
      <x:c r="I1440" s="24" t="n">
        <x:f>H1440/100-1</x:f>
        <x:v>0.0436313293207764</x:v>
      </x:c>
      <x:c r="J1440" s="26" t="n">
        <x:v>9</x:v>
      </x:c>
      <x:c r="K1440" s="7" t="b">
        <x:v>0</x:v>
      </x:c>
      <x:c r="L1440" s="2" t="str">
        <x:v>April 2026</x:v>
      </x:c>
      <x:c r="M1440" s="2" t="str">
        <x:v>https://datawrapper.dwcdn.net/wQR5S/23/dataset.csv</x:v>
      </x:c>
    </x:row>
    <x:row r="1441" ht="24" customHeight="1">
      <x:c r="A1441" s="2" t="str">
        <x:v>Ramp</x:v>
      </x:c>
      <x:c r="B1441" s="2" t="str">
        <x:v>Halves</x:v>
      </x:c>
      <x:c r="C1441" s="2" t="str">
        <x:v>Higher half</x:v>
      </x:c>
      <x:c r="D1441" s="28" t="n">
        <x:v>45992</x:v>
      </x:c>
      <x:c r="E1441" s="2" t="str">
        <x:v>2025Q4</x:v>
      </x:c>
      <x:c r="F1441" s="20" t="n">
        <x:v>55214.1</x:v>
      </x:c>
      <x:c r="G1441" s="20" t="n">
        <x:f>'Quarterly data'!$E$441</x:f>
        <x:v>55919.6333333333</x:v>
      </x:c>
      <x:c r="H1441" s="22" t="n">
        <x:f>100*F1441/G1441</x:f>
        <x:v>98.73830836992856</x:v>
      </x:c>
      <x:c r="I1441" s="24" t="n">
        <x:f>H1441/100-1</x:f>
        <x:v>-0.012616916300714376</x:v>
      </x:c>
      <x:c r="J1441" s="26" t="n">
        <x:v>9</x:v>
      </x:c>
      <x:c r="K1441" s="7" t="b">
        <x:v>0</x:v>
      </x:c>
      <x:c r="L1441" s="2" t="str">
        <x:v>April 2026</x:v>
      </x:c>
      <x:c r="M1441" s="2" t="str">
        <x:v>https://datawrapper.dwcdn.net/wQR5S/23/dataset.csv</x:v>
      </x:c>
    </x:row>
    <x:row r="1442" ht="24" customHeight="1">
      <x:c r="A1442" s="2" t="str">
        <x:v>Ramp</x:v>
      </x:c>
      <x:c r="B1442" s="2" t="str">
        <x:v>Halves</x:v>
      </x:c>
      <x:c r="C1442" s="2" t="str">
        <x:v>Lower half</x:v>
      </x:c>
      <x:c r="D1442" s="28" t="n">
        <x:v>46023</x:v>
      </x:c>
      <x:c r="E1442" s="2" t="str">
        <x:v>2026Q1</x:v>
      </x:c>
      <x:c r="F1442" s="20" t="n">
        <x:v>80008.9</x:v>
      </x:c>
      <x:c r="G1442" s="20" t="n">
        <x:f>'Quarterly data'!$E$440</x:f>
        <x:v>76493.2</x:v>
      </x:c>
      <x:c r="H1442" s="22" t="n">
        <x:f>100*F1442/G1442</x:f>
        <x:v>104.59609481627125</x:v>
      </x:c>
      <x:c r="I1442" s="24" t="n">
        <x:f>H1442/100-1</x:f>
        <x:v>0.04596094816271257</x:v>
      </x:c>
      <x:c r="J1442" s="26" t="n">
        <x:v>9</x:v>
      </x:c>
      <x:c r="K1442" s="7" t="b">
        <x:v>0</x:v>
      </x:c>
      <x:c r="L1442" s="2" t="str">
        <x:v>April 2026</x:v>
      </x:c>
      <x:c r="M1442" s="2" t="str">
        <x:v>https://datawrapper.dwcdn.net/wQR5S/23/dataset.csv</x:v>
      </x:c>
    </x:row>
    <x:row r="1443" ht="24" customHeight="1">
      <x:c r="A1443" s="2" t="str">
        <x:v>Ramp</x:v>
      </x:c>
      <x:c r="B1443" s="2" t="str">
        <x:v>Halves</x:v>
      </x:c>
      <x:c r="C1443" s="2" t="str">
        <x:v>Higher half</x:v>
      </x:c>
      <x:c r="D1443" s="28" t="n">
        <x:v>46023</x:v>
      </x:c>
      <x:c r="E1443" s="2" t="str">
        <x:v>2026Q1</x:v>
      </x:c>
      <x:c r="F1443" s="20" t="n">
        <x:v>55216.9</x:v>
      </x:c>
      <x:c r="G1443" s="20" t="n">
        <x:f>'Quarterly data'!$E$441</x:f>
        <x:v>55919.6333333333</x:v>
      </x:c>
      <x:c r="H1443" s="22" t="n">
        <x:f>100*F1443/G1443</x:f>
        <x:v>98.74331555583643</x:v>
      </x:c>
      <x:c r="I1443" s="24" t="n">
        <x:f>H1443/100-1</x:f>
        <x:v>-0.012566844441635694</x:v>
      </x:c>
      <x:c r="J1443" s="26" t="n">
        <x:v>9</x:v>
      </x:c>
      <x:c r="K1443" s="7" t="b">
        <x:v>0</x:v>
      </x:c>
      <x:c r="L1443" s="2" t="str">
        <x:v>April 2026</x:v>
      </x:c>
      <x:c r="M1443" s="2" t="str">
        <x:v>https://datawrapper.dwcdn.net/wQR5S/23/dataset.csv</x:v>
      </x:c>
    </x:row>
    <x:row r="1444" ht="24" customHeight="1">
      <x:c r="A1444" s="2" t="str">
        <x:v>Ramp</x:v>
      </x:c>
      <x:c r="B1444" s="2" t="str">
        <x:v>Halves</x:v>
      </x:c>
      <x:c r="C1444" s="2" t="str">
        <x:v>Lower half</x:v>
      </x:c>
      <x:c r="D1444" s="28" t="n">
        <x:v>46054</x:v>
      </x:c>
      <x:c r="E1444" s="2" t="str">
        <x:v>2026Q1</x:v>
      </x:c>
      <x:c r="F1444" s="20" t="n">
        <x:v>79891.6</x:v>
      </x:c>
      <x:c r="G1444" s="20" t="n">
        <x:f>'Quarterly data'!$E$440</x:f>
        <x:v>76493.2</x:v>
      </x:c>
      <x:c r="H1444" s="22" t="n">
        <x:f>100*F1444/G1444</x:f>
        <x:v>104.44274785209667</x:v>
      </x:c>
      <x:c r="I1444" s="24" t="n">
        <x:f>H1444/100-1</x:f>
        <x:v>0.04442747852096662</x:v>
      </x:c>
      <x:c r="J1444" s="26" t="n">
        <x:v>9</x:v>
      </x:c>
      <x:c r="K1444" s="7" t="b">
        <x:v>0</x:v>
      </x:c>
      <x:c r="L1444" s="2" t="str">
        <x:v>April 2026</x:v>
      </x:c>
      <x:c r="M1444" s="2" t="str">
        <x:v>https://datawrapper.dwcdn.net/wQR5S/23/dataset.csv</x:v>
      </x:c>
    </x:row>
    <x:row r="1445" ht="24" customHeight="1">
      <x:c r="A1445" s="2" t="str">
        <x:v>Ramp</x:v>
      </x:c>
      <x:c r="B1445" s="2" t="str">
        <x:v>Halves</x:v>
      </x:c>
      <x:c r="C1445" s="2" t="str">
        <x:v>Higher half</x:v>
      </x:c>
      <x:c r="D1445" s="28" t="n">
        <x:v>46054</x:v>
      </x:c>
      <x:c r="E1445" s="2" t="str">
        <x:v>2026Q1</x:v>
      </x:c>
      <x:c r="F1445" s="20" t="n">
        <x:v>55187.2</x:v>
      </x:c>
      <x:c r="G1445" s="20" t="n">
        <x:f>'Quarterly data'!$E$441</x:f>
        <x:v>55919.6333333333</x:v>
      </x:c>
      <x:c r="H1445" s="22" t="n">
        <x:f>100*F1445/G1445</x:f>
        <x:v>98.69020361959937</x:v>
      </x:c>
      <x:c r="I1445" s="24" t="n">
        <x:f>H1445/100-1</x:f>
        <x:v>-0.013097963804006296</x:v>
      </x:c>
      <x:c r="J1445" s="26" t="n">
        <x:v>9</x:v>
      </x:c>
      <x:c r="K1445" s="7" t="b">
        <x:v>0</x:v>
      </x:c>
      <x:c r="L1445" s="2" t="str">
        <x:v>April 2026</x:v>
      </x:c>
      <x:c r="M1445" s="2" t="str">
        <x:v>https://datawrapper.dwcdn.net/wQR5S/23/dataset.csv</x:v>
      </x:c>
    </x:row>
    <x:row r="1446" ht="24" customHeight="1">
      <x:c r="A1446" s="2" t="str">
        <x:v>Ramp</x:v>
      </x:c>
      <x:c r="B1446" s="2" t="str">
        <x:v>Halves</x:v>
      </x:c>
      <x:c r="C1446" s="2" t="str">
        <x:v>Lower half</x:v>
      </x:c>
      <x:c r="D1446" s="28" t="n">
        <x:v>46082</x:v>
      </x:c>
      <x:c r="E1446" s="2" t="str">
        <x:v>2026Q1</x:v>
      </x:c>
      <x:c r="F1446" s="20" t="n">
        <x:v>80067.6</x:v>
      </x:c>
      <x:c r="G1446" s="20" t="n">
        <x:f>'Quarterly data'!$E$440</x:f>
        <x:v>76493.2</x:v>
      </x:c>
      <x:c r="H1446" s="22" t="n">
        <x:f>100*F1446/G1446</x:f>
        <x:v>104.67283366364593</x:v>
      </x:c>
      <x:c r="I1446" s="24" t="n">
        <x:f>H1446/100-1</x:f>
        <x:v>0.046728336636459256</x:v>
      </x:c>
      <x:c r="J1446" s="26" t="n">
        <x:v>9</x:v>
      </x:c>
      <x:c r="K1446" s="7" t="b">
        <x:v>0</x:v>
      </x:c>
      <x:c r="L1446" s="2" t="str">
        <x:v>April 2026</x:v>
      </x:c>
      <x:c r="M1446" s="2" t="str">
        <x:v>https://datawrapper.dwcdn.net/wQR5S/23/dataset.csv</x:v>
      </x:c>
    </x:row>
    <x:row r="1447" ht="24" customHeight="1">
      <x:c r="A1447" s="2" t="str">
        <x:v>Ramp</x:v>
      </x:c>
      <x:c r="B1447" s="2" t="str">
        <x:v>Halves</x:v>
      </x:c>
      <x:c r="C1447" s="2" t="str">
        <x:v>Higher half</x:v>
      </x:c>
      <x:c r="D1447" s="28" t="n">
        <x:v>46082</x:v>
      </x:c>
      <x:c r="E1447" s="2" t="str">
        <x:v>2026Q1</x:v>
      </x:c>
      <x:c r="F1447" s="20" t="n">
        <x:v>55212.1</x:v>
      </x:c>
      <x:c r="G1447" s="20" t="n">
        <x:f>'Quarterly data'!$E$441</x:f>
        <x:v>55919.6333333333</x:v>
      </x:c>
      <x:c r="H1447" s="22" t="n">
        <x:f>100*F1447/G1447</x:f>
        <x:v>98.7347318085658</x:v>
      </x:c>
      <x:c r="I1447" s="24" t="n">
        <x:f>H1447/100-1</x:f>
        <x:v>-0.01265268191434199</x:v>
      </x:c>
      <x:c r="J1447" s="26" t="n">
        <x:v>9</x:v>
      </x:c>
      <x:c r="K1447" s="7" t="b">
        <x:v>0</x:v>
      </x:c>
      <x:c r="L1447" s="2" t="str">
        <x:v>April 2026</x:v>
      </x:c>
      <x:c r="M1447" s="2" t="str">
        <x:v>https://datawrapper.dwcdn.net/wQR5S/23/dataset.csv</x:v>
      </x:c>
    </x:row>
    <x:row r="1448" ht="24" customHeight="1">
      <x:c r="A1448" s="2" t="str">
        <x:v>Ramp</x:v>
      </x:c>
      <x:c r="B1448" s="2" t="str">
        <x:v>Halves</x:v>
      </x:c>
      <x:c r="C1448" s="2" t="str">
        <x:v>Lower half</x:v>
      </x:c>
      <x:c r="D1448" s="28" t="n">
        <x:v>46113</x:v>
      </x:c>
      <x:c r="E1448" s="2" t="str">
        <x:v>2026Q2</x:v>
      </x:c>
      <x:c r="F1448" s="20" t="n">
        <x:v>80194.7</x:v>
      </x:c>
      <x:c r="G1448" s="20" t="n">
        <x:f>'Quarterly data'!$E$440</x:f>
        <x:v>76493.2</x:v>
      </x:c>
      <x:c r="H1448" s="22" t="n">
        <x:f>100*F1448/G1448</x:f>
        <x:v>104.83899222414541</x:v>
      </x:c>
      <x:c r="I1448" s="24" t="n">
        <x:f>H1448/100-1</x:f>
        <x:v>0.04838992224145411</x:v>
      </x:c>
      <x:c r="J1448" s="26" t="n">
        <x:v>9</x:v>
      </x:c>
      <x:c r="K1448" s="7" t="b">
        <x:v>0</x:v>
      </x:c>
      <x:c r="L1448" s="2" t="str">
        <x:v>April 2026</x:v>
      </x:c>
      <x:c r="M1448" s="2" t="str">
        <x:v>https://datawrapper.dwcdn.net/wQR5S/23/dataset.csv</x:v>
      </x:c>
    </x:row>
    <x:row r="1449" ht="24" customHeight="1">
      <x:c r="A1449" s="2" t="str">
        <x:v>Ramp</x:v>
      </x:c>
      <x:c r="B1449" s="2" t="str">
        <x:v>Halves</x:v>
      </x:c>
      <x:c r="C1449" s="2" t="str">
        <x:v>Higher half</x:v>
      </x:c>
      <x:c r="D1449" s="28" t="n">
        <x:v>46113</x:v>
      </x:c>
      <x:c r="E1449" s="2" t="str">
        <x:v>2026Q2</x:v>
      </x:c>
      <x:c r="F1449" s="20" t="n">
        <x:v>55232.1</x:v>
      </x:c>
      <x:c r="G1449" s="20" t="n">
        <x:f>'Quarterly data'!$E$441</x:f>
        <x:v>55919.6333333333</x:v>
      </x:c>
      <x:c r="H1449" s="22" t="n">
        <x:f>100*F1449/G1449</x:f>
        <x:v>98.77049742219346</x:v>
      </x:c>
      <x:c r="I1449" s="24" t="n">
        <x:f>H1449/100-1</x:f>
        <x:v>-0.012295025778065405</x:v>
      </x:c>
      <x:c r="J1449" s="26" t="n">
        <x:v>9</x:v>
      </x:c>
      <x:c r="K1449" s="7" t="b">
        <x:v>0</x:v>
      </x:c>
      <x:c r="L1449" s="2" t="str">
        <x:v>April 2026</x:v>
      </x:c>
      <x:c r="M1449" s="2" t="str">
        <x:v>https://datawrapper.dwcdn.net/wQR5S/23/dataset.csv</x:v>
      </x:c>
    </x:row>
    <x:row r="1450" ht="24" customHeight="1">
      <x:c r="A1450" s="2" t="str">
        <x:v>Ramp</x:v>
      </x:c>
      <x:c r="B1450" s="2" t="str">
        <x:v>Halves</x:v>
      </x:c>
      <x:c r="C1450" s="2" t="str">
        <x:v>Lower half</x:v>
      </x:c>
      <x:c r="D1450" s="28" t="n">
        <x:v>46143</x:v>
      </x:c>
      <x:c r="E1450" s="2" t="str">
        <x:v>2026Q2</x:v>
      </x:c>
      <x:c r="F1450" s="20" t="n">
        <x:v>80282.6</x:v>
      </x:c>
      <x:c r="G1450" s="20" t="n">
        <x:f>'Quarterly data'!$E$440</x:f>
        <x:v>76493.2</x:v>
      </x:c>
      <x:c r="H1450" s="22" t="n">
        <x:f>100*F1450/G1450</x:f>
        <x:v>104.95390439934532</x:v>
      </x:c>
      <x:c r="I1450" s="24" t="n">
        <x:f>H1450/100-1</x:f>
        <x:v>0.0495390439934531</x:v>
      </x:c>
      <x:c r="J1450" s="26" t="n">
        <x:v>9</x:v>
      </x:c>
      <x:c r="K1450" s="7" t="b">
        <x:v>0</x:v>
      </x:c>
      <x:c r="L1450" s="2" t="str">
        <x:v>April 2026</x:v>
      </x:c>
      <x:c r="M1450" s="2" t="str">
        <x:v>https://datawrapper.dwcdn.net/wQR5S/23/dataset.csv</x:v>
      </x:c>
    </x:row>
    <x:row r="1451" ht="24" customHeight="1">
      <x:c r="A1451" s="2" t="str">
        <x:v>Ramp</x:v>
      </x:c>
      <x:c r="B1451" s="2" t="str">
        <x:v>Halves</x:v>
      </x:c>
      <x:c r="C1451" s="2" t="str">
        <x:v>Higher half</x:v>
      </x:c>
      <x:c r="D1451" s="28" t="n">
        <x:v>46143</x:v>
      </x:c>
      <x:c r="E1451" s="2" t="str">
        <x:v>2026Q2</x:v>
      </x:c>
      <x:c r="F1451" s="20" t="n">
        <x:v>55205.9</x:v>
      </x:c>
      <x:c r="G1451" s="20" t="n">
        <x:f>'Quarterly data'!$E$441</x:f>
        <x:v>55919.6333333333</x:v>
      </x:c>
      <x:c r="H1451" s="22" t="n">
        <x:f>100*F1451/G1451</x:f>
        <x:v>98.72364446834123</x:v>
      </x:c>
      <x:c r="I1451" s="24" t="n">
        <x:f>H1451/100-1</x:f>
        <x:v>-0.012763555316587682</x:v>
      </x:c>
      <x:c r="J1451" s="26" t="n">
        <x:v>9</x:v>
      </x:c>
      <x:c r="K1451" s="7" t="b">
        <x:v>0</x:v>
      </x:c>
      <x:c r="L1451" s="2" t="str">
        <x:v>April 2026</x:v>
      </x:c>
      <x:c r="M1451" s="2" t="str">
        <x:v>https://datawrapper.dwcdn.net/wQR5S/23/dataset.csv</x:v>
      </x:c>
    </x:row>
    <x:row r="1452" ht="24" customHeight="1">
      <x:c r="A1452" s="2" t="str">
        <x:v>Ramp</x:v>
      </x:c>
      <x:c r="B1452" s="2" t="str">
        <x:v>Halves</x:v>
      </x:c>
      <x:c r="C1452" s="2" t="str">
        <x:v>Lower half</x:v>
      </x:c>
      <x:c r="D1452" s="28" t="n">
        <x:v>46174</x:v>
      </x:c>
      <x:c r="E1452" s="2" t="str">
        <x:v>2026Q2</x:v>
      </x:c>
      <x:c r="F1452" s="20" t="n">
        <x:v>80258.4</x:v>
      </x:c>
      <x:c r="G1452" s="20" t="n">
        <x:f>'Quarterly data'!$E$440</x:f>
        <x:v>76493.2</x:v>
      </x:c>
      <x:c r="H1452" s="22" t="n">
        <x:f>100*F1452/G1452</x:f>
        <x:v>104.92226760025727</x:v>
      </x:c>
      <x:c r="I1452" s="24" t="n">
        <x:f>H1452/100-1</x:f>
        <x:v>0.049222676002572685</x:v>
      </x:c>
      <x:c r="J1452" s="26" t="n">
        <x:v>9</x:v>
      </x:c>
      <x:c r="K1452" s="7" t="b">
        <x:v>0</x:v>
      </x:c>
      <x:c r="L1452" s="2" t="str">
        <x:v>April 2026</x:v>
      </x:c>
      <x:c r="M1452" s="2" t="str">
        <x:v>https://datawrapper.dwcdn.net/wQR5S/23/dataset.csv</x:v>
      </x:c>
    </x:row>
    <x:row r="1453" ht="24" customHeight="1">
      <x:c r="A1453" s="2" t="str">
        <x:v>Ramp</x:v>
      </x:c>
      <x:c r="B1453" s="2" t="str">
        <x:v>Halves</x:v>
      </x:c>
      <x:c r="C1453" s="2" t="str">
        <x:v>Higher half</x:v>
      </x:c>
      <x:c r="D1453" s="28" t="n">
        <x:v>46174</x:v>
      </x:c>
      <x:c r="E1453" s="2" t="str">
        <x:v>2026Q2</x:v>
      </x:c>
      <x:c r="F1453" s="20" t="n">
        <x:v>55257.1</x:v>
      </x:c>
      <x:c r="G1453" s="20" t="n">
        <x:f>'Quarterly data'!$E$441</x:f>
        <x:v>55919.6333333333</x:v>
      </x:c>
      <x:c r="H1453" s="22" t="n">
        <x:f>100*F1453/G1453</x:f>
        <x:v>98.81520443922801</x:v>
      </x:c>
      <x:c r="I1453" s="24" t="n">
        <x:f>H1453/100-1</x:f>
        <x:v>-0.011847955607719896</x:v>
      </x:c>
      <x:c r="J1453" s="26" t="n">
        <x:v>9</x:v>
      </x:c>
      <x:c r="K1453" s="7" t="b">
        <x:v>0</x:v>
      </x:c>
      <x:c r="L1453" s="2" t="str">
        <x:v>April 2026</x:v>
      </x:c>
      <x:c r="M1453" s="2" t="str">
        <x:v>https://datawrapper.dwcdn.net/wQR5S/23/dataset.csv</x:v>
      </x:c>
    </x:row>
    <x:row r="1454" ht="24" customHeight="1">
      <x:c r="A1454" s="2" t="str">
        <x:v>Ramp</x:v>
      </x:c>
      <x:c r="B1454" s="2" t="str">
        <x:v>Halves</x:v>
      </x:c>
      <x:c r="C1454" s="2" t="str">
        <x:v>Lower half</x:v>
      </x:c>
      <x:c r="D1454" s="28" t="n">
        <x:v>46204</x:v>
      </x:c>
      <x:c r="E1454" s="2" t="str">
        <x:v>2026Q3</x:v>
      </x:c>
      <x:c r="F1454" s="20" t="n">
        <x:v>80302.2</x:v>
      </x:c>
      <x:c r="G1454" s="20" t="n">
        <x:f>'Quarterly data'!$E$440</x:f>
        <x:v>76493.2</x:v>
      </x:c>
      <x:c r="H1454" s="22" t="n">
        <x:f>100*F1454/G1454</x:f>
        <x:v>104.97952759199511</x:v>
      </x:c>
      <x:c r="I1454" s="24" t="n">
        <x:f>H1454/100-1</x:f>
        <x:v>0.04979527591995114</x:v>
      </x:c>
      <x:c r="J1454" s="26" t="n">
        <x:v>9</x:v>
      </x:c>
      <x:c r="K1454" s="7" t="b">
        <x:v>1</x:v>
      </x:c>
      <x:c r="L1454" s="2" t="str">
        <x:v>April 2026</x:v>
      </x:c>
      <x:c r="M1454" s="2" t="str">
        <x:v>https://datawrapper.dwcdn.net/wQR5S/23/dataset.csv</x:v>
      </x:c>
    </x:row>
    <x:row r="1455" ht="24" customHeight="1">
      <x:c r="A1455" s="2" t="str">
        <x:v>Ramp</x:v>
      </x:c>
      <x:c r="B1455" s="2" t="str">
        <x:v>Halves</x:v>
      </x:c>
      <x:c r="C1455" s="2" t="str">
        <x:v>Higher half</x:v>
      </x:c>
      <x:c r="D1455" s="28" t="n">
        <x:v>46204</x:v>
      </x:c>
      <x:c r="E1455" s="2" t="str">
        <x:v>2026Q3</x:v>
      </x:c>
      <x:c r="F1455" s="20" t="n">
        <x:v>55283.2</x:v>
      </x:c>
      <x:c r="G1455" s="20" t="n">
        <x:f>'Quarterly data'!$E$441</x:f>
        <x:v>55919.6333333333</x:v>
      </x:c>
      <x:c r="H1455" s="22" t="n">
        <x:f>100*F1455/G1455</x:f>
        <x:v>98.8618785650121</x:v>
      </x:c>
      <x:c r="I1455" s="24" t="n">
        <x:f>H1455/100-1</x:f>
        <x:v>-0.011381214349878932</x:v>
      </x:c>
      <x:c r="J1455" s="26" t="n">
        <x:v>9</x:v>
      </x:c>
      <x:c r="K1455" s="7" t="b">
        <x:v>1</x:v>
      </x:c>
      <x:c r="L1455" s="2" t="str">
        <x:v>April 2026</x:v>
      </x:c>
      <x:c r="M1455" s="2" t="str">
        <x:v>https://datawrapper.dwcdn.net/wQR5S/23/dataset.csv</x:v>
      </x:c>
    </x:row>
    <x:row r="1456" ht="24" customHeight="1">
      <x:c r="A1456" s="2" t="str">
        <x:v>Ramp</x:v>
      </x:c>
      <x:c r="B1456" s="2" t="str">
        <x:v>Halves</x:v>
      </x:c>
      <x:c r="C1456" s="2" t="str">
        <x:v>Lower half</x:v>
      </x:c>
      <x:c r="D1456" s="28" t="n">
        <x:v>46235</x:v>
      </x:c>
      <x:c r="E1456" s="2" t="str">
        <x:v>2026Q3</x:v>
      </x:c>
      <x:c r="F1456" s="20" t="n">
        <x:v>80423</x:v>
      </x:c>
      <x:c r="G1456" s="20" t="n">
        <x:f>'Quarterly data'!$E$440</x:f>
        <x:v>76493.2</x:v>
      </x:c>
      <x:c r="H1456" s="22" t="n">
        <x:f>100*F1456/G1456</x:f>
        <x:v>105.13745012628574</x:v>
      </x:c>
      <x:c r="I1456" s="24" t="n">
        <x:f>H1456/100-1</x:f>
        <x:v>0.051374501262857475</x:v>
      </x:c>
      <x:c r="J1456" s="26" t="n">
        <x:v>9</x:v>
      </x:c>
      <x:c r="K1456" s="7" t="b">
        <x:v>1</x:v>
      </x:c>
      <x:c r="L1456" s="2" t="str">
        <x:v>April 2026</x:v>
      </x:c>
      <x:c r="M1456" s="2" t="str">
        <x:v>https://datawrapper.dwcdn.net/wQR5S/23/dataset.csv</x:v>
      </x:c>
    </x:row>
    <x:row r="1457" ht="24" customHeight="1">
      <x:c r="A1457" s="2" t="str">
        <x:v>Ramp</x:v>
      </x:c>
      <x:c r="B1457" s="2" t="str">
        <x:v>Halves</x:v>
      </x:c>
      <x:c r="C1457" s="2" t="str">
        <x:v>Higher half</x:v>
      </x:c>
      <x:c r="D1457" s="28" t="n">
        <x:v>46235</x:v>
      </x:c>
      <x:c r="E1457" s="2" t="str">
        <x:v>2026Q3</x:v>
      </x:c>
      <x:c r="F1457" s="20" t="n">
        <x:v>55290.2</x:v>
      </x:c>
      <x:c r="G1457" s="20" t="n">
        <x:f>'Quarterly data'!$E$441</x:f>
        <x:v>55919.6333333333</x:v>
      </x:c>
      <x:c r="H1457" s="22" t="n">
        <x:f>100*F1457/G1457</x:f>
        <x:v>98.87439652978178</x:v>
      </x:c>
      <x:c r="I1457" s="24" t="n">
        <x:f>H1457/100-1</x:f>
        <x:v>-0.011256034702182283</x:v>
      </x:c>
      <x:c r="J1457" s="26" t="n">
        <x:v>9</x:v>
      </x:c>
      <x:c r="K1457" s="7" t="b">
        <x:v>1</x:v>
      </x:c>
      <x:c r="L1457" s="2" t="str">
        <x:v>April 2026</x:v>
      </x:c>
      <x:c r="M1457" s="2" t="str">
        <x:v>https://datawrapper.dwcdn.net/wQR5S/23/dataset.csv</x:v>
      </x:c>
    </x:row>
  </x:sheetData>
  <x:pageMargins left="0.7" right="0.7" top="0.75" bottom="0.75" header="0.3" footer="0.3"/>
  <x:tableParts count="1">
    <x:tablePart xmlns:r="http://schemas.openxmlformats.org/officeDocument/2006/relationships" r:id="R5d8846b438bf40c5"/>
  </x:tableParts>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8" hidden="0" customWidth="1"/>
    <x:col min="2" max="2" width="16" hidden="0" customWidth="1"/>
    <x:col min="3" max="3" width="16" hidden="0" customWidth="1"/>
    <x:col min="4" max="4" width="13" hidden="0" customWidth="1"/>
    <x:col min="5" max="5" width="47" hidden="0" customWidth="1"/>
    <x:col min="6" max="6" width="18" hidden="0" customWidth="1"/>
    <x:col min="7" max="7" width="15" hidden="0" customWidth="1"/>
    <x:col min="8" max="8" width="24" hidden="0" customWidth="1"/>
    <x:col min="9" max="9" width="24" hidden="0" customWidth="1"/>
    <x:col min="10" max="10" width="23" hidden="0" customWidth="1"/>
    <x:col min="11" max="11" width="26" hidden="0" customWidth="1"/>
    <x:col min="12" max="12" width="18" hidden="0" customWidth="1"/>
    <x:col min="13" max="13" width="64" hidden="0" customWidth="1"/>
  </x:cols>
  <x:sheetData>
    <x:row r="1" ht="30" customHeight="1">
      <x:c r="A1" s="4" t="str">
        <x:v>Industry groups</x:v>
      </x:c>
      <x:c r="B1" s="5"/>
      <x:c r="C1" s="5"/>
      <x:c r="D1" s="5"/>
      <x:c r="E1" s="5"/>
      <x:c r="F1" s="5"/>
      <x:c r="G1" s="5"/>
      <x:c r="H1" s="5"/>
      <x:c r="I1" s="5"/>
      <x:c r="J1" s="5"/>
      <x:c r="K1" s="5"/>
      <x:c r="L1" s="5"/>
      <x:c r="M1" s="5"/>
    </x:row>
    <x:row r="2" ht="24" customHeight="1">
      <x:c r="A2" s="6" t="str">
        <x:v>Fixed assignments among 18 industries. Weights are each industry’s share of its group’s 2023 Q1 payroll jobs.</x:v>
      </x:c>
      <x:c r="B2" s="2"/>
      <x:c r="C2" s="2"/>
      <x:c r="D2" s="2"/>
      <x:c r="E2" s="2"/>
      <x:c r="F2" s="2"/>
      <x:c r="G2" s="2"/>
      <x:c r="H2" s="2"/>
      <x:c r="I2" s="2"/>
      <x:c r="J2" s="2"/>
      <x:c r="K2" s="2"/>
      <x:c r="L2" s="2"/>
      <x:c r="M2" s="2"/>
    </x:row>
    <x:row r="3" ht="24" customHeight="1">
      <x:c r="A3" s="2"/>
      <x:c r="B3" s="2"/>
      <x:c r="C3" s="2"/>
      <x:c r="D3" s="2"/>
      <x:c r="E3" s="2"/>
      <x:c r="F3" s="2"/>
      <x:c r="G3" s="2"/>
      <x:c r="H3" s="2"/>
      <x:c r="I3" s="2"/>
      <x:c r="J3" s="2"/>
      <x:c r="K3" s="2"/>
      <x:c r="L3" s="2"/>
      <x:c r="M3" s="2"/>
    </x:row>
    <x:row r="4" ht="24" customHeight="1">
      <x:c r="A4" s="2"/>
      <x:c r="B4" s="2"/>
      <x:c r="C4" s="2"/>
      <x:c r="D4" s="2"/>
      <x:c r="E4" s="2"/>
      <x:c r="F4" s="2"/>
      <x:c r="G4" s="2"/>
      <x:c r="H4" s="2"/>
      <x:c r="I4" s="2"/>
      <x:c r="J4" s="2"/>
      <x:c r="K4" s="2"/>
      <x:c r="L4" s="2"/>
      <x:c r="M4" s="2"/>
    </x:row>
    <x:row r="5" ht="44" customHeight="1">
      <x:c r="A5" s="16" t="str">
        <x:v>Source</x:v>
      </x:c>
      <x:c r="B5" s="17" t="str">
        <x:v>Grouping</x:v>
      </x:c>
      <x:c r="C5" s="17" t="str">
        <x:v>AI group</x:v>
      </x:c>
      <x:c r="D5" s="17" t="str">
        <x:v>NAICS</x:v>
      </x:c>
      <x:c r="E5" s="17" t="str">
        <x:v>Industry</x:v>
      </x:c>
      <x:c r="F5" s="17" t="str">
        <x:v>AI adoption rate</x:v>
      </x:c>
      <x:c r="G5" s="17" t="str">
        <x:v>Adoption rank</x:v>
      </x:c>
      <x:c r="H5" s="17" t="str">
        <x:v>CES series ID</x:v>
      </x:c>
      <x:c r="I5" s="17" t="str">
        <x:v>2023 Q1 jobs (thousands)</x:v>
      </x:c>
      <x:c r="J5" s="17" t="str">
        <x:v>Base employment weight</x:v>
      </x:c>
      <x:c r="K5" s="17" t="str">
        <x:v>Adoption ranking date</x:v>
      </x:c>
      <x:c r="L5" s="17" t="str">
        <x:v>Adoption SE (pp)</x:v>
      </x:c>
      <x:c r="M5" s="18" t="str">
        <x:v>Adoption source URL</x:v>
      </x:c>
    </x:row>
    <x:row r="6" ht="38" customHeight="1">
      <x:c r="A6" s="2" t="str">
        <x:v>Census BTOS</x:v>
      </x:c>
      <x:c r="B6" s="2" t="str">
        <x:v>Quartiles</x:v>
      </x:c>
      <x:c r="C6" s="2" t="str">
        <x:v>Q1</x:v>
      </x:c>
      <x:c r="D6" s="2" t="str">
        <x:v>21</x:v>
      </x:c>
      <x:c r="E6" s="29" t="str">
        <x:v>Mining, quarrying, and oil and gas extraction</x:v>
      </x:c>
      <x:c r="F6" s="24" t="n">
        <x:v>0.053</x:v>
      </x:c>
      <x:c r="G6" s="26" t="n">
        <x:v>1</x:v>
      </x:c>
      <x:c r="H6" s="2" t="str">
        <x:v>CES1021000001</x:v>
      </x:c>
      <x:c r="I6" s="20" t="n">
        <x:v>588.9333333333333</x:v>
      </x:c>
      <x:c r="J6" s="24" t="n">
        <x:f>I6/SUMIFS($I$6:$I$167,$A$6:$A$167,A6,$B$6:$B$167,B6,$C$6:$C$167,C6)</x:f>
        <x:v>0.0138552228026164</x:v>
      </x:c>
      <x:c r="K6" s="2" t="str">
        <x:v>Aug 10–23, 2026</x:v>
      </x:c>
      <x:c r="L6" s="22" t="n">
        <x:v>2.05</x:v>
      </x:c>
      <x:c r="M6" s="2" t="str">
        <x:v>https://www.census.gov/hfp/btos/downloads/Sector.xlsx</x:v>
      </x:c>
    </x:row>
    <x:row r="7" ht="38" customHeight="1">
      <x:c r="A7" s="2" t="str">
        <x:v>Census BTOS</x:v>
      </x:c>
      <x:c r="B7" s="2" t="str">
        <x:v>Quartiles</x:v>
      </x:c>
      <x:c r="C7" s="2" t="str">
        <x:v>Q1</x:v>
      </x:c>
      <x:c r="D7" s="2" t="str">
        <x:v>48-49</x:v>
      </x:c>
      <x:c r="E7" s="29" t="str">
        <x:v>Transportation and warehousing</x:v>
      </x:c>
      <x:c r="F7" s="24" t="n">
        <x:v>0.079</x:v>
      </x:c>
      <x:c r="G7" s="26" t="n">
        <x:v>2</x:v>
      </x:c>
      <x:c r="H7" s="2" t="str">
        <x:v>CES4300000001</x:v>
      </x:c>
      <x:c r="I7" s="20" t="n">
        <x:v>6591.166666666667</x:v>
      </x:c>
      <x:c r="J7" s="24" t="n">
        <x:f>I7/SUMIFS($I$6:$I$167,$A$6:$A$167,A7,$B$6:$B$167,B7,$C$6:$C$167,C7)</x:f>
        <x:v>0.1550635318584647</x:v>
      </x:c>
      <x:c r="K7" s="2" t="str">
        <x:v>Aug 10–23, 2026</x:v>
      </x:c>
      <x:c r="L7" s="22" t="n">
        <x:v>1</x:v>
      </x:c>
      <x:c r="M7" s="2" t="str">
        <x:v>https://www.census.gov/hfp/btos/downloads/Sector.xlsx</x:v>
      </x:c>
    </x:row>
    <x:row r="8" ht="38" customHeight="1">
      <x:c r="A8" s="2" t="str">
        <x:v>Census BTOS</x:v>
      </x:c>
      <x:c r="B8" s="2" t="str">
        <x:v>Quartiles</x:v>
      </x:c>
      <x:c r="C8" s="2" t="str">
        <x:v>Q1</x:v>
      </x:c>
      <x:c r="D8" s="2" t="str">
        <x:v>72</x:v>
      </x:c>
      <x:c r="E8" s="29" t="str">
        <x:v>Accommodation and food services</x:v>
      </x:c>
      <x:c r="F8" s="24" t="n">
        <x:v>0.085</x:v>
      </x:c>
      <x:c r="G8" s="26" t="n">
        <x:v>3</x:v>
      </x:c>
      <x:c r="H8" s="2" t="str">
        <x:v>CES7072000001</x:v>
      </x:c>
      <x:c r="I8" s="20" t="n">
        <x:v>13967.566666666666</x:v>
      </x:c>
      <x:c r="J8" s="24" t="n">
        <x:f>I8/SUMIFS($I$6:$I$167,$A$6:$A$167,A8,$B$6:$B$167,B8,$C$6:$C$167,C8)</x:f>
        <x:v>0.328600432720848</x:v>
      </x:c>
      <x:c r="K8" s="2" t="str">
        <x:v>Aug 10–23, 2026</x:v>
      </x:c>
      <x:c r="L8" s="22" t="n">
        <x:v>0.59</x:v>
      </x:c>
      <x:c r="M8" s="2" t="str">
        <x:v>https://www.census.gov/hfp/btos/downloads/Sector.xlsx</x:v>
      </x:c>
    </x:row>
    <x:row r="9" ht="38" customHeight="1">
      <x:c r="A9" s="2" t="str">
        <x:v>Census BTOS</x:v>
      </x:c>
      <x:c r="B9" s="2" t="str">
        <x:v>Quartiles</x:v>
      </x:c>
      <x:c r="C9" s="2" t="str">
        <x:v>Q1</x:v>
      </x:c>
      <x:c r="D9" s="2" t="str">
        <x:v>81</x:v>
      </x:c>
      <x:c r="E9" s="29" t="str">
        <x:v>Other services, except government</x:v>
      </x:c>
      <x:c r="F9" s="24" t="n">
        <x:v>0.13699999999999998</x:v>
      </x:c>
      <x:c r="G9" s="26" t="n">
        <x:v>4</x:v>
      </x:c>
      <x:c r="H9" s="2" t="str">
        <x:v>CES8000000001</x:v>
      </x:c>
      <x:c r="I9" s="20" t="n">
        <x:v>5786.333333333333</x:v>
      </x:c>
      <x:c r="J9" s="24" t="n">
        <x:f>I9/SUMIFS($I$6:$I$167,$A$6:$A$167,A9,$B$6:$B$167,B9,$C$6:$C$167,C9)</x:f>
        <x:v>0.13612905401325454</x:v>
      </x:c>
      <x:c r="K9" s="2" t="str">
        <x:v>Aug 10–23, 2026</x:v>
      </x:c>
      <x:c r="L9" s="22" t="n">
        <x:v>0.36</x:v>
      </x:c>
      <x:c r="M9" s="2" t="str">
        <x:v>https://www.census.gov/hfp/btos/downloads/Sector.xlsx</x:v>
      </x:c>
    </x:row>
    <x:row r="10" ht="38" customHeight="1">
      <x:c r="A10" s="2" t="str">
        <x:v>Census BTOS</x:v>
      </x:c>
      <x:c r="B10" s="2" t="str">
        <x:v>Quartiles</x:v>
      </x:c>
      <x:c r="C10" s="2" t="str">
        <x:v>Q1</x:v>
      </x:c>
      <x:c r="D10" s="2" t="str">
        <x:v>44-45</x:v>
      </x:c>
      <x:c r="E10" s="29" t="str">
        <x:v>Retail trade</x:v>
      </x:c>
      <x:c r="F10" s="24" t="n">
        <x:v>0.155</x:v>
      </x:c>
      <x:c r="G10" s="26" t="n">
        <x:v>5</x:v>
      </x:c>
      <x:c r="H10" s="2" t="str">
        <x:v>CES4200000001</x:v>
      </x:c>
      <x:c r="I10" s="20" t="n">
        <x:v>15572.233333333332</x:v>
      </x:c>
      <x:c r="J10" s="24" t="n">
        <x:f>I10/SUMIFS($I$6:$I$167,$A$6:$A$167,A10,$B$6:$B$167,B10,$C$6:$C$167,C10)</x:f>
        <x:v>0.3663517586048164</x:v>
      </x:c>
      <x:c r="K10" s="2" t="str">
        <x:v>Aug 10–23, 2026</x:v>
      </x:c>
      <x:c r="L10" s="22" t="n">
        <x:v>0.97</x:v>
      </x:c>
      <x:c r="M10" s="2" t="str">
        <x:v>https://www.census.gov/hfp/btos/downloads/Sector.xlsx</x:v>
      </x:c>
    </x:row>
    <x:row r="11" ht="38" customHeight="1">
      <x:c r="A11" s="2" t="str">
        <x:v>Census BTOS</x:v>
      </x:c>
      <x:c r="B11" s="2" t="str">
        <x:v>Quartiles</x:v>
      </x:c>
      <x:c r="C11" s="2" t="str">
        <x:v>Q2</x:v>
      </x:c>
      <x:c r="D11" s="2" t="str">
        <x:v>23</x:v>
      </x:c>
      <x:c r="E11" s="29" t="str">
        <x:v>Construction</x:v>
      </x:c>
      <x:c r="F11" s="24" t="n">
        <x:v>0.16</x:v>
      </x:c>
      <x:c r="G11" s="26" t="n">
        <x:v>6</x:v>
      </x:c>
      <x:c r="H11" s="2" t="str">
        <x:v>CES2000000001</x:v>
      </x:c>
      <x:c r="I11" s="20" t="n">
        <x:v>7933.666666666667</x:v>
      </x:c>
      <x:c r="J11" s="24" t="n">
        <x:f>I11/SUMIFS($I$6:$I$167,$A$6:$A$167,A11,$B$6:$B$167,B11,$C$6:$C$167,C11)</x:f>
        <x:v>0.46580672181743105</x:v>
      </x:c>
      <x:c r="K11" s="2" t="str">
        <x:v>Aug 10–23, 2026</x:v>
      </x:c>
      <x:c r="L11" s="22" t="n">
        <x:v>0.9</x:v>
      </x:c>
      <x:c r="M11" s="2" t="str">
        <x:v>https://www.census.gov/hfp/btos/downloads/Sector.xlsx</x:v>
      </x:c>
    </x:row>
    <x:row r="12" ht="38" customHeight="1">
      <x:c r="A12" s="2" t="str">
        <x:v>Census BTOS</x:v>
      </x:c>
      <x:c r="B12" s="2" t="str">
        <x:v>Quartiles</x:v>
      </x:c>
      <x:c r="C12" s="2" t="str">
        <x:v>Q2</x:v>
      </x:c>
      <x:c r="D12" s="2" t="str">
        <x:v>22</x:v>
      </x:c>
      <x:c r="E12" s="29" t="str">
        <x:v>Utilities</x:v>
      </x:c>
      <x:c r="F12" s="24" t="n">
        <x:v>0.16399999999999998</x:v>
      </x:c>
      <x:c r="G12" s="26" t="n">
        <x:v>7</x:v>
      </x:c>
      <x:c r="H12" s="2" t="str">
        <x:v>CES4422000001</x:v>
      </x:c>
      <x:c r="I12" s="20" t="n">
        <x:v>569.0666666666667</x:v>
      </x:c>
      <x:c r="J12" s="24" t="n">
        <x:f>I12/SUMIFS($I$6:$I$167,$A$6:$A$167,A12,$B$6:$B$167,B12,$C$6:$C$167,C12)</x:f>
        <x:v>0.03341142117922433</x:v>
      </x:c>
      <x:c r="K12" s="2" t="str">
        <x:v>Aug 10–23, 2026</x:v>
      </x:c>
      <x:c r="L12" s="22" t="n">
        <x:v>3.4</x:v>
      </x:c>
      <x:c r="M12" s="2" t="str">
        <x:v>https://www.census.gov/hfp/btos/downloads/Sector.xlsx</x:v>
      </x:c>
    </x:row>
    <x:row r="13" ht="38" customHeight="1">
      <x:c r="A13" s="2" t="str">
        <x:v>Census BTOS</x:v>
      </x:c>
      <x:c r="B13" s="2" t="str">
        <x:v>Quartiles</x:v>
      </x:c>
      <x:c r="C13" s="2" t="str">
        <x:v>Q2</x:v>
      </x:c>
      <x:c r="D13" s="2" t="str">
        <x:v>71</x:v>
      </x:c>
      <x:c r="E13" s="29" t="str">
        <x:v>Arts, entertainment, and recreation</x:v>
      </x:c>
      <x:c r="F13" s="24" t="n">
        <x:v>0.2</x:v>
      </x:c>
      <x:c r="G13" s="26" t="n">
        <x:v>8</x:v>
      </x:c>
      <x:c r="H13" s="2" t="str">
        <x:v>CES7071000001</x:v>
      </x:c>
      <x:c r="I13" s="20" t="n">
        <x:v>2443.5333333333333</x:v>
      </x:c>
      <x:c r="J13" s="24" t="n">
        <x:f>I13/SUMIFS($I$6:$I$167,$A$6:$A$167,A13,$B$6:$B$167,B13,$C$6:$C$167,C13)</x:f>
        <x:v>0.14346635666378976</x:v>
      </x:c>
      <x:c r="K13" s="2" t="str">
        <x:v>Aug 10–23, 2026</x:v>
      </x:c>
      <x:c r="L13" s="22" t="n">
        <x:v>1.76</x:v>
      </x:c>
      <x:c r="M13" s="2" t="str">
        <x:v>https://www.census.gov/hfp/btos/downloads/Sector.xlsx</x:v>
      </x:c>
    </x:row>
    <x:row r="14" ht="38" customHeight="1">
      <x:c r="A14" s="2" t="str">
        <x:v>Census BTOS</x:v>
      </x:c>
      <x:c r="B14" s="2" t="str">
        <x:v>Quartiles</x:v>
      </x:c>
      <x:c r="C14" s="2" t="str">
        <x:v>Q2</x:v>
      </x:c>
      <x:c r="D14" s="2" t="str">
        <x:v>42</x:v>
      </x:c>
      <x:c r="E14" s="29" t="str">
        <x:v>Wholesale trade</x:v>
      </x:c>
      <x:c r="F14" s="24" t="n">
        <x:v>0.204</x:v>
      </x:c>
      <x:c r="G14" s="26" t="n">
        <x:v>9</x:v>
      </x:c>
      <x:c r="H14" s="2" t="str">
        <x:v>CES4142000001</x:v>
      </x:c>
      <x:c r="I14" s="20" t="n">
        <x:v>6085.833333333333</x:v>
      </x:c>
      <x:c r="J14" s="24" t="n">
        <x:f>I14/SUMIFS($I$6:$I$167,$A$6:$A$167,A14,$B$6:$B$167,B14,$C$6:$C$167,C14)</x:f>
        <x:v>0.35731550033955495</x:v>
      </x:c>
      <x:c r="K14" s="2" t="str">
        <x:v>Aug 10–23, 2026</x:v>
      </x:c>
      <x:c r="L14" s="22" t="n">
        <x:v>1.06</x:v>
      </x:c>
      <x:c r="M14" s="2" t="str">
        <x:v>https://www.census.gov/hfp/btos/downloads/Sector.xlsx</x:v>
      </x:c>
    </x:row>
    <x:row r="15" ht="38" customHeight="1">
      <x:c r="A15" s="2" t="str">
        <x:v>Census BTOS</x:v>
      </x:c>
      <x:c r="B15" s="2" t="str">
        <x:v>Quartiles</x:v>
      </x:c>
      <x:c r="C15" s="2" t="str">
        <x:v>Q3</x:v>
      </x:c>
      <x:c r="D15" s="2" t="str">
        <x:v>56</x:v>
      </x:c>
      <x:c r="E15" s="29" t="str">
        <x:v>Administrative, support, and waste services</x:v>
      </x:c>
      <x:c r="F15" s="24" t="n">
        <x:v>0.207</x:v>
      </x:c>
      <x:c r="G15" s="26" t="n">
        <x:v>10</x:v>
      </x:c>
      <x:c r="H15" s="2" t="str">
        <x:v>CES6056000001</x:v>
      </x:c>
      <x:c r="I15" s="20" t="n">
        <x:v>9502.833333333334</x:v>
      </x:c>
      <x:c r="J15" s="24" t="n">
        <x:f>I15/SUMIFS($I$6:$I$167,$A$6:$A$167,A15,$B$6:$B$167,B15,$C$6:$C$167,C15)</x:f>
        <x:v>0.20654322204093703</x:v>
      </x:c>
      <x:c r="K15" s="2" t="str">
        <x:v>Aug 10–23, 2026</x:v>
      </x:c>
      <x:c r="L15" s="22" t="n">
        <x:v>1.29</x:v>
      </x:c>
      <x:c r="M15" s="2" t="str">
        <x:v>https://www.census.gov/hfp/btos/downloads/Sector.xlsx</x:v>
      </x:c>
    </x:row>
    <x:row r="16" ht="38" customHeight="1">
      <x:c r="A16" s="2" t="str">
        <x:v>Census BTOS</x:v>
      </x:c>
      <x:c r="B16" s="2" t="str">
        <x:v>Quartiles</x:v>
      </x:c>
      <x:c r="C16" s="2" t="str">
        <x:v>Q3</x:v>
      </x:c>
      <x:c r="D16" s="2" t="str">
        <x:v>31-33</x:v>
      </x:c>
      <x:c r="E16" s="29" t="str">
        <x:v>Manufacturing</x:v>
      </x:c>
      <x:c r="F16" s="24" t="n">
        <x:v>0.23399999999999999</x:v>
      </x:c>
      <x:c r="G16" s="26" t="n">
        <x:v>11</x:v>
      </x:c>
      <x:c r="H16" s="2" t="str">
        <x:v>CES3000000001</x:v>
      </x:c>
      <x:c r="I16" s="20" t="n">
        <x:v>12896.333333333334</x:v>
      </x:c>
      <x:c r="J16" s="24" t="n">
        <x:f>I16/SUMIFS($I$6:$I$167,$A$6:$A$167,A16,$B$6:$B$167,B16,$C$6:$C$167,C16)</x:f>
        <x:v>0.28030063726754517</x:v>
      </x:c>
      <x:c r="K16" s="2" t="str">
        <x:v>Aug 10–23, 2026</x:v>
      </x:c>
      <x:c r="L16" s="22" t="n">
        <x:v>0.98</x:v>
      </x:c>
      <x:c r="M16" s="2" t="str">
        <x:v>https://www.census.gov/hfp/btos/downloads/Sector.xlsx</x:v>
      </x:c>
    </x:row>
    <x:row r="17" ht="38" customHeight="1">
      <x:c r="A17" s="2" t="str">
        <x:v>Census BTOS</x:v>
      </x:c>
      <x:c r="B17" s="2" t="str">
        <x:v>Quartiles</x:v>
      </x:c>
      <x:c r="C17" s="2" t="str">
        <x:v>Q3</x:v>
      </x:c>
      <x:c r="D17" s="2" t="str">
        <x:v>62</x:v>
      </x:c>
      <x:c r="E17" s="29" t="str">
        <x:v>Health care and social assistance</x:v>
      </x:c>
      <x:c r="F17" s="24" t="n">
        <x:v>0.247</x:v>
      </x:c>
      <x:c r="G17" s="26" t="n">
        <x:v>12</x:v>
      </x:c>
      <x:c r="H17" s="2" t="str">
        <x:v>CES6562000001</x:v>
      </x:c>
      <x:c r="I17" s="20" t="n">
        <x:v>21171.533333333333</x:v>
      </x:c>
      <x:c r="J17" s="24" t="n">
        <x:f>I17/SUMIFS($I$6:$I$167,$A$6:$A$167,A17,$B$6:$B$167,B17,$C$6:$C$167,C17)</x:f>
        <x:v>0.4601613599677744</x:v>
      </x:c>
      <x:c r="K17" s="2" t="str">
        <x:v>Aug 10–23, 2026</x:v>
      </x:c>
      <x:c r="L17" s="22" t="n">
        <x:v>0.79</x:v>
      </x:c>
      <x:c r="M17" s="2" t="str">
        <x:v>https://www.census.gov/hfp/btos/downloads/Sector.xlsx</x:v>
      </x:c>
    </x:row>
    <x:row r="18" ht="38" customHeight="1">
      <x:c r="A18" s="2" t="str">
        <x:v>Census BTOS</x:v>
      </x:c>
      <x:c r="B18" s="2" t="str">
        <x:v>Quartiles</x:v>
      </x:c>
      <x:c r="C18" s="2" t="str">
        <x:v>Q3</x:v>
      </x:c>
      <x:c r="D18" s="2" t="str">
        <x:v>53</x:v>
      </x:c>
      <x:c r="E18" s="29" t="str">
        <x:v>Real estate and rental and leasing</x:v>
      </x:c>
      <x:c r="F18" s="24" t="n">
        <x:v>0.319</x:v>
      </x:c>
      <x:c r="G18" s="26" t="n">
        <x:v>13</x:v>
      </x:c>
      <x:c r="H18" s="2" t="str">
        <x:v>CES5553000001</x:v>
      </x:c>
      <x:c r="I18" s="20" t="n">
        <x:v>2438.233333333333</x:v>
      </x:c>
      <x:c r="J18" s="24" t="n">
        <x:f>I18/SUMIFS($I$6:$I$167,$A$6:$A$167,A18,$B$6:$B$167,B18,$C$6:$C$167,C18)</x:f>
        <x:v>0.05299478072374351</x:v>
      </x:c>
      <x:c r="K18" s="2" t="str">
        <x:v>Aug 10–23, 2026</x:v>
      </x:c>
      <x:c r="L18" s="22" t="n">
        <x:v>1.45</x:v>
      </x:c>
      <x:c r="M18" s="2" t="str">
        <x:v>https://www.census.gov/hfp/btos/downloads/Sector.xlsx</x:v>
      </x:c>
    </x:row>
    <x:row r="19" ht="38" customHeight="1">
      <x:c r="A19" s="2" t="str">
        <x:v>Census BTOS</x:v>
      </x:c>
      <x:c r="B19" s="2" t="str">
        <x:v>Quartiles</x:v>
      </x:c>
      <x:c r="C19" s="2" t="str">
        <x:v>Q4</x:v>
      </x:c>
      <x:c r="D19" s="2" t="str">
        <x:v>55</x:v>
      </x:c>
      <x:c r="E19" s="29" t="str">
        <x:v>Management of companies and enterprises</x:v>
      </x:c>
      <x:c r="F19" s="24" t="n">
        <x:v>0.348</x:v>
      </x:c>
      <x:c r="G19" s="26" t="n">
        <x:v>14</x:v>
      </x:c>
      <x:c r="H19" s="2" t="str">
        <x:v>CES6055000001</x:v>
      </x:c>
      <x:c r="I19" s="20" t="n">
        <x:v>2597.9</x:v>
      </x:c>
      <x:c r="J19" s="24" t="n">
        <x:f>I19/SUMIFS($I$6:$I$167,$A$6:$A$167,A19,$B$6:$B$167,B19,$C$6:$C$167,C19)</x:f>
        <x:v>0.09669998895736426</x:v>
      </x:c>
      <x:c r="K19" s="2" t="str">
        <x:v>Aug 10–23, 2026</x:v>
      </x:c>
      <x:c r="L19" s="22" t="n">
        <x:v>16.06</x:v>
      </x:c>
      <x:c r="M19" s="2" t="str">
        <x:v>https://www.census.gov/hfp/btos/downloads/Sector.xlsx</x:v>
      </x:c>
    </x:row>
    <x:row r="20" ht="38" customHeight="1">
      <x:c r="A20" s="2" t="str">
        <x:v>Census BTOS</x:v>
      </x:c>
      <x:c r="B20" s="2" t="str">
        <x:v>Quartiles</x:v>
      </x:c>
      <x:c r="C20" s="2" t="str">
        <x:v>Q4</x:v>
      </x:c>
      <x:c r="D20" s="2" t="str">
        <x:v>61</x:v>
      </x:c>
      <x:c r="E20" s="29" t="str">
        <x:v>Private educational services</x:v>
      </x:c>
      <x:c r="F20" s="24" t="n">
        <x:v>0.355</x:v>
      </x:c>
      <x:c r="G20" s="26" t="n">
        <x:v>15</x:v>
      </x:c>
      <x:c r="H20" s="2" t="str">
        <x:v>CES6561000001</x:v>
      </x:c>
      <x:c r="I20" s="20" t="n">
        <x:v>3785.7333333333336</x:v>
      </x:c>
      <x:c r="J20" s="24" t="n">
        <x:f>I20/SUMIFS($I$6:$I$167,$A$6:$A$167,A20,$B$6:$B$167,B20,$C$6:$C$167,C20)</x:f>
        <x:v>0.14091395801565076</x:v>
      </x:c>
      <x:c r="K20" s="2" t="str">
        <x:v>Aug 10–23, 2026</x:v>
      </x:c>
      <x:c r="L20" s="22" t="n">
        <x:v>2.08</x:v>
      </x:c>
      <x:c r="M20" s="2" t="str">
        <x:v>https://www.census.gov/hfp/btos/downloads/Sector.xlsx</x:v>
      </x:c>
    </x:row>
    <x:row r="21" ht="38" customHeight="1">
      <x:c r="A21" s="2" t="str">
        <x:v>Census BTOS</x:v>
      </x:c>
      <x:c r="B21" s="2" t="str">
        <x:v>Quartiles</x:v>
      </x:c>
      <x:c r="C21" s="2" t="str">
        <x:v>Q4</x:v>
      </x:c>
      <x:c r="D21" s="2" t="str">
        <x:v>52</x:v>
      </x:c>
      <x:c r="E21" s="29" t="str">
        <x:v>Finance and insurance</x:v>
      </x:c>
      <x:c r="F21" s="24" t="n">
        <x:v>0.365</x:v>
      </x:c>
      <x:c r="G21" s="26" t="n">
        <x:v>16</x:v>
      </x:c>
      <x:c r="H21" s="2" t="str">
        <x:v>CES5552000001</x:v>
      </x:c>
      <x:c r="I21" s="20" t="n">
        <x:v>6710.099999999999</x:v>
      </x:c>
      <x:c r="J21" s="24" t="n">
        <x:f>I21/SUMIFS($I$6:$I$167,$A$6:$A$167,A21,$B$6:$B$167,B21,$C$6:$C$167,C21)</x:f>
        <x:v>0.24976580927010655</x:v>
      </x:c>
      <x:c r="K21" s="2" t="str">
        <x:v>Aug 10–23, 2026</x:v>
      </x:c>
      <x:c r="L21" s="22" t="n">
        <x:v>2.29</x:v>
      </x:c>
      <x:c r="M21" s="2" t="str">
        <x:v>https://www.census.gov/hfp/btos/downloads/Sector.xlsx</x:v>
      </x:c>
    </x:row>
    <x:row r="22" ht="38" customHeight="1">
      <x:c r="A22" s="2" t="str">
        <x:v>Census BTOS</x:v>
      </x:c>
      <x:c r="B22" s="2" t="str">
        <x:v>Quartiles</x:v>
      </x:c>
      <x:c r="C22" s="2" t="str">
        <x:v>Q4</x:v>
      </x:c>
      <x:c r="D22" s="2" t="str">
        <x:v>54</x:v>
      </x:c>
      <x:c r="E22" s="29" t="str">
        <x:v>Professional, scientific, and technical services</x:v>
      </x:c>
      <x:c r="F22" s="24" t="n">
        <x:v>0.433</x:v>
      </x:c>
      <x:c r="G22" s="26" t="n">
        <x:v>17</x:v>
      </x:c>
      <x:c r="H22" s="2" t="str">
        <x:v>CES6054000001</x:v>
      </x:c>
      <x:c r="I22" s="20" t="n">
        <x:v>10719.166666666666</x:v>
      </x:c>
      <x:c r="J22" s="24" t="n">
        <x:f>I22/SUMIFS($I$6:$I$167,$A$6:$A$167,A22,$B$6:$B$167,B22,$C$6:$C$167,C22)</x:f>
        <x:v>0.3989927627309802</x:v>
      </x:c>
      <x:c r="K22" s="2" t="str">
        <x:v>Aug 10–23, 2026</x:v>
      </x:c>
      <x:c r="L22" s="22" t="n">
        <x:v>0.96</x:v>
      </x:c>
      <x:c r="M22" s="2" t="str">
        <x:v>https://www.census.gov/hfp/btos/downloads/Sector.xlsx</x:v>
      </x:c>
    </x:row>
    <x:row r="23" ht="38" customHeight="1">
      <x:c r="A23" s="2" t="str">
        <x:v>Census BTOS</x:v>
      </x:c>
      <x:c r="B23" s="2" t="str">
        <x:v>Quartiles</x:v>
      </x:c>
      <x:c r="C23" s="2" t="str">
        <x:v>Q4</x:v>
      </x:c>
      <x:c r="D23" s="2" t="str">
        <x:v>51</x:v>
      </x:c>
      <x:c r="E23" s="29" t="str">
        <x:v>Information</x:v>
      </x:c>
      <x:c r="F23" s="24" t="n">
        <x:v>0.435</x:v>
      </x:c>
      <x:c r="G23" s="26" t="n">
        <x:v>18</x:v>
      </x:c>
      <x:c r="H23" s="2" t="str">
        <x:v>CES5000000001</x:v>
      </x:c>
      <x:c r="I23" s="20" t="n">
        <x:v>3052.6666666666665</x:v>
      </x:c>
      <x:c r="J23" s="24" t="n">
        <x:f>I23/SUMIFS($I$6:$I$167,$A$6:$A$167,A23,$B$6:$B$167,B23,$C$6:$C$167,C23)</x:f>
        <x:v>0.11362748102589806</x:v>
      </x:c>
      <x:c r="K23" s="2" t="str">
        <x:v>Aug 10–23, 2026</x:v>
      </x:c>
      <x:c r="L23" s="22" t="n">
        <x:v>1.59</x:v>
      </x:c>
      <x:c r="M23" s="2" t="str">
        <x:v>https://www.census.gov/hfp/btos/downloads/Sector.xlsx</x:v>
      </x:c>
    </x:row>
    <x:row r="24" ht="38" customHeight="1">
      <x:c r="A24" s="2" t="str">
        <x:v>Census BTOS</x:v>
      </x:c>
      <x:c r="B24" s="2" t="str">
        <x:v>Quintiles</x:v>
      </x:c>
      <x:c r="C24" s="2" t="str">
        <x:v>Q1</x:v>
      </x:c>
      <x:c r="D24" s="2" t="str">
        <x:v>21</x:v>
      </x:c>
      <x:c r="E24" s="29" t="str">
        <x:v>Mining, quarrying, and oil and gas extraction</x:v>
      </x:c>
      <x:c r="F24" s="24" t="n">
        <x:v>0.053</x:v>
      </x:c>
      <x:c r="G24" s="26" t="n">
        <x:v>1</x:v>
      </x:c>
      <x:c r="H24" s="2" t="str">
        <x:v>CES1021000001</x:v>
      </x:c>
      <x:c r="I24" s="20" t="n">
        <x:v>588.9333333333333</x:v>
      </x:c>
      <x:c r="J24" s="24" t="n">
        <x:f>I24/SUMIFS($I$6:$I$167,$A$6:$A$167,A24,$B$6:$B$167,B24,$C$6:$C$167,C24)</x:f>
        <x:v>0.021865795401103935</x:v>
      </x:c>
      <x:c r="K24" s="2" t="str">
        <x:v>Aug 10–23, 2026</x:v>
      </x:c>
      <x:c r="L24" s="22" t="n">
        <x:v>2.05</x:v>
      </x:c>
      <x:c r="M24" s="2" t="str">
        <x:v>https://www.census.gov/hfp/btos/downloads/Sector.xlsx</x:v>
      </x:c>
    </x:row>
    <x:row r="25" ht="38" customHeight="1">
      <x:c r="A25" s="2" t="str">
        <x:v>Census BTOS</x:v>
      </x:c>
      <x:c r="B25" s="2" t="str">
        <x:v>Quintiles</x:v>
      </x:c>
      <x:c r="C25" s="2" t="str">
        <x:v>Q1</x:v>
      </x:c>
      <x:c r="D25" s="2" t="str">
        <x:v>48-49</x:v>
      </x:c>
      <x:c r="E25" s="29" t="str">
        <x:v>Transportation and warehousing</x:v>
      </x:c>
      <x:c r="F25" s="24" t="n">
        <x:v>0.079</x:v>
      </x:c>
      <x:c r="G25" s="26" t="n">
        <x:v>2</x:v>
      </x:c>
      <x:c r="H25" s="2" t="str">
        <x:v>CES4300000001</x:v>
      </x:c>
      <x:c r="I25" s="20" t="n">
        <x:v>6591.166666666667</x:v>
      </x:c>
      <x:c r="J25" s="24" t="n">
        <x:f>I25/SUMIFS($I$6:$I$167,$A$6:$A$167,A25,$B$6:$B$167,B25,$C$6:$C$167,C25)</x:f>
        <x:v>0.24471547733966986</x:v>
      </x:c>
      <x:c r="K25" s="2" t="str">
        <x:v>Aug 10–23, 2026</x:v>
      </x:c>
      <x:c r="L25" s="22" t="n">
        <x:v>1</x:v>
      </x:c>
      <x:c r="M25" s="2" t="str">
        <x:v>https://www.census.gov/hfp/btos/downloads/Sector.xlsx</x:v>
      </x:c>
    </x:row>
    <x:row r="26" ht="38" customHeight="1">
      <x:c r="A26" s="2" t="str">
        <x:v>Census BTOS</x:v>
      </x:c>
      <x:c r="B26" s="2" t="str">
        <x:v>Quintiles</x:v>
      </x:c>
      <x:c r="C26" s="2" t="str">
        <x:v>Q1</x:v>
      </x:c>
      <x:c r="D26" s="2" t="str">
        <x:v>72</x:v>
      </x:c>
      <x:c r="E26" s="29" t="str">
        <x:v>Accommodation and food services</x:v>
      </x:c>
      <x:c r="F26" s="24" t="n">
        <x:v>0.085</x:v>
      </x:c>
      <x:c r="G26" s="26" t="n">
        <x:v>3</x:v>
      </x:c>
      <x:c r="H26" s="2" t="str">
        <x:v>CES7072000001</x:v>
      </x:c>
      <x:c r="I26" s="20" t="n">
        <x:v>13967.566666666666</x:v>
      </x:c>
      <x:c r="J26" s="24" t="n">
        <x:f>I26/SUMIFS($I$6:$I$167,$A$6:$A$167,A26,$B$6:$B$167,B26,$C$6:$C$167,C26)</x:f>
        <x:v>0.5185849360164353</x:v>
      </x:c>
      <x:c r="K26" s="2" t="str">
        <x:v>Aug 10–23, 2026</x:v>
      </x:c>
      <x:c r="L26" s="22" t="n">
        <x:v>0.59</x:v>
      </x:c>
      <x:c r="M26" s="2" t="str">
        <x:v>https://www.census.gov/hfp/btos/downloads/Sector.xlsx</x:v>
      </x:c>
    </x:row>
    <x:row r="27" ht="38" customHeight="1">
      <x:c r="A27" s="2" t="str">
        <x:v>Census BTOS</x:v>
      </x:c>
      <x:c r="B27" s="2" t="str">
        <x:v>Quintiles</x:v>
      </x:c>
      <x:c r="C27" s="2" t="str">
        <x:v>Q1</x:v>
      </x:c>
      <x:c r="D27" s="2" t="str">
        <x:v>81</x:v>
      </x:c>
      <x:c r="E27" s="29" t="str">
        <x:v>Other services, except government</x:v>
      </x:c>
      <x:c r="F27" s="24" t="n">
        <x:v>0.13699999999999998</x:v>
      </x:c>
      <x:c r="G27" s="26" t="n">
        <x:v>4</x:v>
      </x:c>
      <x:c r="H27" s="2" t="str">
        <x:v>CES8000000001</x:v>
      </x:c>
      <x:c r="I27" s="20" t="n">
        <x:v>5786.333333333333</x:v>
      </x:c>
      <x:c r="J27" s="24" t="n">
        <x:f>I27/SUMIFS($I$6:$I$167,$A$6:$A$167,A27,$B$6:$B$167,B27,$C$6:$C$167,C27)</x:f>
        <x:v>0.21483379124279103</x:v>
      </x:c>
      <x:c r="K27" s="2" t="str">
        <x:v>Aug 10–23, 2026</x:v>
      </x:c>
      <x:c r="L27" s="22" t="n">
        <x:v>0.36</x:v>
      </x:c>
      <x:c r="M27" s="2" t="str">
        <x:v>https://www.census.gov/hfp/btos/downloads/Sector.xlsx</x:v>
      </x:c>
    </x:row>
    <x:row r="28" ht="38" customHeight="1">
      <x:c r="A28" s="2" t="str">
        <x:v>Census BTOS</x:v>
      </x:c>
      <x:c r="B28" s="2" t="str">
        <x:v>Quintiles</x:v>
      </x:c>
      <x:c r="C28" s="2" t="str">
        <x:v>Q2</x:v>
      </x:c>
      <x:c r="D28" s="2" t="str">
        <x:v>44-45</x:v>
      </x:c>
      <x:c r="E28" s="29" t="str">
        <x:v>Retail trade</x:v>
      </x:c>
      <x:c r="F28" s="24" t="n">
        <x:v>0.155</x:v>
      </x:c>
      <x:c r="G28" s="26" t="n">
        <x:v>5</x:v>
      </x:c>
      <x:c r="H28" s="2" t="str">
        <x:v>CES4200000001</x:v>
      </x:c>
      <x:c r="I28" s="20" t="n">
        <x:v>15572.233333333332</x:v>
      </x:c>
      <x:c r="J28" s="24" t="n">
        <x:f>I28/SUMIFS($I$6:$I$167,$A$6:$A$167,A28,$B$6:$B$167,B28,$C$6:$C$167,C28)</x:f>
        <x:v>0.6468226331916002</x:v>
      </x:c>
      <x:c r="K28" s="2" t="str">
        <x:v>Aug 10–23, 2026</x:v>
      </x:c>
      <x:c r="L28" s="22" t="n">
        <x:v>0.97</x:v>
      </x:c>
      <x:c r="M28" s="2" t="str">
        <x:v>https://www.census.gov/hfp/btos/downloads/Sector.xlsx</x:v>
      </x:c>
    </x:row>
    <x:row r="29" ht="38" customHeight="1">
      <x:c r="A29" s="2" t="str">
        <x:v>Census BTOS</x:v>
      </x:c>
      <x:c r="B29" s="2" t="str">
        <x:v>Quintiles</x:v>
      </x:c>
      <x:c r="C29" s="2" t="str">
        <x:v>Q2</x:v>
      </x:c>
      <x:c r="D29" s="2" t="str">
        <x:v>23</x:v>
      </x:c>
      <x:c r="E29" s="29" t="str">
        <x:v>Construction</x:v>
      </x:c>
      <x:c r="F29" s="24" t="n">
        <x:v>0.16</x:v>
      </x:c>
      <x:c r="G29" s="26" t="n">
        <x:v>6</x:v>
      </x:c>
      <x:c r="H29" s="2" t="str">
        <x:v>CES2000000001</x:v>
      </x:c>
      <x:c r="I29" s="20" t="n">
        <x:v>7933.666666666667</x:v>
      </x:c>
      <x:c r="J29" s="24" t="n">
        <x:f>I29/SUMIFS($I$6:$I$167,$A$6:$A$167,A29,$B$6:$B$167,B29,$C$6:$C$167,C29)</x:f>
        <x:v>0.3295400893597638</x:v>
      </x:c>
      <x:c r="K29" s="2" t="str">
        <x:v>Aug 10–23, 2026</x:v>
      </x:c>
      <x:c r="L29" s="22" t="n">
        <x:v>0.9</x:v>
      </x:c>
      <x:c r="M29" s="2" t="str">
        <x:v>https://www.census.gov/hfp/btos/downloads/Sector.xlsx</x:v>
      </x:c>
    </x:row>
    <x:row r="30" ht="38" customHeight="1">
      <x:c r="A30" s="2" t="str">
        <x:v>Census BTOS</x:v>
      </x:c>
      <x:c r="B30" s="2" t="str">
        <x:v>Quintiles</x:v>
      </x:c>
      <x:c r="C30" s="2" t="str">
        <x:v>Q2</x:v>
      </x:c>
      <x:c r="D30" s="2" t="str">
        <x:v>22</x:v>
      </x:c>
      <x:c r="E30" s="29" t="str">
        <x:v>Utilities</x:v>
      </x:c>
      <x:c r="F30" s="24" t="n">
        <x:v>0.16399999999999998</x:v>
      </x:c>
      <x:c r="G30" s="26" t="n">
        <x:v>7</x:v>
      </x:c>
      <x:c r="H30" s="2" t="str">
        <x:v>CES4422000001</x:v>
      </x:c>
      <x:c r="I30" s="20" t="n">
        <x:v>569.0666666666667</x:v>
      </x:c>
      <x:c r="J30" s="24" t="n">
        <x:f>I30/SUMIFS($I$6:$I$167,$A$6:$A$167,A30,$B$6:$B$167,B30,$C$6:$C$167,C30)</x:f>
        <x:v>0.02363727744863614</x:v>
      </x:c>
      <x:c r="K30" s="2" t="str">
        <x:v>Aug 10–23, 2026</x:v>
      </x:c>
      <x:c r="L30" s="22" t="n">
        <x:v>3.4</x:v>
      </x:c>
      <x:c r="M30" s="2" t="str">
        <x:v>https://www.census.gov/hfp/btos/downloads/Sector.xlsx</x:v>
      </x:c>
    </x:row>
    <x:row r="31" ht="38" customHeight="1">
      <x:c r="A31" s="2" t="str">
        <x:v>Census BTOS</x:v>
      </x:c>
      <x:c r="B31" s="2" t="str">
        <x:v>Quintiles</x:v>
      </x:c>
      <x:c r="C31" s="2" t="str">
        <x:v>Q3</x:v>
      </x:c>
      <x:c r="D31" s="2" t="str">
        <x:v>71</x:v>
      </x:c>
      <x:c r="E31" s="29" t="str">
        <x:v>Arts, entertainment, and recreation</x:v>
      </x:c>
      <x:c r="F31" s="24" t="n">
        <x:v>0.2</x:v>
      </x:c>
      <x:c r="G31" s="26" t="n">
        <x:v>8</x:v>
      </x:c>
      <x:c r="H31" s="2" t="str">
        <x:v>CES7071000001</x:v>
      </x:c>
      <x:c r="I31" s="20" t="n">
        <x:v>2443.5333333333333</x:v>
      </x:c>
      <x:c r="J31" s="24" t="n">
        <x:f>I31/SUMIFS($I$6:$I$167,$A$6:$A$167,A31,$B$6:$B$167,B31,$C$6:$C$167,C31)</x:f>
        <x:v>0.07900579400251763</x:v>
      </x:c>
      <x:c r="K31" s="2" t="str">
        <x:v>Aug 10–23, 2026</x:v>
      </x:c>
      <x:c r="L31" s="22" t="n">
        <x:v>1.76</x:v>
      </x:c>
      <x:c r="M31" s="2" t="str">
        <x:v>https://www.census.gov/hfp/btos/downloads/Sector.xlsx</x:v>
      </x:c>
    </x:row>
    <x:row r="32" ht="38" customHeight="1">
      <x:c r="A32" s="2" t="str">
        <x:v>Census BTOS</x:v>
      </x:c>
      <x:c r="B32" s="2" t="str">
        <x:v>Quintiles</x:v>
      </x:c>
      <x:c r="C32" s="2" t="str">
        <x:v>Q3</x:v>
      </x:c>
      <x:c r="D32" s="2" t="str">
        <x:v>42</x:v>
      </x:c>
      <x:c r="E32" s="29" t="str">
        <x:v>Wholesale trade</x:v>
      </x:c>
      <x:c r="F32" s="24" t="n">
        <x:v>0.204</x:v>
      </x:c>
      <x:c r="G32" s="26" t="n">
        <x:v>9</x:v>
      </x:c>
      <x:c r="H32" s="2" t="str">
        <x:v>CES4142000001</x:v>
      </x:c>
      <x:c r="I32" s="20" t="n">
        <x:v>6085.833333333333</x:v>
      </x:c>
      <x:c r="J32" s="24" t="n">
        <x:f>I32/SUMIFS($I$6:$I$167,$A$6:$A$167,A32,$B$6:$B$167,B32,$C$6:$C$167,C32)</x:f>
        <x:v>0.19677083512958907</x:v>
      </x:c>
      <x:c r="K32" s="2" t="str">
        <x:v>Aug 10–23, 2026</x:v>
      </x:c>
      <x:c r="L32" s="22" t="n">
        <x:v>1.06</x:v>
      </x:c>
      <x:c r="M32" s="2" t="str">
        <x:v>https://www.census.gov/hfp/btos/downloads/Sector.xlsx</x:v>
      </x:c>
    </x:row>
    <x:row r="33" ht="38" customHeight="1">
      <x:c r="A33" s="2" t="str">
        <x:v>Census BTOS</x:v>
      </x:c>
      <x:c r="B33" s="2" t="str">
        <x:v>Quintiles</x:v>
      </x:c>
      <x:c r="C33" s="2" t="str">
        <x:v>Q3</x:v>
      </x:c>
      <x:c r="D33" s="2" t="str">
        <x:v>56</x:v>
      </x:c>
      <x:c r="E33" s="29" t="str">
        <x:v>Administrative, support, and waste services</x:v>
      </x:c>
      <x:c r="F33" s="24" t="n">
        <x:v>0.207</x:v>
      </x:c>
      <x:c r="G33" s="26" t="n">
        <x:v>10</x:v>
      </x:c>
      <x:c r="H33" s="2" t="str">
        <x:v>CES6056000001</x:v>
      </x:c>
      <x:c r="I33" s="20" t="n">
        <x:v>9502.833333333334</x:v>
      </x:c>
      <x:c r="J33" s="24" t="n">
        <x:f>I33/SUMIFS($I$6:$I$167,$A$6:$A$167,A33,$B$6:$B$167,B33,$C$6:$C$167,C33)</x:f>
        <x:v>0.307251340725285</x:v>
      </x:c>
      <x:c r="K33" s="2" t="str">
        <x:v>Aug 10–23, 2026</x:v>
      </x:c>
      <x:c r="L33" s="22" t="n">
        <x:v>1.29</x:v>
      </x:c>
      <x:c r="M33" s="2" t="str">
        <x:v>https://www.census.gov/hfp/btos/downloads/Sector.xlsx</x:v>
      </x:c>
    </x:row>
    <x:row r="34" ht="38" customHeight="1">
      <x:c r="A34" s="2" t="str">
        <x:v>Census BTOS</x:v>
      </x:c>
      <x:c r="B34" s="2" t="str">
        <x:v>Quintiles</x:v>
      </x:c>
      <x:c r="C34" s="2" t="str">
        <x:v>Q3</x:v>
      </x:c>
      <x:c r="D34" s="2" t="str">
        <x:v>31-33</x:v>
      </x:c>
      <x:c r="E34" s="29" t="str">
        <x:v>Manufacturing</x:v>
      </x:c>
      <x:c r="F34" s="24" t="n">
        <x:v>0.23399999999999999</x:v>
      </x:c>
      <x:c r="G34" s="26" t="n">
        <x:v>11</x:v>
      </x:c>
      <x:c r="H34" s="2" t="str">
        <x:v>CES3000000001</x:v>
      </x:c>
      <x:c r="I34" s="20" t="n">
        <x:v>12896.333333333334</x:v>
      </x:c>
      <x:c r="J34" s="24" t="n">
        <x:f>I34/SUMIFS($I$6:$I$167,$A$6:$A$167,A34,$B$6:$B$167,B34,$C$6:$C$167,C34)</x:f>
        <x:v>0.41697203014260836</x:v>
      </x:c>
      <x:c r="K34" s="2" t="str">
        <x:v>Aug 10–23, 2026</x:v>
      </x:c>
      <x:c r="L34" s="22" t="n">
        <x:v>0.98</x:v>
      </x:c>
      <x:c r="M34" s="2" t="str">
        <x:v>https://www.census.gov/hfp/btos/downloads/Sector.xlsx</x:v>
      </x:c>
    </x:row>
    <x:row r="35" ht="38" customHeight="1">
      <x:c r="A35" s="2" t="str">
        <x:v>Census BTOS</x:v>
      </x:c>
      <x:c r="B35" s="2" t="str">
        <x:v>Quintiles</x:v>
      </x:c>
      <x:c r="C35" s="2" t="str">
        <x:v>Q4</x:v>
      </x:c>
      <x:c r="D35" s="2" t="str">
        <x:v>62</x:v>
      </x:c>
      <x:c r="E35" s="29" t="str">
        <x:v>Health care and social assistance</x:v>
      </x:c>
      <x:c r="F35" s="24" t="n">
        <x:v>0.247</x:v>
      </x:c>
      <x:c r="G35" s="26" t="n">
        <x:v>12</x:v>
      </x:c>
      <x:c r="H35" s="2" t="str">
        <x:v>CES6562000001</x:v>
      </x:c>
      <x:c r="I35" s="20" t="n">
        <x:v>21171.533333333333</x:v>
      </x:c>
      <x:c r="J35" s="24" t="n">
        <x:f>I35/SUMIFS($I$6:$I$167,$A$6:$A$167,A35,$B$6:$B$167,B35,$C$6:$C$167,C35)</x:f>
        <x:v>0.8078374012693486</x:v>
      </x:c>
      <x:c r="K35" s="2" t="str">
        <x:v>Aug 10–23, 2026</x:v>
      </x:c>
      <x:c r="L35" s="22" t="n">
        <x:v>0.79</x:v>
      </x:c>
      <x:c r="M35" s="2" t="str">
        <x:v>https://www.census.gov/hfp/btos/downloads/Sector.xlsx</x:v>
      </x:c>
    </x:row>
    <x:row r="36" ht="38" customHeight="1">
      <x:c r="A36" s="2" t="str">
        <x:v>Census BTOS</x:v>
      </x:c>
      <x:c r="B36" s="2" t="str">
        <x:v>Quintiles</x:v>
      </x:c>
      <x:c r="C36" s="2" t="str">
        <x:v>Q4</x:v>
      </x:c>
      <x:c r="D36" s="2" t="str">
        <x:v>53</x:v>
      </x:c>
      <x:c r="E36" s="29" t="str">
        <x:v>Real estate and rental and leasing</x:v>
      </x:c>
      <x:c r="F36" s="24" t="n">
        <x:v>0.319</x:v>
      </x:c>
      <x:c r="G36" s="26" t="n">
        <x:v>13</x:v>
      </x:c>
      <x:c r="H36" s="2" t="str">
        <x:v>CES5553000001</x:v>
      </x:c>
      <x:c r="I36" s="20" t="n">
        <x:v>2438.233333333333</x:v>
      </x:c>
      <x:c r="J36" s="24" t="n">
        <x:f>I36/SUMIFS($I$6:$I$167,$A$6:$A$167,A36,$B$6:$B$167,B36,$C$6:$C$167,C36)</x:f>
        <x:v>0.09303511695051066</x:v>
      </x:c>
      <x:c r="K36" s="2" t="str">
        <x:v>Aug 10–23, 2026</x:v>
      </x:c>
      <x:c r="L36" s="22" t="n">
        <x:v>1.45</x:v>
      </x:c>
      <x:c r="M36" s="2" t="str">
        <x:v>https://www.census.gov/hfp/btos/downloads/Sector.xlsx</x:v>
      </x:c>
    </x:row>
    <x:row r="37" ht="38" customHeight="1">
      <x:c r="A37" s="2" t="str">
        <x:v>Census BTOS</x:v>
      </x:c>
      <x:c r="B37" s="2" t="str">
        <x:v>Quintiles</x:v>
      </x:c>
      <x:c r="C37" s="2" t="str">
        <x:v>Q4</x:v>
      </x:c>
      <x:c r="D37" s="2" t="str">
        <x:v>55</x:v>
      </x:c>
      <x:c r="E37" s="29" t="str">
        <x:v>Management of companies and enterprises</x:v>
      </x:c>
      <x:c r="F37" s="24" t="n">
        <x:v>0.348</x:v>
      </x:c>
      <x:c r="G37" s="26" t="n">
        <x:v>14</x:v>
      </x:c>
      <x:c r="H37" s="2" t="str">
        <x:v>CES6055000001</x:v>
      </x:c>
      <x:c r="I37" s="20" t="n">
        <x:v>2597.9</x:v>
      </x:c>
      <x:c r="J37" s="24" t="n">
        <x:f>I37/SUMIFS($I$6:$I$167,$A$6:$A$167,A37,$B$6:$B$167,B37,$C$6:$C$167,C37)</x:f>
        <x:v>0.09912748178014066</x:v>
      </x:c>
      <x:c r="K37" s="2" t="str">
        <x:v>Aug 10–23, 2026</x:v>
      </x:c>
      <x:c r="L37" s="22" t="n">
        <x:v>16.06</x:v>
      </x:c>
      <x:c r="M37" s="2" t="str">
        <x:v>https://www.census.gov/hfp/btos/downloads/Sector.xlsx</x:v>
      </x:c>
    </x:row>
    <x:row r="38" ht="38" customHeight="1">
      <x:c r="A38" s="2" t="str">
        <x:v>Census BTOS</x:v>
      </x:c>
      <x:c r="B38" s="2" t="str">
        <x:v>Quintiles</x:v>
      </x:c>
      <x:c r="C38" s="2" t="str">
        <x:v>Q5</x:v>
      </x:c>
      <x:c r="D38" s="2" t="str">
        <x:v>61</x:v>
      </x:c>
      <x:c r="E38" s="29" t="str">
        <x:v>Private educational services</x:v>
      </x:c>
      <x:c r="F38" s="24" t="n">
        <x:v>0.355</x:v>
      </x:c>
      <x:c r="G38" s="26" t="n">
        <x:v>15</x:v>
      </x:c>
      <x:c r="H38" s="2" t="str">
        <x:v>CES6561000001</x:v>
      </x:c>
      <x:c r="I38" s="20" t="n">
        <x:v>3785.7333333333336</x:v>
      </x:c>
      <x:c r="J38" s="24" t="n">
        <x:f>I38/SUMIFS($I$6:$I$167,$A$6:$A$167,A38,$B$6:$B$167,B38,$C$6:$C$167,C38)</x:f>
        <x:v>0.15599906597255608</x:v>
      </x:c>
      <x:c r="K38" s="2" t="str">
        <x:v>Aug 10–23, 2026</x:v>
      </x:c>
      <x:c r="L38" s="22" t="n">
        <x:v>2.08</x:v>
      </x:c>
      <x:c r="M38" s="2" t="str">
        <x:v>https://www.census.gov/hfp/btos/downloads/Sector.xlsx</x:v>
      </x:c>
    </x:row>
    <x:row r="39" ht="38" customHeight="1">
      <x:c r="A39" s="2" t="str">
        <x:v>Census BTOS</x:v>
      </x:c>
      <x:c r="B39" s="2" t="str">
        <x:v>Quintiles</x:v>
      </x:c>
      <x:c r="C39" s="2" t="str">
        <x:v>Q5</x:v>
      </x:c>
      <x:c r="D39" s="2" t="str">
        <x:v>52</x:v>
      </x:c>
      <x:c r="E39" s="29" t="str">
        <x:v>Finance and insurance</x:v>
      </x:c>
      <x:c r="F39" s="24" t="n">
        <x:v>0.365</x:v>
      </x:c>
      <x:c r="G39" s="26" t="n">
        <x:v>16</x:v>
      </x:c>
      <x:c r="H39" s="2" t="str">
        <x:v>CES5552000001</x:v>
      </x:c>
      <x:c r="I39" s="20" t="n">
        <x:v>6710.099999999999</x:v>
      </x:c>
      <x:c r="J39" s="24" t="n">
        <x:f>I39/SUMIFS($I$6:$I$167,$A$6:$A$167,A39,$B$6:$B$167,B39,$C$6:$C$167,C39)</x:f>
        <x:v>0.2765037155062291</x:v>
      </x:c>
      <x:c r="K39" s="2" t="str">
        <x:v>Aug 10–23, 2026</x:v>
      </x:c>
      <x:c r="L39" s="22" t="n">
        <x:v>2.29</x:v>
      </x:c>
      <x:c r="M39" s="2" t="str">
        <x:v>https://www.census.gov/hfp/btos/downloads/Sector.xlsx</x:v>
      </x:c>
    </x:row>
    <x:row r="40" ht="38" customHeight="1">
      <x:c r="A40" s="2" t="str">
        <x:v>Census BTOS</x:v>
      </x:c>
      <x:c r="B40" s="2" t="str">
        <x:v>Quintiles</x:v>
      </x:c>
      <x:c r="C40" s="2" t="str">
        <x:v>Q5</x:v>
      </x:c>
      <x:c r="D40" s="2" t="str">
        <x:v>54</x:v>
      </x:c>
      <x:c r="E40" s="29" t="str">
        <x:v>Professional, scientific, and technical services</x:v>
      </x:c>
      <x:c r="F40" s="24" t="n">
        <x:v>0.433</x:v>
      </x:c>
      <x:c r="G40" s="26" t="n">
        <x:v>17</x:v>
      </x:c>
      <x:c r="H40" s="2" t="str">
        <x:v>CES6054000001</x:v>
      </x:c>
      <x:c r="I40" s="20" t="n">
        <x:v>10719.166666666666</x:v>
      </x:c>
      <x:c r="J40" s="24" t="n">
        <x:f>I40/SUMIFS($I$6:$I$167,$A$6:$A$167,A40,$B$6:$B$167,B40,$C$6:$C$167,C40)</x:f>
        <x:v>0.44170569894097766</x:v>
      </x:c>
      <x:c r="K40" s="2" t="str">
        <x:v>Aug 10–23, 2026</x:v>
      </x:c>
      <x:c r="L40" s="22" t="n">
        <x:v>0.96</x:v>
      </x:c>
      <x:c r="M40" s="2" t="str">
        <x:v>https://www.census.gov/hfp/btos/downloads/Sector.xlsx</x:v>
      </x:c>
    </x:row>
    <x:row r="41" ht="38" customHeight="1">
      <x:c r="A41" s="2" t="str">
        <x:v>Census BTOS</x:v>
      </x:c>
      <x:c r="B41" s="2" t="str">
        <x:v>Quintiles</x:v>
      </x:c>
      <x:c r="C41" s="2" t="str">
        <x:v>Q5</x:v>
      </x:c>
      <x:c r="D41" s="2" t="str">
        <x:v>51</x:v>
      </x:c>
      <x:c r="E41" s="29" t="str">
        <x:v>Information</x:v>
      </x:c>
      <x:c r="F41" s="24" t="n">
        <x:v>0.435</x:v>
      </x:c>
      <x:c r="G41" s="26" t="n">
        <x:v>18</x:v>
      </x:c>
      <x:c r="H41" s="2" t="str">
        <x:v>CES5000000001</x:v>
      </x:c>
      <x:c r="I41" s="20" t="n">
        <x:v>3052.6666666666665</x:v>
      </x:c>
      <x:c r="J41" s="24" t="n">
        <x:f>I41/SUMIFS($I$6:$I$167,$A$6:$A$167,A41,$B$6:$B$167,B41,$C$6:$C$167,C41)</x:f>
        <x:v>0.12579151958023707</x:v>
      </x:c>
      <x:c r="K41" s="2" t="str">
        <x:v>Aug 10–23, 2026</x:v>
      </x:c>
      <x:c r="L41" s="22" t="n">
        <x:v>1.59</x:v>
      </x:c>
      <x:c r="M41" s="2" t="str">
        <x:v>https://www.census.gov/hfp/btos/downloads/Sector.xlsx</x:v>
      </x:c>
    </x:row>
    <x:row r="42" ht="38" customHeight="1">
      <x:c r="A42" s="2" t="str">
        <x:v>Census BTOS</x:v>
      </x:c>
      <x:c r="B42" s="2" t="str">
        <x:v>Halves</x:v>
      </x:c>
      <x:c r="C42" s="2" t="str">
        <x:v>Lower half</x:v>
      </x:c>
      <x:c r="D42" s="2" t="str">
        <x:v>21</x:v>
      </x:c>
      <x:c r="E42" s="29" t="str">
        <x:v>Mining, quarrying, and oil and gas extraction</x:v>
      </x:c>
      <x:c r="F42" s="24" t="n">
        <x:v>0.053</x:v>
      </x:c>
      <x:c r="G42" s="26" t="n">
        <x:v>1</x:v>
      </x:c>
      <x:c r="H42" s="2" t="str">
        <x:v>CES1021000001</x:v>
      </x:c>
      <x:c r="I42" s="20" t="n">
        <x:v>588.9333333333333</x:v>
      </x:c>
      <x:c r="J42" s="24" t="n">
        <x:f>I42/SUMIFS($I$6:$I$167,$A$6:$A$167,A42,$B$6:$B$167,B42,$C$6:$C$167,C42)</x:f>
        <x:v>0.009891666433390253</x:v>
      </x:c>
      <x:c r="K42" s="2" t="str">
        <x:v>Aug 10–23, 2026</x:v>
      </x:c>
      <x:c r="L42" s="22" t="n">
        <x:v>2.05</x:v>
      </x:c>
      <x:c r="M42" s="2" t="str">
        <x:v>https://www.census.gov/hfp/btos/downloads/Sector.xlsx</x:v>
      </x:c>
    </x:row>
    <x:row r="43" ht="38" customHeight="1">
      <x:c r="A43" s="2" t="str">
        <x:v>Census BTOS</x:v>
      </x:c>
      <x:c r="B43" s="2" t="str">
        <x:v>Halves</x:v>
      </x:c>
      <x:c r="C43" s="2" t="str">
        <x:v>Lower half</x:v>
      </x:c>
      <x:c r="D43" s="2" t="str">
        <x:v>48-49</x:v>
      </x:c>
      <x:c r="E43" s="29" t="str">
        <x:v>Transportation and warehousing</x:v>
      </x:c>
      <x:c r="F43" s="24" t="n">
        <x:v>0.079</x:v>
      </x:c>
      <x:c r="G43" s="26" t="n">
        <x:v>2</x:v>
      </x:c>
      <x:c r="H43" s="2" t="str">
        <x:v>CES4300000001</x:v>
      </x:c>
      <x:c r="I43" s="20" t="n">
        <x:v>6591.166666666667</x:v>
      </x:c>
      <x:c r="J43" s="24" t="n">
        <x:f>I43/SUMIFS($I$6:$I$167,$A$6:$A$167,A43,$B$6:$B$167,B43,$C$6:$C$167,C43)</x:f>
        <x:v>0.11070458808050837</x:v>
      </x:c>
      <x:c r="K43" s="2" t="str">
        <x:v>Aug 10–23, 2026</x:v>
      </x:c>
      <x:c r="L43" s="22" t="n">
        <x:v>1</x:v>
      </x:c>
      <x:c r="M43" s="2" t="str">
        <x:v>https://www.census.gov/hfp/btos/downloads/Sector.xlsx</x:v>
      </x:c>
    </x:row>
    <x:row r="44" ht="38" customHeight="1">
      <x:c r="A44" s="2" t="str">
        <x:v>Census BTOS</x:v>
      </x:c>
      <x:c r="B44" s="2" t="str">
        <x:v>Halves</x:v>
      </x:c>
      <x:c r="C44" s="2" t="str">
        <x:v>Lower half</x:v>
      </x:c>
      <x:c r="D44" s="2" t="str">
        <x:v>72</x:v>
      </x:c>
      <x:c r="E44" s="29" t="str">
        <x:v>Accommodation and food services</x:v>
      </x:c>
      <x:c r="F44" s="24" t="n">
        <x:v>0.085</x:v>
      </x:c>
      <x:c r="G44" s="26" t="n">
        <x:v>3</x:v>
      </x:c>
      <x:c r="H44" s="2" t="str">
        <x:v>CES7072000001</x:v>
      </x:c>
      <x:c r="I44" s="20" t="n">
        <x:v>13967.566666666666</x:v>
      </x:c>
      <x:c r="J44" s="24" t="n">
        <x:f>I44/SUMIFS($I$6:$I$167,$A$6:$A$167,A44,$B$6:$B$167,B44,$C$6:$C$167,C44)</x:f>
        <x:v>0.23459787811773927</x:v>
      </x:c>
      <x:c r="K44" s="2" t="str">
        <x:v>Aug 10–23, 2026</x:v>
      </x:c>
      <x:c r="L44" s="22" t="n">
        <x:v>0.59</x:v>
      </x:c>
      <x:c r="M44" s="2" t="str">
        <x:v>https://www.census.gov/hfp/btos/downloads/Sector.xlsx</x:v>
      </x:c>
    </x:row>
    <x:row r="45" ht="38" customHeight="1">
      <x:c r="A45" s="2" t="str">
        <x:v>Census BTOS</x:v>
      </x:c>
      <x:c r="B45" s="2" t="str">
        <x:v>Halves</x:v>
      </x:c>
      <x:c r="C45" s="2" t="str">
        <x:v>Lower half</x:v>
      </x:c>
      <x:c r="D45" s="2" t="str">
        <x:v>81</x:v>
      </x:c>
      <x:c r="E45" s="29" t="str">
        <x:v>Other services, except government</x:v>
      </x:c>
      <x:c r="F45" s="24" t="n">
        <x:v>0.13699999999999998</x:v>
      </x:c>
      <x:c r="G45" s="26" t="n">
        <x:v>4</x:v>
      </x:c>
      <x:c r="H45" s="2" t="str">
        <x:v>CES8000000001</x:v>
      </x:c>
      <x:c r="I45" s="20" t="n">
        <x:v>5786.333333333333</x:v>
      </x:c>
      <x:c r="J45" s="24" t="n">
        <x:f>I45/SUMIFS($I$6:$I$167,$A$6:$A$167,A45,$B$6:$B$167,B45,$C$6:$C$167,C45)</x:f>
        <x:v>0.09718668644850657</x:v>
      </x:c>
      <x:c r="K45" s="2" t="str">
        <x:v>Aug 10–23, 2026</x:v>
      </x:c>
      <x:c r="L45" s="22" t="n">
        <x:v>0.36</x:v>
      </x:c>
      <x:c r="M45" s="2" t="str">
        <x:v>https://www.census.gov/hfp/btos/downloads/Sector.xlsx</x:v>
      </x:c>
    </x:row>
    <x:row r="46" ht="38" customHeight="1">
      <x:c r="A46" s="2" t="str">
        <x:v>Census BTOS</x:v>
      </x:c>
      <x:c r="B46" s="2" t="str">
        <x:v>Halves</x:v>
      </x:c>
      <x:c r="C46" s="2" t="str">
        <x:v>Lower half</x:v>
      </x:c>
      <x:c r="D46" s="2" t="str">
        <x:v>44-45</x:v>
      </x:c>
      <x:c r="E46" s="29" t="str">
        <x:v>Retail trade</x:v>
      </x:c>
      <x:c r="F46" s="24" t="n">
        <x:v>0.155</x:v>
      </x:c>
      <x:c r="G46" s="26" t="n">
        <x:v>5</x:v>
      </x:c>
      <x:c r="H46" s="2" t="str">
        <x:v>CES4200000001</x:v>
      </x:c>
      <x:c r="I46" s="20" t="n">
        <x:v>15572.233333333332</x:v>
      </x:c>
      <x:c r="J46" s="24" t="n">
        <x:f>I46/SUMIFS($I$6:$I$167,$A$6:$A$167,A46,$B$6:$B$167,B46,$C$6:$C$167,C46)</x:f>
        <x:v>0.26154970187274307</x:v>
      </x:c>
      <x:c r="K46" s="2" t="str">
        <x:v>Aug 10–23, 2026</x:v>
      </x:c>
      <x:c r="L46" s="22" t="n">
        <x:v>0.97</x:v>
      </x:c>
      <x:c r="M46" s="2" t="str">
        <x:v>https://www.census.gov/hfp/btos/downloads/Sector.xlsx</x:v>
      </x:c>
    </x:row>
    <x:row r="47" ht="38" customHeight="1">
      <x:c r="A47" s="2" t="str">
        <x:v>Census BTOS</x:v>
      </x:c>
      <x:c r="B47" s="2" t="str">
        <x:v>Halves</x:v>
      </x:c>
      <x:c r="C47" s="2" t="str">
        <x:v>Lower half</x:v>
      </x:c>
      <x:c r="D47" s="2" t="str">
        <x:v>23</x:v>
      </x:c>
      <x:c r="E47" s="29" t="str">
        <x:v>Construction</x:v>
      </x:c>
      <x:c r="F47" s="24" t="n">
        <x:v>0.16</x:v>
      </x:c>
      <x:c r="G47" s="26" t="n">
        <x:v>6</x:v>
      </x:c>
      <x:c r="H47" s="2" t="str">
        <x:v>CES2000000001</x:v>
      </x:c>
      <x:c r="I47" s="20" t="n">
        <x:v>7933.666666666667</x:v>
      </x:c>
      <x:c r="J47" s="24" t="n">
        <x:f>I47/SUMIFS($I$6:$I$167,$A$6:$A$167,A47,$B$6:$B$167,B47,$C$6:$C$167,C47)</x:f>
        <x:v>0.13325308624695575</x:v>
      </x:c>
      <x:c r="K47" s="2" t="str">
        <x:v>Aug 10–23, 2026</x:v>
      </x:c>
      <x:c r="L47" s="22" t="n">
        <x:v>0.9</x:v>
      </x:c>
      <x:c r="M47" s="2" t="str">
        <x:v>https://www.census.gov/hfp/btos/downloads/Sector.xlsx</x:v>
      </x:c>
    </x:row>
    <x:row r="48" ht="38" customHeight="1">
      <x:c r="A48" s="2" t="str">
        <x:v>Census BTOS</x:v>
      </x:c>
      <x:c r="B48" s="2" t="str">
        <x:v>Halves</x:v>
      </x:c>
      <x:c r="C48" s="2" t="str">
        <x:v>Lower half</x:v>
      </x:c>
      <x:c r="D48" s="2" t="str">
        <x:v>22</x:v>
      </x:c>
      <x:c r="E48" s="29" t="str">
        <x:v>Utilities</x:v>
      </x:c>
      <x:c r="F48" s="24" t="n">
        <x:v>0.16399999999999998</x:v>
      </x:c>
      <x:c r="G48" s="26" t="n">
        <x:v>7</x:v>
      </x:c>
      <x:c r="H48" s="2" t="str">
        <x:v>CES4422000001</x:v>
      </x:c>
      <x:c r="I48" s="20" t="n">
        <x:v>569.0666666666667</x:v>
      </x:c>
      <x:c r="J48" s="24" t="n">
        <x:f>I48/SUMIFS($I$6:$I$167,$A$6:$A$167,A48,$B$6:$B$167,B48,$C$6:$C$167,C48)</x:f>
        <x:v>0.009557987850964367</x:v>
      </x:c>
      <x:c r="K48" s="2" t="str">
        <x:v>Aug 10–23, 2026</x:v>
      </x:c>
      <x:c r="L48" s="22" t="n">
        <x:v>3.4</x:v>
      </x:c>
      <x:c r="M48" s="2" t="str">
        <x:v>https://www.census.gov/hfp/btos/downloads/Sector.xlsx</x:v>
      </x:c>
    </x:row>
    <x:row r="49" ht="38" customHeight="1">
      <x:c r="A49" s="2" t="str">
        <x:v>Census BTOS</x:v>
      </x:c>
      <x:c r="B49" s="2" t="str">
        <x:v>Halves</x:v>
      </x:c>
      <x:c r="C49" s="2" t="str">
        <x:v>Lower half</x:v>
      </x:c>
      <x:c r="D49" s="2" t="str">
        <x:v>71</x:v>
      </x:c>
      <x:c r="E49" s="29" t="str">
        <x:v>Arts, entertainment, and recreation</x:v>
      </x:c>
      <x:c r="F49" s="24" t="n">
        <x:v>0.2</x:v>
      </x:c>
      <x:c r="G49" s="26" t="n">
        <x:v>8</x:v>
      </x:c>
      <x:c r="H49" s="2" t="str">
        <x:v>CES7071000001</x:v>
      </x:c>
      <x:c r="I49" s="20" t="n">
        <x:v>2443.5333333333333</x:v>
      </x:c>
      <x:c r="J49" s="24" t="n">
        <x:f>I49/SUMIFS($I$6:$I$167,$A$6:$A$167,A49,$B$6:$B$167,B49,$C$6:$C$167,C49)</x:f>
        <x:v>0.041041345911597575</x:v>
      </x:c>
      <x:c r="K49" s="2" t="str">
        <x:v>Aug 10–23, 2026</x:v>
      </x:c>
      <x:c r="L49" s="22" t="n">
        <x:v>1.76</x:v>
      </x:c>
      <x:c r="M49" s="2" t="str">
        <x:v>https://www.census.gov/hfp/btos/downloads/Sector.xlsx</x:v>
      </x:c>
    </x:row>
    <x:row r="50" ht="38" customHeight="1">
      <x:c r="A50" s="2" t="str">
        <x:v>Census BTOS</x:v>
      </x:c>
      <x:c r="B50" s="2" t="str">
        <x:v>Halves</x:v>
      </x:c>
      <x:c r="C50" s="2" t="str">
        <x:v>Lower half</x:v>
      </x:c>
      <x:c r="D50" s="2" t="str">
        <x:v>42</x:v>
      </x:c>
      <x:c r="E50" s="29" t="str">
        <x:v>Wholesale trade</x:v>
      </x:c>
      <x:c r="F50" s="24" t="n">
        <x:v>0.204</x:v>
      </x:c>
      <x:c r="G50" s="26" t="n">
        <x:v>9</x:v>
      </x:c>
      <x:c r="H50" s="2" t="str">
        <x:v>CES4142000001</x:v>
      </x:c>
      <x:c r="I50" s="20" t="n">
        <x:v>6085.833333333333</x:v>
      </x:c>
      <x:c r="J50" s="24" t="n">
        <x:f>I50/SUMIFS($I$6:$I$167,$A$6:$A$167,A50,$B$6:$B$167,B50,$C$6:$C$167,C50)</x:f>
        <x:v>0.10221705903759483</x:v>
      </x:c>
      <x:c r="K50" s="2" t="str">
        <x:v>Aug 10–23, 2026</x:v>
      </x:c>
      <x:c r="L50" s="22" t="n">
        <x:v>1.06</x:v>
      </x:c>
      <x:c r="M50" s="2" t="str">
        <x:v>https://www.census.gov/hfp/btos/downloads/Sector.xlsx</x:v>
      </x:c>
    </x:row>
    <x:row r="51" ht="38" customHeight="1">
      <x:c r="A51" s="2" t="str">
        <x:v>Census BTOS</x:v>
      </x:c>
      <x:c r="B51" s="2" t="str">
        <x:v>Halves</x:v>
      </x:c>
      <x:c r="C51" s="2" t="str">
        <x:v>Higher half</x:v>
      </x:c>
      <x:c r="D51" s="2" t="str">
        <x:v>56</x:v>
      </x:c>
      <x:c r="E51" s="29" t="str">
        <x:v>Administrative, support, and waste services</x:v>
      </x:c>
      <x:c r="F51" s="24" t="n">
        <x:v>0.207</x:v>
      </x:c>
      <x:c r="G51" s="26" t="n">
        <x:v>10</x:v>
      </x:c>
      <x:c r="H51" s="2" t="str">
        <x:v>CES6056000001</x:v>
      </x:c>
      <x:c r="I51" s="20" t="n">
        <x:v>9502.833333333334</x:v>
      </x:c>
      <x:c r="J51" s="24" t="n">
        <x:f>I51/SUMIFS($I$6:$I$167,$A$6:$A$167,A51,$B$6:$B$167,B51,$C$6:$C$167,C51)</x:f>
        <x:v>0.13039997987407576</x:v>
      </x:c>
      <x:c r="K51" s="2" t="str">
        <x:v>Aug 10–23, 2026</x:v>
      </x:c>
      <x:c r="L51" s="22" t="n">
        <x:v>1.29</x:v>
      </x:c>
      <x:c r="M51" s="2" t="str">
        <x:v>https://www.census.gov/hfp/btos/downloads/Sector.xlsx</x:v>
      </x:c>
    </x:row>
    <x:row r="52" ht="38" customHeight="1">
      <x:c r="A52" s="2" t="str">
        <x:v>Census BTOS</x:v>
      </x:c>
      <x:c r="B52" s="2" t="str">
        <x:v>Halves</x:v>
      </x:c>
      <x:c r="C52" s="2" t="str">
        <x:v>Higher half</x:v>
      </x:c>
      <x:c r="D52" s="2" t="str">
        <x:v>31-33</x:v>
      </x:c>
      <x:c r="E52" s="29" t="str">
        <x:v>Manufacturing</x:v>
      </x:c>
      <x:c r="F52" s="24" t="n">
        <x:v>0.23399999999999999</x:v>
      </x:c>
      <x:c r="G52" s="26" t="n">
        <x:v>11</x:v>
      </x:c>
      <x:c r="H52" s="2" t="str">
        <x:v>CES3000000001</x:v>
      </x:c>
      <x:c r="I52" s="20" t="n">
        <x:v>12896.333333333334</x:v>
      </x:c>
      <x:c r="J52" s="24" t="n">
        <x:f>I52/SUMIFS($I$6:$I$167,$A$6:$A$167,A52,$B$6:$B$167,B52,$C$6:$C$167,C52)</x:f>
        <x:v>0.1769663371046571</x:v>
      </x:c>
      <x:c r="K52" s="2" t="str">
        <x:v>Aug 10–23, 2026</x:v>
      </x:c>
      <x:c r="L52" s="22" t="n">
        <x:v>0.98</x:v>
      </x:c>
      <x:c r="M52" s="2" t="str">
        <x:v>https://www.census.gov/hfp/btos/downloads/Sector.xlsx</x:v>
      </x:c>
    </x:row>
    <x:row r="53" ht="38" customHeight="1">
      <x:c r="A53" s="2" t="str">
        <x:v>Census BTOS</x:v>
      </x:c>
      <x:c r="B53" s="2" t="str">
        <x:v>Halves</x:v>
      </x:c>
      <x:c r="C53" s="2" t="str">
        <x:v>Higher half</x:v>
      </x:c>
      <x:c r="D53" s="2" t="str">
        <x:v>62</x:v>
      </x:c>
      <x:c r="E53" s="29" t="str">
        <x:v>Health care and social assistance</x:v>
      </x:c>
      <x:c r="F53" s="24" t="n">
        <x:v>0.247</x:v>
      </x:c>
      <x:c r="G53" s="26" t="n">
        <x:v>12</x:v>
      </x:c>
      <x:c r="H53" s="2" t="str">
        <x:v>CES6562000001</x:v>
      </x:c>
      <x:c r="I53" s="20" t="n">
        <x:v>21171.533333333333</x:v>
      </x:c>
      <x:c r="J53" s="24" t="n">
        <x:f>I53/SUMIFS($I$6:$I$167,$A$6:$A$167,A53,$B$6:$B$167,B53,$C$6:$C$167,C53)</x:f>
        <x:v>0.2905204609751468</x:v>
      </x:c>
      <x:c r="K53" s="2" t="str">
        <x:v>Aug 10–23, 2026</x:v>
      </x:c>
      <x:c r="L53" s="22" t="n">
        <x:v>0.79</x:v>
      </x:c>
      <x:c r="M53" s="2" t="str">
        <x:v>https://www.census.gov/hfp/btos/downloads/Sector.xlsx</x:v>
      </x:c>
    </x:row>
    <x:row r="54" ht="38" customHeight="1">
      <x:c r="A54" s="2" t="str">
        <x:v>Census BTOS</x:v>
      </x:c>
      <x:c r="B54" s="2" t="str">
        <x:v>Halves</x:v>
      </x:c>
      <x:c r="C54" s="2" t="str">
        <x:v>Higher half</x:v>
      </x:c>
      <x:c r="D54" s="2" t="str">
        <x:v>53</x:v>
      </x:c>
      <x:c r="E54" s="29" t="str">
        <x:v>Real estate and rental and leasing</x:v>
      </x:c>
      <x:c r="F54" s="24" t="n">
        <x:v>0.319</x:v>
      </x:c>
      <x:c r="G54" s="26" t="n">
        <x:v>13</x:v>
      </x:c>
      <x:c r="H54" s="2" t="str">
        <x:v>CES5553000001</x:v>
      </x:c>
      <x:c r="I54" s="20" t="n">
        <x:v>2438.233333333333</x:v>
      </x:c>
      <x:c r="J54" s="24" t="n">
        <x:f>I54/SUMIFS($I$6:$I$167,$A$6:$A$167,A54,$B$6:$B$167,B54,$C$6:$C$167,C54)</x:f>
        <x:v>0.03345797684146489</x:v>
      </x:c>
      <x:c r="K54" s="2" t="str">
        <x:v>Aug 10–23, 2026</x:v>
      </x:c>
      <x:c r="L54" s="22" t="n">
        <x:v>1.45</x:v>
      </x:c>
      <x:c r="M54" s="2" t="str">
        <x:v>https://www.census.gov/hfp/btos/downloads/Sector.xlsx</x:v>
      </x:c>
    </x:row>
    <x:row r="55" ht="38" customHeight="1">
      <x:c r="A55" s="2" t="str">
        <x:v>Census BTOS</x:v>
      </x:c>
      <x:c r="B55" s="2" t="str">
        <x:v>Halves</x:v>
      </x:c>
      <x:c r="C55" s="2" t="str">
        <x:v>Higher half</x:v>
      </x:c>
      <x:c r="D55" s="2" t="str">
        <x:v>55</x:v>
      </x:c>
      <x:c r="E55" s="29" t="str">
        <x:v>Management of companies and enterprises</x:v>
      </x:c>
      <x:c r="F55" s="24" t="n">
        <x:v>0.348</x:v>
      </x:c>
      <x:c r="G55" s="26" t="n">
        <x:v>14</x:v>
      </x:c>
      <x:c r="H55" s="2" t="str">
        <x:v>CES6055000001</x:v>
      </x:c>
      <x:c r="I55" s="20" t="n">
        <x:v>2597.9</x:v>
      </x:c>
      <x:c r="J55" s="24" t="n">
        <x:f>I55/SUMIFS($I$6:$I$167,$A$6:$A$167,A55,$B$6:$B$167,B55,$C$6:$C$167,C55)</x:f>
        <x:v>0.0356489581403646</x:v>
      </x:c>
      <x:c r="K55" s="2" t="str">
        <x:v>Aug 10–23, 2026</x:v>
      </x:c>
      <x:c r="L55" s="22" t="n">
        <x:v>16.06</x:v>
      </x:c>
      <x:c r="M55" s="2" t="str">
        <x:v>https://www.census.gov/hfp/btos/downloads/Sector.xlsx</x:v>
      </x:c>
    </x:row>
    <x:row r="56" ht="38" customHeight="1">
      <x:c r="A56" s="2" t="str">
        <x:v>Census BTOS</x:v>
      </x:c>
      <x:c r="B56" s="2" t="str">
        <x:v>Halves</x:v>
      </x:c>
      <x:c r="C56" s="2" t="str">
        <x:v>Higher half</x:v>
      </x:c>
      <x:c r="D56" s="2" t="str">
        <x:v>61</x:v>
      </x:c>
      <x:c r="E56" s="29" t="str">
        <x:v>Private educational services</x:v>
      </x:c>
      <x:c r="F56" s="24" t="n">
        <x:v>0.355</x:v>
      </x:c>
      <x:c r="G56" s="26" t="n">
        <x:v>15</x:v>
      </x:c>
      <x:c r="H56" s="2" t="str">
        <x:v>CES6561000001</x:v>
      </x:c>
      <x:c r="I56" s="20" t="n">
        <x:v>3785.7333333333336</x:v>
      </x:c>
      <x:c r="J56" s="24" t="n">
        <x:f>I56/SUMIFS($I$6:$I$167,$A$6:$A$167,A56,$B$6:$B$167,B56,$C$6:$C$167,C56)</x:f>
        <x:v>0.051948669745018265</x:v>
      </x:c>
      <x:c r="K56" s="2" t="str">
        <x:v>Aug 10–23, 2026</x:v>
      </x:c>
      <x:c r="L56" s="22" t="n">
        <x:v>2.08</x:v>
      </x:c>
      <x:c r="M56" s="2" t="str">
        <x:v>https://www.census.gov/hfp/btos/downloads/Sector.xlsx</x:v>
      </x:c>
    </x:row>
    <x:row r="57" ht="38" customHeight="1">
      <x:c r="A57" s="2" t="str">
        <x:v>Census BTOS</x:v>
      </x:c>
      <x:c r="B57" s="2" t="str">
        <x:v>Halves</x:v>
      </x:c>
      <x:c r="C57" s="2" t="str">
        <x:v>Higher half</x:v>
      </x:c>
      <x:c r="D57" s="2" t="str">
        <x:v>52</x:v>
      </x:c>
      <x:c r="E57" s="29" t="str">
        <x:v>Finance and insurance</x:v>
      </x:c>
      <x:c r="F57" s="24" t="n">
        <x:v>0.365</x:v>
      </x:c>
      <x:c r="G57" s="26" t="n">
        <x:v>16</x:v>
      </x:c>
      <x:c r="H57" s="2" t="str">
        <x:v>CES5552000001</x:v>
      </x:c>
      <x:c r="I57" s="20" t="n">
        <x:v>6710.099999999999</x:v>
      </x:c>
      <x:c r="J57" s="24" t="n">
        <x:f>I57/SUMIFS($I$6:$I$167,$A$6:$A$167,A57,$B$6:$B$167,B57,$C$6:$C$167,C57)</x:f>
        <x:v>0.09207747566021035</x:v>
      </x:c>
      <x:c r="K57" s="2" t="str">
        <x:v>Aug 10–23, 2026</x:v>
      </x:c>
      <x:c r="L57" s="22" t="n">
        <x:v>2.29</x:v>
      </x:c>
      <x:c r="M57" s="2" t="str">
        <x:v>https://www.census.gov/hfp/btos/downloads/Sector.xlsx</x:v>
      </x:c>
    </x:row>
    <x:row r="58" ht="38" customHeight="1">
      <x:c r="A58" s="2" t="str">
        <x:v>Census BTOS</x:v>
      </x:c>
      <x:c r="B58" s="2" t="str">
        <x:v>Halves</x:v>
      </x:c>
      <x:c r="C58" s="2" t="str">
        <x:v>Higher half</x:v>
      </x:c>
      <x:c r="D58" s="2" t="str">
        <x:v>54</x:v>
      </x:c>
      <x:c r="E58" s="29" t="str">
        <x:v>Professional, scientific, and technical services</x:v>
      </x:c>
      <x:c r="F58" s="24" t="n">
        <x:v>0.433</x:v>
      </x:c>
      <x:c r="G58" s="26" t="n">
        <x:v>17</x:v>
      </x:c>
      <x:c r="H58" s="2" t="str">
        <x:v>CES6054000001</x:v>
      </x:c>
      <x:c r="I58" s="20" t="n">
        <x:v>10719.166666666666</x:v>
      </x:c>
      <x:c r="J58" s="24" t="n">
        <x:f>I58/SUMIFS($I$6:$I$167,$A$6:$A$167,A58,$B$6:$B$167,B58,$C$6:$C$167,C58)</x:f>
        <x:v>0.14709077477947247</x:v>
      </x:c>
      <x:c r="K58" s="2" t="str">
        <x:v>Aug 10–23, 2026</x:v>
      </x:c>
      <x:c r="L58" s="22" t="n">
        <x:v>0.96</x:v>
      </x:c>
      <x:c r="M58" s="2" t="str">
        <x:v>https://www.census.gov/hfp/btos/downloads/Sector.xlsx</x:v>
      </x:c>
    </x:row>
    <x:row r="59" ht="38" customHeight="1">
      <x:c r="A59" s="2" t="str">
        <x:v>Census BTOS</x:v>
      </x:c>
      <x:c r="B59" s="2" t="str">
        <x:v>Halves</x:v>
      </x:c>
      <x:c r="C59" s="2" t="str">
        <x:v>Higher half</x:v>
      </x:c>
      <x:c r="D59" s="2" t="str">
        <x:v>51</x:v>
      </x:c>
      <x:c r="E59" s="29" t="str">
        <x:v>Information</x:v>
      </x:c>
      <x:c r="F59" s="24" t="n">
        <x:v>0.435</x:v>
      </x:c>
      <x:c r="G59" s="26" t="n">
        <x:v>18</x:v>
      </x:c>
      <x:c r="H59" s="2" t="str">
        <x:v>CES5000000001</x:v>
      </x:c>
      <x:c r="I59" s="20" t="n">
        <x:v>3052.6666666666665</x:v>
      </x:c>
      <x:c r="J59" s="24" t="n">
        <x:f>I59/SUMIFS($I$6:$I$167,$A$6:$A$167,A59,$B$6:$B$167,B59,$C$6:$C$167,C59)</x:f>
        <x:v>0.041889366879589794</x:v>
      </x:c>
      <x:c r="K59" s="2" t="str">
        <x:v>Aug 10–23, 2026</x:v>
      </x:c>
      <x:c r="L59" s="22" t="n">
        <x:v>1.59</x:v>
      </x:c>
      <x:c r="M59" s="2" t="str">
        <x:v>https://www.census.gov/hfp/btos/downloads/Sector.xlsx</x:v>
      </x:c>
    </x:row>
    <x:row r="60" ht="38" customHeight="1">
      <x:c r="A60" s="2" t="str">
        <x:v>RPS</x:v>
      </x:c>
      <x:c r="B60" s="2" t="str">
        <x:v>Quartiles</x:v>
      </x:c>
      <x:c r="C60" s="2" t="str">
        <x:v>Q1</x:v>
      </x:c>
      <x:c r="D60" s="2" t="str">
        <x:v>81</x:v>
      </x:c>
      <x:c r="E60" s="29" t="str">
        <x:v>Other services, except government</x:v>
      </x:c>
      <x:c r="F60" s="24" t="n">
        <x:v>0.24678413474799998</x:v>
      </x:c>
      <x:c r="G60" s="26" t="n">
        <x:v>1</x:v>
      </x:c>
      <x:c r="H60" s="2" t="str">
        <x:v>CES8000000001</x:v>
      </x:c>
      <x:c r="I60" s="20" t="n">
        <x:v>5786.333333333333</x:v>
      </x:c>
      <x:c r="J60" s="24" t="n">
        <x:f>I60/SUMIFS($I$6:$I$167,$A$6:$A$167,A60,$B$6:$B$167,B60,$C$6:$C$167,C60)</x:f>
        <x:v>0.19696457383533447</x:v>
      </x:c>
      <x:c r="K60" s="2" t="str">
        <x:v>May 2026</x:v>
      </x:c>
      <x:c r="L60" s="22"/>
      <x:c r="M60" s="2" t="str">
        <x:v>https://fred.stlouisfed.org/data/RPSGENAIUSAGESHAREIND19</x:v>
      </x:c>
    </x:row>
    <x:row r="61" ht="38" customHeight="1">
      <x:c r="A61" s="2" t="str">
        <x:v>RPS</x:v>
      </x:c>
      <x:c r="B61" s="2" t="str">
        <x:v>Quartiles</x:v>
      </x:c>
      <x:c r="C61" s="2" t="str">
        <x:v>Q1</x:v>
      </x:c>
      <x:c r="D61" s="2" t="str">
        <x:v>48-49</x:v>
      </x:c>
      <x:c r="E61" s="29" t="str">
        <x:v>Transportation and warehousing</x:v>
      </x:c>
      <x:c r="F61" s="24" t="n">
        <x:v>0.25104184559099996</x:v>
      </x:c>
      <x:c r="G61" s="26" t="n">
        <x:v>2</x:v>
      </x:c>
      <x:c r="H61" s="2" t="str">
        <x:v>CES4300000001</x:v>
      </x:c>
      <x:c r="I61" s="20" t="n">
        <x:v>6591.166666666667</x:v>
      </x:c>
      <x:c r="J61" s="24" t="n">
        <x:f>I61/SUMIFS($I$6:$I$167,$A$6:$A$167,A61,$B$6:$B$167,B61,$C$6:$C$167,C61)</x:f>
        <x:v>0.22436079271461412</x:v>
      </x:c>
      <x:c r="K61" s="2" t="str">
        <x:v>May 2026</x:v>
      </x:c>
      <x:c r="L61" s="22"/>
      <x:c r="M61" s="2" t="str">
        <x:v>https://fred.stlouisfed.org/data/RPSGENAIUSAGESHAREIND7</x:v>
      </x:c>
    </x:row>
    <x:row r="62" ht="38" customHeight="1">
      <x:c r="A62" s="2" t="str">
        <x:v>RPS</x:v>
      </x:c>
      <x:c r="B62" s="2" t="str">
        <x:v>Quartiles</x:v>
      </x:c>
      <x:c r="C62" s="2" t="str">
        <x:v>Q1</x:v>
      </x:c>
      <x:c r="D62" s="2" t="str">
        <x:v>21</x:v>
      </x:c>
      <x:c r="E62" s="29" t="str">
        <x:v>Mining, quarrying, and oil and gas extraction</x:v>
      </x:c>
      <x:c r="F62" s="24" t="n">
        <x:v>0.260994565394</x:v>
      </x:c>
      <x:c r="G62" s="26" t="n">
        <x:v>3</x:v>
      </x:c>
      <x:c r="H62" s="2" t="str">
        <x:v>CES1021000001</x:v>
      </x:c>
      <x:c r="I62" s="20" t="n">
        <x:v>588.9333333333333</x:v>
      </x:c>
      <x:c r="J62" s="24" t="n">
        <x:f>I62/SUMIFS($I$6:$I$167,$A$6:$A$167,A62,$B$6:$B$167,B62,$C$6:$C$167,C62)</x:f>
        <x:v>0.02004706544456875</x:v>
      </x:c>
      <x:c r="K62" s="2" t="str">
        <x:v>May 2026</x:v>
      </x:c>
      <x:c r="L62" s="22"/>
      <x:c r="M62" s="2" t="str">
        <x:v>https://fred.stlouisfed.org/data/RPSGENAIUSAGESHAREIND2</x:v>
      </x:c>
    </x:row>
    <x:row r="63" ht="38" customHeight="1">
      <x:c r="A63" s="2" t="str">
        <x:v>RPS</x:v>
      </x:c>
      <x:c r="B63" s="2" t="str">
        <x:v>Quartiles</x:v>
      </x:c>
      <x:c r="C63" s="2" t="str">
        <x:v>Q1</x:v>
      </x:c>
      <x:c r="D63" s="2" t="str">
        <x:v>72</x:v>
      </x:c>
      <x:c r="E63" s="29" t="str">
        <x:v>Accommodation and food services</x:v>
      </x:c>
      <x:c r="F63" s="24" t="n">
        <x:v>0.3052520052</x:v>
      </x:c>
      <x:c r="G63" s="26" t="n">
        <x:v>4</x:v>
      </x:c>
      <x:c r="H63" s="2" t="str">
        <x:v>CES7072000001</x:v>
      </x:c>
      <x:c r="I63" s="20" t="n">
        <x:v>13967.566666666666</x:v>
      </x:c>
      <x:c r="J63" s="24" t="n">
        <x:f>I63/SUMIFS($I$6:$I$167,$A$6:$A$167,A63,$B$6:$B$167,B63,$C$6:$C$167,C63)</x:f>
        <x:v>0.4754506278040135</x:v>
      </x:c>
      <x:c r="K63" s="2" t="str">
        <x:v>May 2026</x:v>
      </x:c>
      <x:c r="L63" s="22"/>
      <x:c r="M63" s="2" t="str">
        <x:v>https://fred.stlouisfed.org/data/RPSGENAIUSAGESHAREIND18</x:v>
      </x:c>
    </x:row>
    <x:row r="64" ht="38" customHeight="1">
      <x:c r="A64" s="2" t="str">
        <x:v>RPS</x:v>
      </x:c>
      <x:c r="B64" s="2" t="str">
        <x:v>Quartiles</x:v>
      </x:c>
      <x:c r="C64" s="2" t="str">
        <x:v>Q1</x:v>
      </x:c>
      <x:c r="D64" s="2" t="str">
        <x:v>71</x:v>
      </x:c>
      <x:c r="E64" s="29" t="str">
        <x:v>Arts, entertainment, and recreation</x:v>
      </x:c>
      <x:c r="F64" s="24" t="n">
        <x:v>0.319992080832</x:v>
      </x:c>
      <x:c r="G64" s="26" t="n">
        <x:v>5</x:v>
      </x:c>
      <x:c r="H64" s="2" t="str">
        <x:v>CES7071000001</x:v>
      </x:c>
      <x:c r="I64" s="20" t="n">
        <x:v>2443.5333333333333</x:v>
      </x:c>
      <x:c r="J64" s="24" t="n">
        <x:f>I64/SUMIFS($I$6:$I$167,$A$6:$A$167,A64,$B$6:$B$167,B64,$C$6:$C$167,C64)</x:f>
        <x:v>0.08317694020146915</x:v>
      </x:c>
      <x:c r="K64" s="2" t="str">
        <x:v>May 2026</x:v>
      </x:c>
      <x:c r="L64" s="22"/>
      <x:c r="M64" s="2" t="str">
        <x:v>https://fred.stlouisfed.org/data/RPSGENAIUSAGESHAREIND17</x:v>
      </x:c>
    </x:row>
    <x:row r="65" ht="38" customHeight="1">
      <x:c r="A65" s="2" t="str">
        <x:v>RPS</x:v>
      </x:c>
      <x:c r="B65" s="2" t="str">
        <x:v>Quartiles</x:v>
      </x:c>
      <x:c r="C65" s="2" t="str">
        <x:v>Q2</x:v>
      </x:c>
      <x:c r="D65" s="2" t="str">
        <x:v>62</x:v>
      </x:c>
      <x:c r="E65" s="29" t="str">
        <x:v>Health care and social assistance</x:v>
      </x:c>
      <x:c r="F65" s="24" t="n">
        <x:v>0.371653034619</x:v>
      </x:c>
      <x:c r="G65" s="26" t="n">
        <x:v>6</x:v>
      </x:c>
      <x:c r="H65" s="2" t="str">
        <x:v>CES6562000001</x:v>
      </x:c>
      <x:c r="I65" s="20" t="n">
        <x:v>21171.533333333333</x:v>
      </x:c>
      <x:c r="J65" s="24" t="n">
        <x:f>I65/SUMIFS($I$6:$I$167,$A$6:$A$167,A65,$B$6:$B$167,B65,$C$6:$C$167,C65)</x:f>
        <x:v>0.39076096586210973</x:v>
      </x:c>
      <x:c r="K65" s="2" t="str">
        <x:v>May 2026</x:v>
      </x:c>
      <x:c r="L65" s="22"/>
      <x:c r="M65" s="2" t="str">
        <x:v>https://fred.stlouisfed.org/data/RPSGENAIUSAGESHAREIND16</x:v>
      </x:c>
    </x:row>
    <x:row r="66" ht="38" customHeight="1">
      <x:c r="A66" s="2" t="str">
        <x:v>RPS</x:v>
      </x:c>
      <x:c r="B66" s="2" t="str">
        <x:v>Quartiles</x:v>
      </x:c>
      <x:c r="C66" s="2" t="str">
        <x:v>Q2</x:v>
      </x:c>
      <x:c r="D66" s="2" t="str">
        <x:v>44-45</x:v>
      </x:c>
      <x:c r="E66" s="29" t="str">
        <x:v>Retail trade</x:v>
      </x:c>
      <x:c r="F66" s="24" t="n">
        <x:v>0.394512265617</x:v>
      </x:c>
      <x:c r="G66" s="26" t="n">
        <x:v>7</x:v>
      </x:c>
      <x:c r="H66" s="2" t="str">
        <x:v>CES4200000001</x:v>
      </x:c>
      <x:c r="I66" s="20" t="n">
        <x:v>15572.233333333332</x:v>
      </x:c>
      <x:c r="J66" s="24" t="n">
        <x:f>I66/SUMIFS($I$6:$I$167,$A$6:$A$167,A66,$B$6:$B$167,B66,$C$6:$C$167,C66)</x:f>
        <x:v>0.28741522128597863</x:v>
      </x:c>
      <x:c r="K66" s="2" t="str">
        <x:v>May 2026</x:v>
      </x:c>
      <x:c r="L66" s="22"/>
      <x:c r="M66" s="2" t="str">
        <x:v>https://fred.stlouisfed.org/data/RPSGENAIUSAGESHAREIND6</x:v>
      </x:c>
    </x:row>
    <x:row r="67" ht="38" customHeight="1">
      <x:c r="A67" s="2" t="str">
        <x:v>RPS</x:v>
      </x:c>
      <x:c r="B67" s="2" t="str">
        <x:v>Quartiles</x:v>
      </x:c>
      <x:c r="C67" s="2" t="str">
        <x:v>Q2</x:v>
      </x:c>
      <x:c r="D67" s="2" t="str">
        <x:v>56</x:v>
      </x:c>
      <x:c r="E67" s="29" t="str">
        <x:v>Administrative, support, and waste services</x:v>
      </x:c>
      <x:c r="F67" s="24" t="n">
        <x:v>0.40460115732299995</x:v>
      </x:c>
      <x:c r="G67" s="26" t="n">
        <x:v>8</x:v>
      </x:c>
      <x:c r="H67" s="2" t="str">
        <x:v>CES6056000001</x:v>
      </x:c>
      <x:c r="I67" s="20" t="n">
        <x:v>9502.833333333334</x:v>
      </x:c>
      <x:c r="J67" s="24" t="n">
        <x:f>I67/SUMIFS($I$6:$I$167,$A$6:$A$167,A67,$B$6:$B$167,B67,$C$6:$C$167,C67)</x:f>
        <x:v>0.17539288597078398</x:v>
      </x:c>
      <x:c r="K67" s="2" t="str">
        <x:v>May 2026</x:v>
      </x:c>
      <x:c r="L67" s="22"/>
      <x:c r="M67" s="2" t="str">
        <x:v>https://fred.stlouisfed.org/data/RPSGENAIUSAGESHAREIND14</x:v>
      </x:c>
    </x:row>
    <x:row r="68" ht="38" customHeight="1">
      <x:c r="A68" s="2" t="str">
        <x:v>RPS</x:v>
      </x:c>
      <x:c r="B68" s="2" t="str">
        <x:v>Quartiles</x:v>
      </x:c>
      <x:c r="C68" s="2" t="str">
        <x:v>Q2</x:v>
      </x:c>
      <x:c r="D68" s="2" t="str">
        <x:v>23</x:v>
      </x:c>
      <x:c r="E68" s="29" t="str">
        <x:v>Construction</x:v>
      </x:c>
      <x:c r="F68" s="24" t="n">
        <x:v>0.435424833398</x:v>
      </x:c>
      <x:c r="G68" s="26" t="n">
        <x:v>9</x:v>
      </x:c>
      <x:c r="H68" s="2" t="str">
        <x:v>CES2000000001</x:v>
      </x:c>
      <x:c r="I68" s="20" t="n">
        <x:v>7933.666666666667</x:v>
      </x:c>
      <x:c r="J68" s="24" t="n">
        <x:f>I68/SUMIFS($I$6:$I$167,$A$6:$A$167,A68,$B$6:$B$167,B68,$C$6:$C$167,C68)</x:f>
        <x:v>0.14643092688112772</x:v>
      </x:c>
      <x:c r="K68" s="2" t="str">
        <x:v>May 2026</x:v>
      </x:c>
      <x:c r="L68" s="22"/>
      <x:c r="M68" s="2" t="str">
        <x:v>https://fred.stlouisfed.org/data/RPSGENAIUSAGESHAREIND3</x:v>
      </x:c>
    </x:row>
    <x:row r="69" ht="38" customHeight="1">
      <x:c r="A69" s="2" t="str">
        <x:v>RPS</x:v>
      </x:c>
      <x:c r="B69" s="2" t="str">
        <x:v>Quartiles</x:v>
      </x:c>
      <x:c r="C69" s="2" t="str">
        <x:v>Q3</x:v>
      </x:c>
      <x:c r="D69" s="2" t="str">
        <x:v>31-33</x:v>
      </x:c>
      <x:c r="E69" s="29" t="str">
        <x:v>Manufacturing</x:v>
      </x:c>
      <x:c r="F69" s="24" t="n">
        <x:v>0.47658671099899996</x:v>
      </x:c>
      <x:c r="G69" s="26" t="n">
        <x:v>10</x:v>
      </x:c>
      <x:c r="H69" s="2" t="str">
        <x:v>CES3000000001</x:v>
      </x:c>
      <x:c r="I69" s="20" t="n">
        <x:v>12896.333333333334</x:v>
      </x:c>
      <x:c r="J69" s="24" t="n">
        <x:f>I69/SUMIFS($I$6:$I$167,$A$6:$A$167,A69,$B$6:$B$167,B69,$C$6:$C$167,C69)</x:f>
        <x:v>0.6549897491200836</x:v>
      </x:c>
      <x:c r="K69" s="2" t="str">
        <x:v>May 2026</x:v>
      </x:c>
      <x:c r="L69" s="22"/>
      <x:c r="M69" s="2" t="str">
        <x:v>https://fred.stlouisfed.org/data/RPSGENAIUSAGESHAREIND4</x:v>
      </x:c>
    </x:row>
    <x:row r="70" ht="38" customHeight="1">
      <x:c r="A70" s="2" t="str">
        <x:v>RPS</x:v>
      </x:c>
      <x:c r="B70" s="2" t="str">
        <x:v>Quartiles</x:v>
      </x:c>
      <x:c r="C70" s="2" t="str">
        <x:v>Q3</x:v>
      </x:c>
      <x:c r="D70" s="2" t="str">
        <x:v>61</x:v>
      </x:c>
      <x:c r="E70" s="29" t="str">
        <x:v>Private educational services</x:v>
      </x:c>
      <x:c r="F70" s="24" t="n">
        <x:v>0.525851862896</x:v>
      </x:c>
      <x:c r="G70" s="26" t="n">
        <x:v>11</x:v>
      </x:c>
      <x:c r="H70" s="2" t="str">
        <x:v>CES6561000001</x:v>
      </x:c>
      <x:c r="I70" s="20" t="n">
        <x:v>3785.7333333333336</x:v>
      </x:c>
      <x:c r="J70" s="24" t="n">
        <x:f>I70/SUMIFS($I$6:$I$167,$A$6:$A$167,A70,$B$6:$B$167,B70,$C$6:$C$167,C70)</x:f>
        <x:v>0.19227298660359826</x:v>
      </x:c>
      <x:c r="K70" s="2" t="str">
        <x:v>May 2026</x:v>
      </x:c>
      <x:c r="L70" s="22"/>
      <x:c r="M70" s="2" t="str">
        <x:v>https://fred.stlouisfed.org/data/RPSGENAIUSAGESHAREIND15</x:v>
      </x:c>
    </x:row>
    <x:row r="71" ht="38" customHeight="1">
      <x:c r="A71" s="2" t="str">
        <x:v>RPS</x:v>
      </x:c>
      <x:c r="B71" s="2" t="str">
        <x:v>Quartiles</x:v>
      </x:c>
      <x:c r="C71" s="2" t="str">
        <x:v>Q3</x:v>
      </x:c>
      <x:c r="D71" s="2" t="str">
        <x:v>22</x:v>
      </x:c>
      <x:c r="E71" s="29" t="str">
        <x:v>Utilities</x:v>
      </x:c>
      <x:c r="F71" s="24" t="n">
        <x:v>0.564271540336</x:v>
      </x:c>
      <x:c r="G71" s="26" t="n">
        <x:v>12</x:v>
      </x:c>
      <x:c r="H71" s="2" t="str">
        <x:v>CES4422000001</x:v>
      </x:c>
      <x:c r="I71" s="20" t="n">
        <x:v>569.0666666666667</x:v>
      </x:c>
      <x:c r="J71" s="24" t="n">
        <x:f>I71/SUMIFS($I$6:$I$167,$A$6:$A$167,A71,$B$6:$B$167,B71,$C$6:$C$167,C71)</x:f>
        <x:v>0.028902233185086373</x:v>
      </x:c>
      <x:c r="K71" s="2" t="str">
        <x:v>May 2026</x:v>
      </x:c>
      <x:c r="L71" s="22"/>
      <x:c r="M71" s="2" t="str">
        <x:v>https://fred.stlouisfed.org/data/RPSGENAIUSAGESHAREIND8</x:v>
      </x:c>
    </x:row>
    <x:row r="72" ht="38" customHeight="1">
      <x:c r="A72" s="2" t="str">
        <x:v>RPS</x:v>
      </x:c>
      <x:c r="B72" s="2" t="str">
        <x:v>Quartiles</x:v>
      </x:c>
      <x:c r="C72" s="2" t="str">
        <x:v>Q3</x:v>
      </x:c>
      <x:c r="D72" s="2" t="str">
        <x:v>53</x:v>
      </x:c>
      <x:c r="E72" s="29" t="str">
        <x:v>Real estate and rental and leasing</x:v>
      </x:c>
      <x:c r="F72" s="24" t="n">
        <x:v>0.5649283583820001</x:v>
      </x:c>
      <x:c r="G72" s="26" t="n">
        <x:v>13</x:v>
      </x:c>
      <x:c r="H72" s="2" t="str">
        <x:v>CES5553000001</x:v>
      </x:c>
      <x:c r="I72" s="20" t="n">
        <x:v>2438.233333333333</x:v>
      </x:c>
      <x:c r="J72" s="24" t="n">
        <x:f>I72/SUMIFS($I$6:$I$167,$A$6:$A$167,A72,$B$6:$B$167,B72,$C$6:$C$167,C72)</x:f>
        <x:v>0.12383503109123198</x:v>
      </x:c>
      <x:c r="K72" s="2" t="str">
        <x:v>May 2026</x:v>
      </x:c>
      <x:c r="L72" s="22"/>
      <x:c r="M72" s="2" t="str">
        <x:v>https://fred.stlouisfed.org/data/RPSGENAIUSAGESHAREIND11</x:v>
      </x:c>
    </x:row>
    <x:row r="73" ht="38" customHeight="1">
      <x:c r="A73" s="2" t="str">
        <x:v>RPS</x:v>
      </x:c>
      <x:c r="B73" s="2" t="str">
        <x:v>Quartiles</x:v>
      </x:c>
      <x:c r="C73" s="2" t="str">
        <x:v>Q4</x:v>
      </x:c>
      <x:c r="D73" s="2" t="str">
        <x:v>42</x:v>
      </x:c>
      <x:c r="E73" s="29" t="str">
        <x:v>Wholesale trade</x:v>
      </x:c>
      <x:c r="F73" s="24" t="n">
        <x:v>0.621165459402</x:v>
      </x:c>
      <x:c r="G73" s="26" t="n">
        <x:v>14</x:v>
      </x:c>
      <x:c r="H73" s="2" t="str">
        <x:v>CES4142000001</x:v>
      </x:c>
      <x:c r="I73" s="20" t="n">
        <x:v>6085.833333333333</x:v>
      </x:c>
      <x:c r="J73" s="24" t="n">
        <x:f>I73/SUMIFS($I$6:$I$167,$A$6:$A$167,A73,$B$6:$B$167,B73,$C$6:$C$167,C73)</x:f>
        <x:v>0.20866429706161352</x:v>
      </x:c>
      <x:c r="K73" s="2" t="str">
        <x:v>May 2026</x:v>
      </x:c>
      <x:c r="L73" s="22"/>
      <x:c r="M73" s="2" t="str">
        <x:v>https://fred.stlouisfed.org/data/RPSGENAIUSAGESHAREIND5</x:v>
      </x:c>
    </x:row>
    <x:row r="74" ht="38" customHeight="1">
      <x:c r="A74" s="2" t="str">
        <x:v>RPS</x:v>
      </x:c>
      <x:c r="B74" s="2" t="str">
        <x:v>Quartiles</x:v>
      </x:c>
      <x:c r="C74" s="2" t="str">
        <x:v>Q4</x:v>
      </x:c>
      <x:c r="D74" s="2" t="str">
        <x:v>55</x:v>
      </x:c>
      <x:c r="E74" s="29" t="str">
        <x:v>Management of companies and enterprises</x:v>
      </x:c>
      <x:c r="F74" s="24" t="n">
        <x:v>0.644594343994</x:v>
      </x:c>
      <x:c r="G74" s="26" t="n">
        <x:v>15</x:v>
      </x:c>
      <x:c r="H74" s="2" t="str">
        <x:v>CES6055000001</x:v>
      </x:c>
      <x:c r="I74" s="20" t="n">
        <x:v>2597.9</x:v>
      </x:c>
      <x:c r="J74" s="24" t="n">
        <x:f>I74/SUMIFS($I$6:$I$167,$A$6:$A$167,A74,$B$6:$B$167,B74,$C$6:$C$167,C74)</x:f>
        <x:v>0.08907391110552362</x:v>
      </x:c>
      <x:c r="K74" s="2" t="str">
        <x:v>May 2026</x:v>
      </x:c>
      <x:c r="L74" s="22"/>
      <x:c r="M74" s="2" t="str">
        <x:v>https://fred.stlouisfed.org/data/RPSGENAIUSAGESHAREIND13</x:v>
      </x:c>
    </x:row>
    <x:row r="75" ht="38" customHeight="1">
      <x:c r="A75" s="2" t="str">
        <x:v>RPS</x:v>
      </x:c>
      <x:c r="B75" s="2" t="str">
        <x:v>Quartiles</x:v>
      </x:c>
      <x:c r="C75" s="2" t="str">
        <x:v>Q4</x:v>
      </x:c>
      <x:c r="D75" s="2" t="str">
        <x:v>52</x:v>
      </x:c>
      <x:c r="E75" s="29" t="str">
        <x:v>Finance and insurance</x:v>
      </x:c>
      <x:c r="F75" s="24" t="n">
        <x:v>0.6733240401</x:v>
      </x:c>
      <x:c r="G75" s="26" t="n">
        <x:v>16</x:v>
      </x:c>
      <x:c r="H75" s="2" t="str">
        <x:v>CES5552000001</x:v>
      </x:c>
      <x:c r="I75" s="20" t="n">
        <x:v>6710.099999999999</x:v>
      </x:c>
      <x:c r="J75" s="24" t="n">
        <x:f>I75/SUMIFS($I$6:$I$167,$A$6:$A$167,A75,$B$6:$B$167,B75,$C$6:$C$167,C75)</x:f>
        <x:v>0.23006845949003962</x:v>
      </x:c>
      <x:c r="K75" s="2" t="str">
        <x:v>May 2026</x:v>
      </x:c>
      <x:c r="L75" s="22"/>
      <x:c r="M75" s="2" t="str">
        <x:v>https://fred.stlouisfed.org/data/RPSGENAIUSAGESHAREIND10</x:v>
      </x:c>
    </x:row>
    <x:row r="76" ht="38" customHeight="1">
      <x:c r="A76" s="2" t="str">
        <x:v>RPS</x:v>
      </x:c>
      <x:c r="B76" s="2" t="str">
        <x:v>Quartiles</x:v>
      </x:c>
      <x:c r="C76" s="2" t="str">
        <x:v>Q4</x:v>
      </x:c>
      <x:c r="D76" s="2" t="str">
        <x:v>54</x:v>
      </x:c>
      <x:c r="E76" s="29" t="str">
        <x:v>Professional, scientific, and technical services</x:v>
      </x:c>
      <x:c r="F76" s="24" t="n">
        <x:v>0.695429443332</x:v>
      </x:c>
      <x:c r="G76" s="26" t="n">
        <x:v>17</x:v>
      </x:c>
      <x:c r="H76" s="2" t="str">
        <x:v>CES6054000001</x:v>
      </x:c>
      <x:c r="I76" s="20" t="n">
        <x:v>10719.166666666666</x:v>
      </x:c>
      <x:c r="J76" s="24" t="n">
        <x:f>I76/SUMIFS($I$6:$I$167,$A$6:$A$167,A76,$B$6:$B$167,B76,$C$6:$C$167,C76)</x:f>
        <x:v>0.3675268866361132</x:v>
      </x:c>
      <x:c r="K76" s="2" t="str">
        <x:v>May 2026</x:v>
      </x:c>
      <x:c r="L76" s="22"/>
      <x:c r="M76" s="2" t="str">
        <x:v>https://fred.stlouisfed.org/data/RPSGENAIUSAGESHAREIND12</x:v>
      </x:c>
    </x:row>
    <x:row r="77" ht="38" customHeight="1">
      <x:c r="A77" s="2" t="str">
        <x:v>RPS</x:v>
      </x:c>
      <x:c r="B77" s="2" t="str">
        <x:v>Quartiles</x:v>
      </x:c>
      <x:c r="C77" s="2" t="str">
        <x:v>Q4</x:v>
      </x:c>
      <x:c r="D77" s="2" t="str">
        <x:v>51</x:v>
      </x:c>
      <x:c r="E77" s="29" t="str">
        <x:v>Information</x:v>
      </x:c>
      <x:c r="F77" s="24" t="n">
        <x:v>0.821926036484</x:v>
      </x:c>
      <x:c r="G77" s="26" t="n">
        <x:v>18</x:v>
      </x:c>
      <x:c r="H77" s="2" t="str">
        <x:v>CES5000000001</x:v>
      </x:c>
      <x:c r="I77" s="20" t="n">
        <x:v>3052.6666666666665</x:v>
      </x:c>
      <x:c r="J77" s="24" t="n">
        <x:f>I77/SUMIFS($I$6:$I$167,$A$6:$A$167,A77,$B$6:$B$167,B77,$C$6:$C$167,C77)</x:f>
        <x:v>0.10466644570670994</x:v>
      </x:c>
      <x:c r="K77" s="2" t="str">
        <x:v>May 2026</x:v>
      </x:c>
      <x:c r="L77" s="22"/>
      <x:c r="M77" s="2" t="str">
        <x:v>https://fred.stlouisfed.org/data/RPSGENAIUSAGESHAREIND9</x:v>
      </x:c>
    </x:row>
    <x:row r="78" ht="38" customHeight="1">
      <x:c r="A78" s="2" t="str">
        <x:v>RPS</x:v>
      </x:c>
      <x:c r="B78" s="2" t="str">
        <x:v>Quintiles</x:v>
      </x:c>
      <x:c r="C78" s="2" t="str">
        <x:v>Q1</x:v>
      </x:c>
      <x:c r="D78" s="2" t="str">
        <x:v>81</x:v>
      </x:c>
      <x:c r="E78" s="29" t="str">
        <x:v>Other services, except government</x:v>
      </x:c>
      <x:c r="F78" s="24" t="n">
        <x:v>0.24678413474799998</x:v>
      </x:c>
      <x:c r="G78" s="26" t="n">
        <x:v>1</x:v>
      </x:c>
      <x:c r="H78" s="2" t="str">
        <x:v>CES8000000001</x:v>
      </x:c>
      <x:c r="I78" s="20" t="n">
        <x:v>5786.333333333333</x:v>
      </x:c>
      <x:c r="J78" s="24" t="n">
        <x:f>I78/SUMIFS($I$6:$I$167,$A$6:$A$167,A78,$B$6:$B$167,B78,$C$6:$C$167,C78)</x:f>
        <x:v>0.214833791242791</x:v>
      </x:c>
      <x:c r="K78" s="2" t="str">
        <x:v>May 2026</x:v>
      </x:c>
      <x:c r="L78" s="22"/>
      <x:c r="M78" s="2" t="str">
        <x:v>https://fred.stlouisfed.org/data/RPSGENAIUSAGESHAREIND19</x:v>
      </x:c>
    </x:row>
    <x:row r="79" ht="38" customHeight="1">
      <x:c r="A79" s="2" t="str">
        <x:v>RPS</x:v>
      </x:c>
      <x:c r="B79" s="2" t="str">
        <x:v>Quintiles</x:v>
      </x:c>
      <x:c r="C79" s="2" t="str">
        <x:v>Q1</x:v>
      </x:c>
      <x:c r="D79" s="2" t="str">
        <x:v>48-49</x:v>
      </x:c>
      <x:c r="E79" s="29" t="str">
        <x:v>Transportation and warehousing</x:v>
      </x:c>
      <x:c r="F79" s="24" t="n">
        <x:v>0.25104184559099996</x:v>
      </x:c>
      <x:c r="G79" s="26" t="n">
        <x:v>2</x:v>
      </x:c>
      <x:c r="H79" s="2" t="str">
        <x:v>CES4300000001</x:v>
      </x:c>
      <x:c r="I79" s="20" t="n">
        <x:v>6591.166666666667</x:v>
      </x:c>
      <x:c r="J79" s="24" t="n">
        <x:f>I79/SUMIFS($I$6:$I$167,$A$6:$A$167,A79,$B$6:$B$167,B79,$C$6:$C$167,C79)</x:f>
        <x:v>0.24471547733966983</x:v>
      </x:c>
      <x:c r="K79" s="2" t="str">
        <x:v>May 2026</x:v>
      </x:c>
      <x:c r="L79" s="22"/>
      <x:c r="M79" s="2" t="str">
        <x:v>https://fred.stlouisfed.org/data/RPSGENAIUSAGESHAREIND7</x:v>
      </x:c>
    </x:row>
    <x:row r="80" ht="38" customHeight="1">
      <x:c r="A80" s="2" t="str">
        <x:v>RPS</x:v>
      </x:c>
      <x:c r="B80" s="2" t="str">
        <x:v>Quintiles</x:v>
      </x:c>
      <x:c r="C80" s="2" t="str">
        <x:v>Q1</x:v>
      </x:c>
      <x:c r="D80" s="2" t="str">
        <x:v>21</x:v>
      </x:c>
      <x:c r="E80" s="29" t="str">
        <x:v>Mining, quarrying, and oil and gas extraction</x:v>
      </x:c>
      <x:c r="F80" s="24" t="n">
        <x:v>0.260994565394</x:v>
      </x:c>
      <x:c r="G80" s="26" t="n">
        <x:v>3</x:v>
      </x:c>
      <x:c r="H80" s="2" t="str">
        <x:v>CES1021000001</x:v>
      </x:c>
      <x:c r="I80" s="20" t="n">
        <x:v>588.9333333333333</x:v>
      </x:c>
      <x:c r="J80" s="24" t="n">
        <x:f>I80/SUMIFS($I$6:$I$167,$A$6:$A$167,A80,$B$6:$B$167,B80,$C$6:$C$167,C80)</x:f>
        <x:v>0.02186579540110393</x:v>
      </x:c>
      <x:c r="K80" s="2" t="str">
        <x:v>May 2026</x:v>
      </x:c>
      <x:c r="L80" s="22"/>
      <x:c r="M80" s="2" t="str">
        <x:v>https://fred.stlouisfed.org/data/RPSGENAIUSAGESHAREIND2</x:v>
      </x:c>
    </x:row>
    <x:row r="81" ht="38" customHeight="1">
      <x:c r="A81" s="2" t="str">
        <x:v>RPS</x:v>
      </x:c>
      <x:c r="B81" s="2" t="str">
        <x:v>Quintiles</x:v>
      </x:c>
      <x:c r="C81" s="2" t="str">
        <x:v>Q1</x:v>
      </x:c>
      <x:c r="D81" s="2" t="str">
        <x:v>72</x:v>
      </x:c>
      <x:c r="E81" s="29" t="str">
        <x:v>Accommodation and food services</x:v>
      </x:c>
      <x:c r="F81" s="24" t="n">
        <x:v>0.3052520052</x:v>
      </x:c>
      <x:c r="G81" s="26" t="n">
        <x:v>4</x:v>
      </x:c>
      <x:c r="H81" s="2" t="str">
        <x:v>CES7072000001</x:v>
      </x:c>
      <x:c r="I81" s="20" t="n">
        <x:v>13967.566666666666</x:v>
      </x:c>
      <x:c r="J81" s="24" t="n">
        <x:f>I81/SUMIFS($I$6:$I$167,$A$6:$A$167,A81,$B$6:$B$167,B81,$C$6:$C$167,C81)</x:f>
        <x:v>0.5185849360164352</x:v>
      </x:c>
      <x:c r="K81" s="2" t="str">
        <x:v>May 2026</x:v>
      </x:c>
      <x:c r="L81" s="22"/>
      <x:c r="M81" s="2" t="str">
        <x:v>https://fred.stlouisfed.org/data/RPSGENAIUSAGESHAREIND18</x:v>
      </x:c>
    </x:row>
    <x:row r="82" ht="38" customHeight="1">
      <x:c r="A82" s="2" t="str">
        <x:v>RPS</x:v>
      </x:c>
      <x:c r="B82" s="2" t="str">
        <x:v>Quintiles</x:v>
      </x:c>
      <x:c r="C82" s="2" t="str">
        <x:v>Q2</x:v>
      </x:c>
      <x:c r="D82" s="2" t="str">
        <x:v>71</x:v>
      </x:c>
      <x:c r="E82" s="29" t="str">
        <x:v>Arts, entertainment, and recreation</x:v>
      </x:c>
      <x:c r="F82" s="24" t="n">
        <x:v>0.319992080832</x:v>
      </x:c>
      <x:c r="G82" s="26" t="n">
        <x:v>5</x:v>
      </x:c>
      <x:c r="H82" s="2" t="str">
        <x:v>CES7071000001</x:v>
      </x:c>
      <x:c r="I82" s="20" t="n">
        <x:v>2443.5333333333333</x:v>
      </x:c>
      <x:c r="J82" s="24" t="n">
        <x:f>I82/SUMIFS($I$6:$I$167,$A$6:$A$167,A82,$B$6:$B$167,B82,$C$6:$C$167,C82)</x:f>
        <x:v>0.06235523583746095</x:v>
      </x:c>
      <x:c r="K82" s="2" t="str">
        <x:v>May 2026</x:v>
      </x:c>
      <x:c r="L82" s="22"/>
      <x:c r="M82" s="2" t="str">
        <x:v>https://fred.stlouisfed.org/data/RPSGENAIUSAGESHAREIND17</x:v>
      </x:c>
    </x:row>
    <x:row r="83" ht="38" customHeight="1">
      <x:c r="A83" s="2" t="str">
        <x:v>RPS</x:v>
      </x:c>
      <x:c r="B83" s="2" t="str">
        <x:v>Quintiles</x:v>
      </x:c>
      <x:c r="C83" s="2" t="str">
        <x:v>Q2</x:v>
      </x:c>
      <x:c r="D83" s="2" t="str">
        <x:v>62</x:v>
      </x:c>
      <x:c r="E83" s="29" t="str">
        <x:v>Health care and social assistance</x:v>
      </x:c>
      <x:c r="F83" s="24" t="n">
        <x:v>0.371653034619</x:v>
      </x:c>
      <x:c r="G83" s="26" t="n">
        <x:v>6</x:v>
      </x:c>
      <x:c r="H83" s="2" t="str">
        <x:v>CES6562000001</x:v>
      </x:c>
      <x:c r="I83" s="20" t="n">
        <x:v>21171.533333333333</x:v>
      </x:c>
      <x:c r="J83" s="24" t="n">
        <x:f>I83/SUMIFS($I$6:$I$167,$A$6:$A$167,A83,$B$6:$B$167,B83,$C$6:$C$167,C83)</x:f>
        <x:v>0.5402651709439878</x:v>
      </x:c>
      <x:c r="K83" s="2" t="str">
        <x:v>May 2026</x:v>
      </x:c>
      <x:c r="L83" s="22"/>
      <x:c r="M83" s="2" t="str">
        <x:v>https://fred.stlouisfed.org/data/RPSGENAIUSAGESHAREIND16</x:v>
      </x:c>
    </x:row>
    <x:row r="84" ht="38" customHeight="1">
      <x:c r="A84" s="2" t="str">
        <x:v>RPS</x:v>
      </x:c>
      <x:c r="B84" s="2" t="str">
        <x:v>Quintiles</x:v>
      </x:c>
      <x:c r="C84" s="2" t="str">
        <x:v>Q2</x:v>
      </x:c>
      <x:c r="D84" s="2" t="str">
        <x:v>44-45</x:v>
      </x:c>
      <x:c r="E84" s="29" t="str">
        <x:v>Retail trade</x:v>
      </x:c>
      <x:c r="F84" s="24" t="n">
        <x:v>0.394512265617</x:v>
      </x:c>
      <x:c r="G84" s="26" t="n">
        <x:v>7</x:v>
      </x:c>
      <x:c r="H84" s="2" t="str">
        <x:v>CES4200000001</x:v>
      </x:c>
      <x:c r="I84" s="20" t="n">
        <x:v>15572.233333333332</x:v>
      </x:c>
      <x:c r="J84" s="24" t="n">
        <x:f>I84/SUMIFS($I$6:$I$167,$A$6:$A$167,A84,$B$6:$B$167,B84,$C$6:$C$167,C84)</x:f>
        <x:v>0.39737959321855126</x:v>
      </x:c>
      <x:c r="K84" s="2" t="str">
        <x:v>May 2026</x:v>
      </x:c>
      <x:c r="L84" s="22"/>
      <x:c r="M84" s="2" t="str">
        <x:v>https://fred.stlouisfed.org/data/RPSGENAIUSAGESHAREIND6</x:v>
      </x:c>
    </x:row>
    <x:row r="85" ht="38" customHeight="1">
      <x:c r="A85" s="2" t="str">
        <x:v>RPS</x:v>
      </x:c>
      <x:c r="B85" s="2" t="str">
        <x:v>Quintiles</x:v>
      </x:c>
      <x:c r="C85" s="2" t="str">
        <x:v>Q3</x:v>
      </x:c>
      <x:c r="D85" s="2" t="str">
        <x:v>56</x:v>
      </x:c>
      <x:c r="E85" s="29" t="str">
        <x:v>Administrative, support, and waste services</x:v>
      </x:c>
      <x:c r="F85" s="24" t="n">
        <x:v>0.40460115732299995</x:v>
      </x:c>
      <x:c r="G85" s="26" t="n">
        <x:v>8</x:v>
      </x:c>
      <x:c r="H85" s="2" t="str">
        <x:v>CES6056000001</x:v>
      </x:c>
      <x:c r="I85" s="20" t="n">
        <x:v>9502.833333333334</x:v>
      </x:c>
      <x:c r="J85" s="24" t="n">
        <x:f>I85/SUMIFS($I$6:$I$167,$A$6:$A$167,A85,$B$6:$B$167,B85,$C$6:$C$167,C85)</x:f>
        <x:v>0.27852381450178154</x:v>
      </x:c>
      <x:c r="K85" s="2" t="str">
        <x:v>May 2026</x:v>
      </x:c>
      <x:c r="L85" s="22"/>
      <x:c r="M85" s="2" t="str">
        <x:v>https://fred.stlouisfed.org/data/RPSGENAIUSAGESHAREIND14</x:v>
      </x:c>
    </x:row>
    <x:row r="86" ht="38" customHeight="1">
      <x:c r="A86" s="2" t="str">
        <x:v>RPS</x:v>
      </x:c>
      <x:c r="B86" s="2" t="str">
        <x:v>Quintiles</x:v>
      </x:c>
      <x:c r="C86" s="2" t="str">
        <x:v>Q3</x:v>
      </x:c>
      <x:c r="D86" s="2" t="str">
        <x:v>23</x:v>
      </x:c>
      <x:c r="E86" s="29" t="str">
        <x:v>Construction</x:v>
      </x:c>
      <x:c r="F86" s="24" t="n">
        <x:v>0.435424833398</x:v>
      </x:c>
      <x:c r="G86" s="26" t="n">
        <x:v>9</x:v>
      </x:c>
      <x:c r="H86" s="2" t="str">
        <x:v>CES2000000001</x:v>
      </x:c>
      <x:c r="I86" s="20" t="n">
        <x:v>7933.666666666667</x:v>
      </x:c>
      <x:c r="J86" s="24" t="n">
        <x:f>I86/SUMIFS($I$6:$I$167,$A$6:$A$167,A86,$B$6:$B$167,B86,$C$6:$C$167,C86)</x:f>
        <x:v>0.23253223806783602</x:v>
      </x:c>
      <x:c r="K86" s="2" t="str">
        <x:v>May 2026</x:v>
      </x:c>
      <x:c r="L86" s="22"/>
      <x:c r="M86" s="2" t="str">
        <x:v>https://fred.stlouisfed.org/data/RPSGENAIUSAGESHAREIND3</x:v>
      </x:c>
    </x:row>
    <x:row r="87" ht="38" customHeight="1">
      <x:c r="A87" s="2" t="str">
        <x:v>RPS</x:v>
      </x:c>
      <x:c r="B87" s="2" t="str">
        <x:v>Quintiles</x:v>
      </x:c>
      <x:c r="C87" s="2" t="str">
        <x:v>Q3</x:v>
      </x:c>
      <x:c r="D87" s="2" t="str">
        <x:v>31-33</x:v>
      </x:c>
      <x:c r="E87" s="29" t="str">
        <x:v>Manufacturing</x:v>
      </x:c>
      <x:c r="F87" s="24" t="n">
        <x:v>0.47658671099899996</x:v>
      </x:c>
      <x:c r="G87" s="26" t="n">
        <x:v>10</x:v>
      </x:c>
      <x:c r="H87" s="2" t="str">
        <x:v>CES3000000001</x:v>
      </x:c>
      <x:c r="I87" s="20" t="n">
        <x:v>12896.333333333334</x:v>
      </x:c>
      <x:c r="J87" s="24" t="n">
        <x:f>I87/SUMIFS($I$6:$I$167,$A$6:$A$167,A87,$B$6:$B$167,B87,$C$6:$C$167,C87)</x:f>
        <x:v>0.37798578877385436</x:v>
      </x:c>
      <x:c r="K87" s="2" t="str">
        <x:v>May 2026</x:v>
      </x:c>
      <x:c r="L87" s="22"/>
      <x:c r="M87" s="2" t="str">
        <x:v>https://fred.stlouisfed.org/data/RPSGENAIUSAGESHAREIND4</x:v>
      </x:c>
    </x:row>
    <x:row r="88" ht="38" customHeight="1">
      <x:c r="A88" s="2" t="str">
        <x:v>RPS</x:v>
      </x:c>
      <x:c r="B88" s="2" t="str">
        <x:v>Quintiles</x:v>
      </x:c>
      <x:c r="C88" s="2" t="str">
        <x:v>Q3</x:v>
      </x:c>
      <x:c r="D88" s="2" t="str">
        <x:v>61</x:v>
      </x:c>
      <x:c r="E88" s="29" t="str">
        <x:v>Private educational services</x:v>
      </x:c>
      <x:c r="F88" s="24" t="n">
        <x:v>0.525851862896</x:v>
      </x:c>
      <x:c r="G88" s="26" t="n">
        <x:v>11</x:v>
      </x:c>
      <x:c r="H88" s="2" t="str">
        <x:v>CES6561000001</x:v>
      </x:c>
      <x:c r="I88" s="20" t="n">
        <x:v>3785.7333333333336</x:v>
      </x:c>
      <x:c r="J88" s="24" t="n">
        <x:f>I88/SUMIFS($I$6:$I$167,$A$6:$A$167,A88,$B$6:$B$167,B88,$C$6:$C$167,C88)</x:f>
        <x:v>0.11095815865652818</x:v>
      </x:c>
      <x:c r="K88" s="2" t="str">
        <x:v>May 2026</x:v>
      </x:c>
      <x:c r="L88" s="22"/>
      <x:c r="M88" s="2" t="str">
        <x:v>https://fred.stlouisfed.org/data/RPSGENAIUSAGESHAREIND15</x:v>
      </x:c>
    </x:row>
    <x:row r="89" ht="38" customHeight="1">
      <x:c r="A89" s="2" t="str">
        <x:v>RPS</x:v>
      </x:c>
      <x:c r="B89" s="2" t="str">
        <x:v>Quintiles</x:v>
      </x:c>
      <x:c r="C89" s="2" t="str">
        <x:v>Q4</x:v>
      </x:c>
      <x:c r="D89" s="2" t="str">
        <x:v>22</x:v>
      </x:c>
      <x:c r="E89" s="29" t="str">
        <x:v>Utilities</x:v>
      </x:c>
      <x:c r="F89" s="24" t="n">
        <x:v>0.564271540336</x:v>
      </x:c>
      <x:c r="G89" s="26" t="n">
        <x:v>12</x:v>
      </x:c>
      <x:c r="H89" s="2" t="str">
        <x:v>CES4422000001</x:v>
      </x:c>
      <x:c r="I89" s="20" t="n">
        <x:v>569.0666666666667</x:v>
      </x:c>
      <x:c r="J89" s="24" t="n">
        <x:f>I89/SUMIFS($I$6:$I$167,$A$6:$A$167,A89,$B$6:$B$167,B89,$C$6:$C$167,C89)</x:f>
        <x:v>0.06258202159871552</x:v>
      </x:c>
      <x:c r="K89" s="2" t="str">
        <x:v>May 2026</x:v>
      </x:c>
      <x:c r="L89" s="22"/>
      <x:c r="M89" s="2" t="str">
        <x:v>https://fred.stlouisfed.org/data/RPSGENAIUSAGESHAREIND8</x:v>
      </x:c>
    </x:row>
    <x:row r="90" ht="38" customHeight="1">
      <x:c r="A90" s="2" t="str">
        <x:v>RPS</x:v>
      </x:c>
      <x:c r="B90" s="2" t="str">
        <x:v>Quintiles</x:v>
      </x:c>
      <x:c r="C90" s="2" t="str">
        <x:v>Q4</x:v>
      </x:c>
      <x:c r="D90" s="2" t="str">
        <x:v>53</x:v>
      </x:c>
      <x:c r="E90" s="29" t="str">
        <x:v>Real estate and rental and leasing</x:v>
      </x:c>
      <x:c r="F90" s="24" t="n">
        <x:v>0.5649283583820001</x:v>
      </x:c>
      <x:c r="G90" s="26" t="n">
        <x:v>13</x:v>
      </x:c>
      <x:c r="H90" s="2" t="str">
        <x:v>CES5553000001</x:v>
      </x:c>
      <x:c r="I90" s="20" t="n">
        <x:v>2438.233333333333</x:v>
      </x:c>
      <x:c r="J90" s="24" t="n">
        <x:f>I90/SUMIFS($I$6:$I$167,$A$6:$A$167,A90,$B$6:$B$167,B90,$C$6:$C$167,C90)</x:f>
        <x:v>0.268140061731563</x:v>
      </x:c>
      <x:c r="K90" s="2" t="str">
        <x:v>May 2026</x:v>
      </x:c>
      <x:c r="L90" s="22"/>
      <x:c r="M90" s="2" t="str">
        <x:v>https://fred.stlouisfed.org/data/RPSGENAIUSAGESHAREIND11</x:v>
      </x:c>
    </x:row>
    <x:row r="91" ht="38" customHeight="1">
      <x:c r="A91" s="2" t="str">
        <x:v>RPS</x:v>
      </x:c>
      <x:c r="B91" s="2" t="str">
        <x:v>Quintiles</x:v>
      </x:c>
      <x:c r="C91" s="2" t="str">
        <x:v>Q4</x:v>
      </x:c>
      <x:c r="D91" s="2" t="str">
        <x:v>42</x:v>
      </x:c>
      <x:c r="E91" s="29" t="str">
        <x:v>Wholesale trade</x:v>
      </x:c>
      <x:c r="F91" s="24" t="n">
        <x:v>0.621165459402</x:v>
      </x:c>
      <x:c r="G91" s="26" t="n">
        <x:v>14</x:v>
      </x:c>
      <x:c r="H91" s="2" t="str">
        <x:v>CES4142000001</x:v>
      </x:c>
      <x:c r="I91" s="20" t="n">
        <x:v>6085.833333333333</x:v>
      </x:c>
      <x:c r="J91" s="24" t="n">
        <x:f>I91/SUMIFS($I$6:$I$167,$A$6:$A$167,A91,$B$6:$B$167,B91,$C$6:$C$167,C91)</x:f>
        <x:v>0.6692779166697215</x:v>
      </x:c>
      <x:c r="K91" s="2" t="str">
        <x:v>May 2026</x:v>
      </x:c>
      <x:c r="L91" s="22"/>
      <x:c r="M91" s="2" t="str">
        <x:v>https://fred.stlouisfed.org/data/RPSGENAIUSAGESHAREIND5</x:v>
      </x:c>
    </x:row>
    <x:row r="92" ht="38" customHeight="1">
      <x:c r="A92" s="2" t="str">
        <x:v>RPS</x:v>
      </x:c>
      <x:c r="B92" s="2" t="str">
        <x:v>Quintiles</x:v>
      </x:c>
      <x:c r="C92" s="2" t="str">
        <x:v>Q5</x:v>
      </x:c>
      <x:c r="D92" s="2" t="str">
        <x:v>55</x:v>
      </x:c>
      <x:c r="E92" s="29" t="str">
        <x:v>Management of companies and enterprises</x:v>
      </x:c>
      <x:c r="F92" s="24" t="n">
        <x:v>0.644594343994</x:v>
      </x:c>
      <x:c r="G92" s="26" t="n">
        <x:v>15</x:v>
      </x:c>
      <x:c r="H92" s="2" t="str">
        <x:v>CES6055000001</x:v>
      </x:c>
      <x:c r="I92" s="20" t="n">
        <x:v>2597.9</x:v>
      </x:c>
      <x:c r="J92" s="24" t="n">
        <x:f>I92/SUMIFS($I$6:$I$167,$A$6:$A$167,A92,$B$6:$B$167,B92,$C$6:$C$167,C92)</x:f>
        <x:v>0.1125614714144383</x:v>
      </x:c>
      <x:c r="K92" s="2" t="str">
        <x:v>May 2026</x:v>
      </x:c>
      <x:c r="L92" s="22"/>
      <x:c r="M92" s="2" t="str">
        <x:v>https://fred.stlouisfed.org/data/RPSGENAIUSAGESHAREIND13</x:v>
      </x:c>
    </x:row>
    <x:row r="93" ht="38" customHeight="1">
      <x:c r="A93" s="2" t="str">
        <x:v>RPS</x:v>
      </x:c>
      <x:c r="B93" s="2" t="str">
        <x:v>Quintiles</x:v>
      </x:c>
      <x:c r="C93" s="2" t="str">
        <x:v>Q5</x:v>
      </x:c>
      <x:c r="D93" s="2" t="str">
        <x:v>52</x:v>
      </x:c>
      <x:c r="E93" s="29" t="str">
        <x:v>Finance and insurance</x:v>
      </x:c>
      <x:c r="F93" s="24" t="n">
        <x:v>0.6733240401</x:v>
      </x:c>
      <x:c r="G93" s="26" t="n">
        <x:v>16</x:v>
      </x:c>
      <x:c r="H93" s="2" t="str">
        <x:v>CES5552000001</x:v>
      </x:c>
      <x:c r="I93" s="20" t="n">
        <x:v>6710.099999999999</x:v>
      </x:c>
      <x:c r="J93" s="24" t="n">
        <x:f>I93/SUMIFS($I$6:$I$167,$A$6:$A$167,A93,$B$6:$B$167,B93,$C$6:$C$167,C93)</x:f>
        <x:v>0.29073433516995356</x:v>
      </x:c>
      <x:c r="K93" s="2" t="str">
        <x:v>May 2026</x:v>
      </x:c>
      <x:c r="L93" s="22"/>
      <x:c r="M93" s="2" t="str">
        <x:v>https://fred.stlouisfed.org/data/RPSGENAIUSAGESHAREIND10</x:v>
      </x:c>
    </x:row>
    <x:row r="94" ht="38" customHeight="1">
      <x:c r="A94" s="2" t="str">
        <x:v>RPS</x:v>
      </x:c>
      <x:c r="B94" s="2" t="str">
        <x:v>Quintiles</x:v>
      </x:c>
      <x:c r="C94" s="2" t="str">
        <x:v>Q5</x:v>
      </x:c>
      <x:c r="D94" s="2" t="str">
        <x:v>54</x:v>
      </x:c>
      <x:c r="E94" s="29" t="str">
        <x:v>Professional, scientific, and technical services</x:v>
      </x:c>
      <x:c r="F94" s="24" t="n">
        <x:v>0.695429443332</x:v>
      </x:c>
      <x:c r="G94" s="26" t="n">
        <x:v>17</x:v>
      </x:c>
      <x:c r="H94" s="2" t="str">
        <x:v>CES6054000001</x:v>
      </x:c>
      <x:c r="I94" s="20" t="n">
        <x:v>10719.166666666666</x:v>
      </x:c>
      <x:c r="J94" s="24" t="n">
        <x:f>I94/SUMIFS($I$6:$I$167,$A$6:$A$167,A94,$B$6:$B$167,B94,$C$6:$C$167,C94)</x:f>
        <x:v>0.4644386513478578</x:v>
      </x:c>
      <x:c r="K94" s="2" t="str">
        <x:v>May 2026</x:v>
      </x:c>
      <x:c r="L94" s="22"/>
      <x:c r="M94" s="2" t="str">
        <x:v>https://fred.stlouisfed.org/data/RPSGENAIUSAGESHAREIND12</x:v>
      </x:c>
    </x:row>
    <x:row r="95" ht="38" customHeight="1">
      <x:c r="A95" s="2" t="str">
        <x:v>RPS</x:v>
      </x:c>
      <x:c r="B95" s="2" t="str">
        <x:v>Quintiles</x:v>
      </x:c>
      <x:c r="C95" s="2" t="str">
        <x:v>Q5</x:v>
      </x:c>
      <x:c r="D95" s="2" t="str">
        <x:v>51</x:v>
      </x:c>
      <x:c r="E95" s="29" t="str">
        <x:v>Information</x:v>
      </x:c>
      <x:c r="F95" s="24" t="n">
        <x:v>0.821926036484</x:v>
      </x:c>
      <x:c r="G95" s="26" t="n">
        <x:v>18</x:v>
      </x:c>
      <x:c r="H95" s="2" t="str">
        <x:v>CES5000000001</x:v>
      </x:c>
      <x:c r="I95" s="20" t="n">
        <x:v>3052.6666666666665</x:v>
      </x:c>
      <x:c r="J95" s="24" t="n">
        <x:f>I95/SUMIFS($I$6:$I$167,$A$6:$A$167,A95,$B$6:$B$167,B95,$C$6:$C$167,C95)</x:f>
        <x:v>0.13226554206775035</x:v>
      </x:c>
      <x:c r="K95" s="2" t="str">
        <x:v>May 2026</x:v>
      </x:c>
      <x:c r="L95" s="22"/>
      <x:c r="M95" s="2" t="str">
        <x:v>https://fred.stlouisfed.org/data/RPSGENAIUSAGESHAREIND9</x:v>
      </x:c>
    </x:row>
    <x:row r="96" ht="38" customHeight="1">
      <x:c r="A96" s="2" t="str">
        <x:v>RPS</x:v>
      </x:c>
      <x:c r="B96" s="2" t="str">
        <x:v>Halves</x:v>
      </x:c>
      <x:c r="C96" s="2" t="str">
        <x:v>Lower half</x:v>
      </x:c>
      <x:c r="D96" s="2" t="str">
        <x:v>81</x:v>
      </x:c>
      <x:c r="E96" s="29" t="str">
        <x:v>Other services, except government</x:v>
      </x:c>
      <x:c r="F96" s="24" t="n">
        <x:v>0.24678413474799998</x:v>
      </x:c>
      <x:c r="G96" s="26" t="n">
        <x:v>1</x:v>
      </x:c>
      <x:c r="H96" s="2" t="str">
        <x:v>CES8000000001</x:v>
      </x:c>
      <x:c r="I96" s="20" t="n">
        <x:v>5786.333333333333</x:v>
      </x:c>
      <x:c r="J96" s="24" t="n">
        <x:f>I96/SUMIFS($I$6:$I$167,$A$6:$A$167,A96,$B$6:$B$167,B96,$C$6:$C$167,C96)</x:f>
        <x:v>0.06924946962860837</x:v>
      </x:c>
      <x:c r="K96" s="2" t="str">
        <x:v>May 2026</x:v>
      </x:c>
      <x:c r="L96" s="22"/>
      <x:c r="M96" s="2" t="str">
        <x:v>https://fred.stlouisfed.org/data/RPSGENAIUSAGESHAREIND19</x:v>
      </x:c>
    </x:row>
    <x:row r="97" ht="38" customHeight="1">
      <x:c r="A97" s="2" t="str">
        <x:v>RPS</x:v>
      </x:c>
      <x:c r="B97" s="2" t="str">
        <x:v>Halves</x:v>
      </x:c>
      <x:c r="C97" s="2" t="str">
        <x:v>Lower half</x:v>
      </x:c>
      <x:c r="D97" s="2" t="str">
        <x:v>48-49</x:v>
      </x:c>
      <x:c r="E97" s="29" t="str">
        <x:v>Transportation and warehousing</x:v>
      </x:c>
      <x:c r="F97" s="24" t="n">
        <x:v>0.25104184559099996</x:v>
      </x:c>
      <x:c r="G97" s="26" t="n">
        <x:v>2</x:v>
      </x:c>
      <x:c r="H97" s="2" t="str">
        <x:v>CES4300000001</x:v>
      </x:c>
      <x:c r="I97" s="20" t="n">
        <x:v>6591.166666666667</x:v>
      </x:c>
      <x:c r="J97" s="24" t="n">
        <x:f>I97/SUMIFS($I$6:$I$167,$A$6:$A$167,A97,$B$6:$B$167,B97,$C$6:$C$167,C97)</x:f>
        <x:v>0.07888152472500073</x:v>
      </x:c>
      <x:c r="K97" s="2" t="str">
        <x:v>May 2026</x:v>
      </x:c>
      <x:c r="L97" s="22"/>
      <x:c r="M97" s="2" t="str">
        <x:v>https://fred.stlouisfed.org/data/RPSGENAIUSAGESHAREIND7</x:v>
      </x:c>
    </x:row>
    <x:row r="98" ht="38" customHeight="1">
      <x:c r="A98" s="2" t="str">
        <x:v>RPS</x:v>
      </x:c>
      <x:c r="B98" s="2" t="str">
        <x:v>Halves</x:v>
      </x:c>
      <x:c r="C98" s="2" t="str">
        <x:v>Lower half</x:v>
      </x:c>
      <x:c r="D98" s="2" t="str">
        <x:v>21</x:v>
      </x:c>
      <x:c r="E98" s="29" t="str">
        <x:v>Mining, quarrying, and oil and gas extraction</x:v>
      </x:c>
      <x:c r="F98" s="24" t="n">
        <x:v>0.260994565394</x:v>
      </x:c>
      <x:c r="G98" s="26" t="n">
        <x:v>3</x:v>
      </x:c>
      <x:c r="H98" s="2" t="str">
        <x:v>CES1021000001</x:v>
      </x:c>
      <x:c r="I98" s="20" t="n">
        <x:v>588.9333333333333</x:v>
      </x:c>
      <x:c r="J98" s="24" t="n">
        <x:f>I98/SUMIFS($I$6:$I$167,$A$6:$A$167,A98,$B$6:$B$167,B98,$C$6:$C$167,C98)</x:f>
        <x:v>0.007048214928269213</x:v>
      </x:c>
      <x:c r="K98" s="2" t="str">
        <x:v>May 2026</x:v>
      </x:c>
      <x:c r="L98" s="22"/>
      <x:c r="M98" s="2" t="str">
        <x:v>https://fred.stlouisfed.org/data/RPSGENAIUSAGESHAREIND2</x:v>
      </x:c>
    </x:row>
    <x:row r="99" ht="38" customHeight="1">
      <x:c r="A99" s="2" t="str">
        <x:v>RPS</x:v>
      </x:c>
      <x:c r="B99" s="2" t="str">
        <x:v>Halves</x:v>
      </x:c>
      <x:c r="C99" s="2" t="str">
        <x:v>Lower half</x:v>
      </x:c>
      <x:c r="D99" s="2" t="str">
        <x:v>72</x:v>
      </x:c>
      <x:c r="E99" s="29" t="str">
        <x:v>Accommodation and food services</x:v>
      </x:c>
      <x:c r="F99" s="24" t="n">
        <x:v>0.3052520052</x:v>
      </x:c>
      <x:c r="G99" s="26" t="n">
        <x:v>4</x:v>
      </x:c>
      <x:c r="H99" s="2" t="str">
        <x:v>CES7072000001</x:v>
      </x:c>
      <x:c r="I99" s="20" t="n">
        <x:v>13967.566666666666</x:v>
      </x:c>
      <x:c r="J99" s="24" t="n">
        <x:f>I99/SUMIFS($I$6:$I$167,$A$6:$A$167,A99,$B$6:$B$167,B99,$C$6:$C$167,C99)</x:f>
        <x:v>0.16716053637920894</x:v>
      </x:c>
      <x:c r="K99" s="2" t="str">
        <x:v>May 2026</x:v>
      </x:c>
      <x:c r="L99" s="22"/>
      <x:c r="M99" s="2" t="str">
        <x:v>https://fred.stlouisfed.org/data/RPSGENAIUSAGESHAREIND18</x:v>
      </x:c>
    </x:row>
    <x:row r="100" ht="38" customHeight="1">
      <x:c r="A100" s="2" t="str">
        <x:v>RPS</x:v>
      </x:c>
      <x:c r="B100" s="2" t="str">
        <x:v>Halves</x:v>
      </x:c>
      <x:c r="C100" s="2" t="str">
        <x:v>Lower half</x:v>
      </x:c>
      <x:c r="D100" s="2" t="str">
        <x:v>71</x:v>
      </x:c>
      <x:c r="E100" s="29" t="str">
        <x:v>Arts, entertainment, and recreation</x:v>
      </x:c>
      <x:c r="F100" s="24" t="n">
        <x:v>0.319992080832</x:v>
      </x:c>
      <x:c r="G100" s="26" t="n">
        <x:v>5</x:v>
      </x:c>
      <x:c r="H100" s="2" t="str">
        <x:v>CES7071000001</x:v>
      </x:c>
      <x:c r="I100" s="20" t="n">
        <x:v>2443.5333333333333</x:v>
      </x:c>
      <x:c r="J100" s="24" t="n">
        <x:f>I100/SUMIFS($I$6:$I$167,$A$6:$A$167,A100,$B$6:$B$167,B100,$C$6:$C$167,C100)</x:f>
        <x:v>0.02924362935995602</x:v>
      </x:c>
      <x:c r="K100" s="2" t="str">
        <x:v>May 2026</x:v>
      </x:c>
      <x:c r="L100" s="22"/>
      <x:c r="M100" s="2" t="str">
        <x:v>https://fred.stlouisfed.org/data/RPSGENAIUSAGESHAREIND17</x:v>
      </x:c>
    </x:row>
    <x:row r="101" ht="38" customHeight="1">
      <x:c r="A101" s="2" t="str">
        <x:v>RPS</x:v>
      </x:c>
      <x:c r="B101" s="2" t="str">
        <x:v>Halves</x:v>
      </x:c>
      <x:c r="C101" s="2" t="str">
        <x:v>Lower half</x:v>
      </x:c>
      <x:c r="D101" s="2" t="str">
        <x:v>62</x:v>
      </x:c>
      <x:c r="E101" s="29" t="str">
        <x:v>Health care and social assistance</x:v>
      </x:c>
      <x:c r="F101" s="24" t="n">
        <x:v>0.371653034619</x:v>
      </x:c>
      <x:c r="G101" s="26" t="n">
        <x:v>6</x:v>
      </x:c>
      <x:c r="H101" s="2" t="str">
        <x:v>CES6562000001</x:v>
      </x:c>
      <x:c r="I101" s="20" t="n">
        <x:v>21171.533333333333</x:v>
      </x:c>
      <x:c r="J101" s="24" t="n">
        <x:f>I101/SUMIFS($I$6:$I$167,$A$6:$A$167,A101,$B$6:$B$167,B101,$C$6:$C$167,C101)</x:f>
        <x:v>0.25337590665782644</x:v>
      </x:c>
      <x:c r="K101" s="2" t="str">
        <x:v>May 2026</x:v>
      </x:c>
      <x:c r="L101" s="22"/>
      <x:c r="M101" s="2" t="str">
        <x:v>https://fred.stlouisfed.org/data/RPSGENAIUSAGESHAREIND16</x:v>
      </x:c>
    </x:row>
    <x:row r="102" ht="38" customHeight="1">
      <x:c r="A102" s="2" t="str">
        <x:v>RPS</x:v>
      </x:c>
      <x:c r="B102" s="2" t="str">
        <x:v>Halves</x:v>
      </x:c>
      <x:c r="C102" s="2" t="str">
        <x:v>Lower half</x:v>
      </x:c>
      <x:c r="D102" s="2" t="str">
        <x:v>44-45</x:v>
      </x:c>
      <x:c r="E102" s="29" t="str">
        <x:v>Retail trade</x:v>
      </x:c>
      <x:c r="F102" s="24" t="n">
        <x:v>0.394512265617</x:v>
      </x:c>
      <x:c r="G102" s="26" t="n">
        <x:v>7</x:v>
      </x:c>
      <x:c r="H102" s="2" t="str">
        <x:v>CES4200000001</x:v>
      </x:c>
      <x:c r="I102" s="20" t="n">
        <x:v>15572.233333333332</x:v>
      </x:c>
      <x:c r="J102" s="24" t="n">
        <x:f>I102/SUMIFS($I$6:$I$167,$A$6:$A$167,A102,$B$6:$B$167,B102,$C$6:$C$167,C102)</x:f>
        <x:v>0.18636480775383424</x:v>
      </x:c>
      <x:c r="K102" s="2" t="str">
        <x:v>May 2026</x:v>
      </x:c>
      <x:c r="L102" s="22"/>
      <x:c r="M102" s="2" t="str">
        <x:v>https://fred.stlouisfed.org/data/RPSGENAIUSAGESHAREIND6</x:v>
      </x:c>
    </x:row>
    <x:row r="103" ht="38" customHeight="1">
      <x:c r="A103" s="2" t="str">
        <x:v>RPS</x:v>
      </x:c>
      <x:c r="B103" s="2" t="str">
        <x:v>Halves</x:v>
      </x:c>
      <x:c r="C103" s="2" t="str">
        <x:v>Lower half</x:v>
      </x:c>
      <x:c r="D103" s="2" t="str">
        <x:v>56</x:v>
      </x:c>
      <x:c r="E103" s="29" t="str">
        <x:v>Administrative, support, and waste services</x:v>
      </x:c>
      <x:c r="F103" s="24" t="n">
        <x:v>0.40460115732299995</x:v>
      </x:c>
      <x:c r="G103" s="26" t="n">
        <x:v>8</x:v>
      </x:c>
      <x:c r="H103" s="2" t="str">
        <x:v>CES6056000001</x:v>
      </x:c>
      <x:c r="I103" s="20" t="n">
        <x:v>9502.833333333334</x:v>
      </x:c>
      <x:c r="J103" s="24" t="n">
        <x:f>I103/SUMIFS($I$6:$I$167,$A$6:$A$167,A103,$B$6:$B$167,B103,$C$6:$C$167,C103)</x:f>
        <x:v>0.11372766316649473</x:v>
      </x:c>
      <x:c r="K103" s="2" t="str">
        <x:v>May 2026</x:v>
      </x:c>
      <x:c r="L103" s="22"/>
      <x:c r="M103" s="2" t="str">
        <x:v>https://fred.stlouisfed.org/data/RPSGENAIUSAGESHAREIND14</x:v>
      </x:c>
    </x:row>
    <x:row r="104" ht="38" customHeight="1">
      <x:c r="A104" s="2" t="str">
        <x:v>RPS</x:v>
      </x:c>
      <x:c r="B104" s="2" t="str">
        <x:v>Halves</x:v>
      </x:c>
      <x:c r="C104" s="2" t="str">
        <x:v>Lower half</x:v>
      </x:c>
      <x:c r="D104" s="2" t="str">
        <x:v>23</x:v>
      </x:c>
      <x:c r="E104" s="29" t="str">
        <x:v>Construction</x:v>
      </x:c>
      <x:c r="F104" s="24" t="n">
        <x:v>0.435424833398</x:v>
      </x:c>
      <x:c r="G104" s="26" t="n">
        <x:v>9</x:v>
      </x:c>
      <x:c r="H104" s="2" t="str">
        <x:v>CES2000000001</x:v>
      </x:c>
      <x:c r="I104" s="20" t="n">
        <x:v>7933.666666666667</x:v>
      </x:c>
      <x:c r="J104" s="24" t="n">
        <x:f>I104/SUMIFS($I$6:$I$167,$A$6:$A$167,A104,$B$6:$B$167,B104,$C$6:$C$167,C104)</x:f>
        <x:v>0.0949482474008012</x:v>
      </x:c>
      <x:c r="K104" s="2" t="str">
        <x:v>May 2026</x:v>
      </x:c>
      <x:c r="L104" s="22"/>
      <x:c r="M104" s="2" t="str">
        <x:v>https://fred.stlouisfed.org/data/RPSGENAIUSAGESHAREIND3</x:v>
      </x:c>
    </x:row>
    <x:row r="105" ht="38" customHeight="1">
      <x:c r="A105" s="2" t="str">
        <x:v>RPS</x:v>
      </x:c>
      <x:c r="B105" s="2" t="str">
        <x:v>Halves</x:v>
      </x:c>
      <x:c r="C105" s="2" t="str">
        <x:v>Higher half</x:v>
      </x:c>
      <x:c r="D105" s="2" t="str">
        <x:v>31-33</x:v>
      </x:c>
      <x:c r="E105" s="29" t="str">
        <x:v>Manufacturing</x:v>
      </x:c>
      <x:c r="F105" s="24" t="n">
        <x:v>0.47658671099899996</x:v>
      </x:c>
      <x:c r="G105" s="26" t="n">
        <x:v>10</x:v>
      </x:c>
      <x:c r="H105" s="2" t="str">
        <x:v>CES3000000001</x:v>
      </x:c>
      <x:c r="I105" s="20" t="n">
        <x:v>12896.333333333334</x:v>
      </x:c>
      <x:c r="J105" s="24" t="n">
        <x:f>I105/SUMIFS($I$6:$I$167,$A$6:$A$167,A105,$B$6:$B$167,B105,$C$6:$C$167,C105)</x:f>
        <x:v>0.2639714365834705</x:v>
      </x:c>
      <x:c r="K105" s="2" t="str">
        <x:v>May 2026</x:v>
      </x:c>
      <x:c r="L105" s="22"/>
      <x:c r="M105" s="2" t="str">
        <x:v>https://fred.stlouisfed.org/data/RPSGENAIUSAGESHAREIND4</x:v>
      </x:c>
    </x:row>
    <x:row r="106" ht="38" customHeight="1">
      <x:c r="A106" s="2" t="str">
        <x:v>RPS</x:v>
      </x:c>
      <x:c r="B106" s="2" t="str">
        <x:v>Halves</x:v>
      </x:c>
      <x:c r="C106" s="2" t="str">
        <x:v>Higher half</x:v>
      </x:c>
      <x:c r="D106" s="2" t="str">
        <x:v>61</x:v>
      </x:c>
      <x:c r="E106" s="29" t="str">
        <x:v>Private educational services</x:v>
      </x:c>
      <x:c r="F106" s="24" t="n">
        <x:v>0.525851862896</x:v>
      </x:c>
      <x:c r="G106" s="26" t="n">
        <x:v>11</x:v>
      </x:c>
      <x:c r="H106" s="2" t="str">
        <x:v>CES6561000001</x:v>
      </x:c>
      <x:c r="I106" s="20" t="n">
        <x:v>3785.7333333333336</x:v>
      </x:c>
      <x:c r="J106" s="24" t="n">
        <x:f>I106/SUMIFS($I$6:$I$167,$A$6:$A$167,A106,$B$6:$B$167,B106,$C$6:$C$167,C106)</x:f>
        <x:v>0.07748911575811705</x:v>
      </x:c>
      <x:c r="K106" s="2" t="str">
        <x:v>May 2026</x:v>
      </x:c>
      <x:c r="L106" s="22"/>
      <x:c r="M106" s="2" t="str">
        <x:v>https://fred.stlouisfed.org/data/RPSGENAIUSAGESHAREIND15</x:v>
      </x:c>
    </x:row>
    <x:row r="107" ht="38" customHeight="1">
      <x:c r="A107" s="2" t="str">
        <x:v>RPS</x:v>
      </x:c>
      <x:c r="B107" s="2" t="str">
        <x:v>Halves</x:v>
      </x:c>
      <x:c r="C107" s="2" t="str">
        <x:v>Higher half</x:v>
      </x:c>
      <x:c r="D107" s="2" t="str">
        <x:v>22</x:v>
      </x:c>
      <x:c r="E107" s="29" t="str">
        <x:v>Utilities</x:v>
      </x:c>
      <x:c r="F107" s="24" t="n">
        <x:v>0.564271540336</x:v>
      </x:c>
      <x:c r="G107" s="26" t="n">
        <x:v>12</x:v>
      </x:c>
      <x:c r="H107" s="2" t="str">
        <x:v>CES4422000001</x:v>
      </x:c>
      <x:c r="I107" s="20" t="n">
        <x:v>569.0666666666667</x:v>
      </x:c>
      <x:c r="J107" s="24" t="n">
        <x:f>I107/SUMIFS($I$6:$I$167,$A$6:$A$167,A107,$B$6:$B$167,B107,$C$6:$C$167,C107)</x:f>
        <x:v>0.01164806628590299</x:v>
      </x:c>
      <x:c r="K107" s="2" t="str">
        <x:v>May 2026</x:v>
      </x:c>
      <x:c r="L107" s="22"/>
      <x:c r="M107" s="2" t="str">
        <x:v>https://fred.stlouisfed.org/data/RPSGENAIUSAGESHAREIND8</x:v>
      </x:c>
    </x:row>
    <x:row r="108" ht="38" customHeight="1">
      <x:c r="A108" s="2" t="str">
        <x:v>RPS</x:v>
      </x:c>
      <x:c r="B108" s="2" t="str">
        <x:v>Halves</x:v>
      </x:c>
      <x:c r="C108" s="2" t="str">
        <x:v>Higher half</x:v>
      </x:c>
      <x:c r="D108" s="2" t="str">
        <x:v>53</x:v>
      </x:c>
      <x:c r="E108" s="29" t="str">
        <x:v>Real estate and rental and leasing</x:v>
      </x:c>
      <x:c r="F108" s="24" t="n">
        <x:v>0.5649283583820001</x:v>
      </x:c>
      <x:c r="G108" s="26" t="n">
        <x:v>13</x:v>
      </x:c>
      <x:c r="H108" s="2" t="str">
        <x:v>CES5553000001</x:v>
      </x:c>
      <x:c r="I108" s="20" t="n">
        <x:v>2438.233333333333</x:v>
      </x:c>
      <x:c r="J108" s="24" t="n">
        <x:f>I108/SUMIFS($I$6:$I$167,$A$6:$A$167,A108,$B$6:$B$167,B108,$C$6:$C$167,C108)</x:f>
        <x:v>0.04990751549993826</x:v>
      </x:c>
      <x:c r="K108" s="2" t="str">
        <x:v>May 2026</x:v>
      </x:c>
      <x:c r="L108" s="22"/>
      <x:c r="M108" s="2" t="str">
        <x:v>https://fred.stlouisfed.org/data/RPSGENAIUSAGESHAREIND11</x:v>
      </x:c>
    </x:row>
    <x:row r="109" ht="38" customHeight="1">
      <x:c r="A109" s="2" t="str">
        <x:v>RPS</x:v>
      </x:c>
      <x:c r="B109" s="2" t="str">
        <x:v>Halves</x:v>
      </x:c>
      <x:c r="C109" s="2" t="str">
        <x:v>Higher half</x:v>
      </x:c>
      <x:c r="D109" s="2" t="str">
        <x:v>42</x:v>
      </x:c>
      <x:c r="E109" s="29" t="str">
        <x:v>Wholesale trade</x:v>
      </x:c>
      <x:c r="F109" s="24" t="n">
        <x:v>0.621165459402</x:v>
      </x:c>
      <x:c r="G109" s="26" t="n">
        <x:v>14</x:v>
      </x:c>
      <x:c r="H109" s="2" t="str">
        <x:v>CES4142000001</x:v>
      </x:c>
      <x:c r="I109" s="20" t="n">
        <x:v>6085.833333333333</x:v>
      </x:c>
      <x:c r="J109" s="24" t="n">
        <x:f>I109/SUMIFS($I$6:$I$167,$A$6:$A$167,A109,$B$6:$B$167,B109,$C$6:$C$167,C109)</x:f>
        <x:v>0.12456921872942468</x:v>
      </x:c>
      <x:c r="K109" s="2" t="str">
        <x:v>May 2026</x:v>
      </x:c>
      <x:c r="L109" s="22"/>
      <x:c r="M109" s="2" t="str">
        <x:v>https://fred.stlouisfed.org/data/RPSGENAIUSAGESHAREIND5</x:v>
      </x:c>
    </x:row>
    <x:row r="110" ht="38" customHeight="1">
      <x:c r="A110" s="2" t="str">
        <x:v>RPS</x:v>
      </x:c>
      <x:c r="B110" s="2" t="str">
        <x:v>Halves</x:v>
      </x:c>
      <x:c r="C110" s="2" t="str">
        <x:v>Higher half</x:v>
      </x:c>
      <x:c r="D110" s="2" t="str">
        <x:v>55</x:v>
      </x:c>
      <x:c r="E110" s="29" t="str">
        <x:v>Management of companies and enterprises</x:v>
      </x:c>
      <x:c r="F110" s="24" t="n">
        <x:v>0.644594343994</x:v>
      </x:c>
      <x:c r="G110" s="26" t="n">
        <x:v>15</x:v>
      </x:c>
      <x:c r="H110" s="2" t="str">
        <x:v>CES6055000001</x:v>
      </x:c>
      <x:c r="I110" s="20" t="n">
        <x:v>2597.9</x:v>
      </x:c>
      <x:c r="J110" s="24" t="n">
        <x:f>I110/SUMIFS($I$6:$I$167,$A$6:$A$167,A110,$B$6:$B$167,B110,$C$6:$C$167,C110)</x:f>
        <x:v>0.05317568780016526</x:v>
      </x:c>
      <x:c r="K110" s="2" t="str">
        <x:v>May 2026</x:v>
      </x:c>
      <x:c r="L110" s="22"/>
      <x:c r="M110" s="2" t="str">
        <x:v>https://fred.stlouisfed.org/data/RPSGENAIUSAGESHAREIND13</x:v>
      </x:c>
    </x:row>
    <x:row r="111" ht="38" customHeight="1">
      <x:c r="A111" s="2" t="str">
        <x:v>RPS</x:v>
      </x:c>
      <x:c r="B111" s="2" t="str">
        <x:v>Halves</x:v>
      </x:c>
      <x:c r="C111" s="2" t="str">
        <x:v>Higher half</x:v>
      </x:c>
      <x:c r="D111" s="2" t="str">
        <x:v>52</x:v>
      </x:c>
      <x:c r="E111" s="29" t="str">
        <x:v>Finance and insurance</x:v>
      </x:c>
      <x:c r="F111" s="24" t="n">
        <x:v>0.6733240401</x:v>
      </x:c>
      <x:c r="G111" s="26" t="n">
        <x:v>16</x:v>
      </x:c>
      <x:c r="H111" s="2" t="str">
        <x:v>CES5552000001</x:v>
      </x:c>
      <x:c r="I111" s="20" t="n">
        <x:v>6710.099999999999</x:v>
      </x:c>
      <x:c r="J111" s="24" t="n">
        <x:f>I111/SUMIFS($I$6:$I$167,$A$6:$A$167,A111,$B$6:$B$167,B111,$C$6:$C$167,C111)</x:f>
        <x:v>0.13734715836171096</x:v>
      </x:c>
      <x:c r="K111" s="2" t="str">
        <x:v>May 2026</x:v>
      </x:c>
      <x:c r="L111" s="22"/>
      <x:c r="M111" s="2" t="str">
        <x:v>https://fred.stlouisfed.org/data/RPSGENAIUSAGESHAREIND10</x:v>
      </x:c>
    </x:row>
    <x:row r="112" ht="38" customHeight="1">
      <x:c r="A112" s="2" t="str">
        <x:v>RPS</x:v>
      </x:c>
      <x:c r="B112" s="2" t="str">
        <x:v>Halves</x:v>
      </x:c>
      <x:c r="C112" s="2" t="str">
        <x:v>Higher half</x:v>
      </x:c>
      <x:c r="D112" s="2" t="str">
        <x:v>54</x:v>
      </x:c>
      <x:c r="E112" s="29" t="str">
        <x:v>Professional, scientific, and technical services</x:v>
      </x:c>
      <x:c r="F112" s="24" t="n">
        <x:v>0.695429443332</x:v>
      </x:c>
      <x:c r="G112" s="26" t="n">
        <x:v>17</x:v>
      </x:c>
      <x:c r="H112" s="2" t="str">
        <x:v>CES6054000001</x:v>
      </x:c>
      <x:c r="I112" s="20" t="n">
        <x:v>10719.166666666666</x:v>
      </x:c>
      <x:c r="J112" s="24" t="n">
        <x:f>I112/SUMIFS($I$6:$I$167,$A$6:$A$167,A112,$B$6:$B$167,B112,$C$6:$C$167,C112)</x:f>
        <x:v>0.21940762159613716</x:v>
      </x:c>
      <x:c r="K112" s="2" t="str">
        <x:v>May 2026</x:v>
      </x:c>
      <x:c r="L112" s="22"/>
      <x:c r="M112" s="2" t="str">
        <x:v>https://fred.stlouisfed.org/data/RPSGENAIUSAGESHAREIND12</x:v>
      </x:c>
    </x:row>
    <x:row r="113" ht="38" customHeight="1">
      <x:c r="A113" s="2" t="str">
        <x:v>RPS</x:v>
      </x:c>
      <x:c r="B113" s="2" t="str">
        <x:v>Halves</x:v>
      </x:c>
      <x:c r="C113" s="2" t="str">
        <x:v>Higher half</x:v>
      </x:c>
      <x:c r="D113" s="2" t="str">
        <x:v>51</x:v>
      </x:c>
      <x:c r="E113" s="29" t="str">
        <x:v>Information</x:v>
      </x:c>
      <x:c r="F113" s="24" t="n">
        <x:v>0.821926036484</x:v>
      </x:c>
      <x:c r="G113" s="26" t="n">
        <x:v>18</x:v>
      </x:c>
      <x:c r="H113" s="2" t="str">
        <x:v>CES5000000001</x:v>
      </x:c>
      <x:c r="I113" s="20" t="n">
        <x:v>3052.6666666666665</x:v>
      </x:c>
      <x:c r="J113" s="24" t="n">
        <x:f>I113/SUMIFS($I$6:$I$167,$A$6:$A$167,A113,$B$6:$B$167,B113,$C$6:$C$167,C113)</x:f>
        <x:v>0.0624841793851333</x:v>
      </x:c>
      <x:c r="K113" s="2" t="str">
        <x:v>May 2026</x:v>
      </x:c>
      <x:c r="L113" s="22"/>
      <x:c r="M113" s="2" t="str">
        <x:v>https://fred.stlouisfed.org/data/RPSGENAIUSAGESHAREIND9</x:v>
      </x:c>
    </x:row>
    <x:row r="114" ht="38" customHeight="1">
      <x:c r="A114" s="2" t="str">
        <x:v>Ramp</x:v>
      </x:c>
      <x:c r="B114" s="2" t="str">
        <x:v>Quartiles</x:v>
      </x:c>
      <x:c r="C114" s="2" t="str">
        <x:v>Q1</x:v>
      </x:c>
      <x:c r="D114" s="2" t="str">
        <x:v>72</x:v>
      </x:c>
      <x:c r="E114" s="29" t="str">
        <x:v>Accommodation and food services</x:v>
      </x:c>
      <x:c r="F114" s="24" t="n">
        <x:v>0.2637</x:v>
      </x:c>
      <x:c r="G114" s="26" t="n">
        <x:v>1</x:v>
      </x:c>
      <x:c r="H114" s="2" t="str">
        <x:v>CES7072000001</x:v>
      </x:c>
      <x:c r="I114" s="20" t="n">
        <x:v>13967.566666666666</x:v>
      </x:c>
      <x:c r="J114" s="24" t="n">
        <x:f>I114/SUMIFS($I$6:$I$167,$A$6:$A$167,A114,$B$6:$B$167,B114,$C$6:$C$167,C114)</x:f>
        <x:v>0.27225827913966727</x:v>
      </x:c>
      <x:c r="K114" s="2" t="str">
        <x:v>April 2026</x:v>
      </x:c>
      <x:c r="L114" s="22"/>
      <x:c r="M114" s="2" t="str">
        <x:v>https://datawrapper.dwcdn.net/wQR5S/23/dataset.csv</x:v>
      </x:c>
    </x:row>
    <x:row r="115" ht="38" customHeight="1">
      <x:c r="A115" s="2" t="str">
        <x:v>Ramp</x:v>
      </x:c>
      <x:c r="B115" s="2" t="str">
        <x:v>Quartiles</x:v>
      </x:c>
      <x:c r="C115" s="2" t="str">
        <x:v>Q1</x:v>
      </x:c>
      <x:c r="D115" s="2" t="str">
        <x:v>71</x:v>
      </x:c>
      <x:c r="E115" s="29" t="str">
        <x:v>Arts, entertainment, and recreation</x:v>
      </x:c>
      <x:c r="F115" s="24" t="n">
        <x:v>0.34700000000000003</x:v>
      </x:c>
      <x:c r="G115" s="26" t="n">
        <x:v>2</x:v>
      </x:c>
      <x:c r="H115" s="2" t="str">
        <x:v>CES7071000001</x:v>
      </x:c>
      <x:c r="I115" s="20" t="n">
        <x:v>2443.5333333333333</x:v>
      </x:c>
      <x:c r="J115" s="24" t="n">
        <x:f>I115/SUMIFS($I$6:$I$167,$A$6:$A$167,A115,$B$6:$B$167,B115,$C$6:$C$167,C115)</x:f>
        <x:v>0.04762978378627738</x:v>
      </x:c>
      <x:c r="K115" s="2" t="str">
        <x:v>April 2026</x:v>
      </x:c>
      <x:c r="L115" s="22"/>
      <x:c r="M115" s="2" t="str">
        <x:v>https://datawrapper.dwcdn.net/wQR5S/23/dataset.csv</x:v>
      </x:c>
    </x:row>
    <x:row r="116" ht="38" customHeight="1">
      <x:c r="A116" s="2" t="str">
        <x:v>Ramp</x:v>
      </x:c>
      <x:c r="B116" s="2" t="str">
        <x:v>Quartiles</x:v>
      </x:c>
      <x:c r="C116" s="2" t="str">
        <x:v>Q1</x:v>
      </x:c>
      <x:c r="D116" s="2" t="str">
        <x:v>23</x:v>
      </x:c>
      <x:c r="E116" s="29" t="str">
        <x:v>Construction</x:v>
      </x:c>
      <x:c r="F116" s="24" t="n">
        <x:v>0.3605</x:v>
      </x:c>
      <x:c r="G116" s="26" t="n">
        <x:v>3</x:v>
      </x:c>
      <x:c r="H116" s="2" t="str">
        <x:v>CES2000000001</x:v>
      </x:c>
      <x:c r="I116" s="20" t="n">
        <x:v>7933.666666666667</x:v>
      </x:c>
      <x:c r="J116" s="24" t="n">
        <x:f>I116/SUMIFS($I$6:$I$167,$A$6:$A$167,A116,$B$6:$B$167,B116,$C$6:$C$167,C116)</x:f>
        <x:v>0.1546444334566322</x:v>
      </x:c>
      <x:c r="K116" s="2" t="str">
        <x:v>April 2026</x:v>
      </x:c>
      <x:c r="L116" s="22"/>
      <x:c r="M116" s="2" t="str">
        <x:v>https://datawrapper.dwcdn.net/wQR5S/23/dataset.csv</x:v>
      </x:c>
    </x:row>
    <x:row r="117" ht="38" customHeight="1">
      <x:c r="A117" s="2" t="str">
        <x:v>Ramp</x:v>
      </x:c>
      <x:c r="B117" s="2" t="str">
        <x:v>Quartiles</x:v>
      </x:c>
      <x:c r="C117" s="2" t="str">
        <x:v>Q1</x:v>
      </x:c>
      <x:c r="D117" s="2" t="str">
        <x:v>81</x:v>
      </x:c>
      <x:c r="E117" s="29" t="str">
        <x:v>Other services, except government</x:v>
      </x:c>
      <x:c r="F117" s="24" t="n">
        <x:v>0.3628</x:v>
      </x:c>
      <x:c r="G117" s="26" t="n">
        <x:v>4</x:v>
      </x:c>
      <x:c r="H117" s="2" t="str">
        <x:v>CES8000000001</x:v>
      </x:c>
      <x:c r="I117" s="20" t="n">
        <x:v>5786.333333333333</x:v>
      </x:c>
      <x:c r="J117" s="24" t="n">
        <x:f>I117/SUMIFS($I$6:$I$167,$A$6:$A$167,A117,$B$6:$B$167,B117,$C$6:$C$167,C117)</x:f>
        <x:v>0.11278823244290903</x:v>
      </x:c>
      <x:c r="K117" s="2" t="str">
        <x:v>April 2026</x:v>
      </x:c>
      <x:c r="L117" s="22"/>
      <x:c r="M117" s="2" t="str">
        <x:v>https://datawrapper.dwcdn.net/wQR5S/23/dataset.csv</x:v>
      </x:c>
    </x:row>
    <x:row r="118" ht="38" customHeight="1">
      <x:c r="A118" s="2" t="str">
        <x:v>Ramp</x:v>
      </x:c>
      <x:c r="B118" s="2" t="str">
        <x:v>Quartiles</x:v>
      </x:c>
      <x:c r="C118" s="2" t="str">
        <x:v>Q1</x:v>
      </x:c>
      <x:c r="D118" s="2" t="str">
        <x:v>62</x:v>
      </x:c>
      <x:c r="E118" s="29" t="str">
        <x:v>Health care and social assistance</x:v>
      </x:c>
      <x:c r="F118" s="24" t="n">
        <x:v>0.37479999999999997</x:v>
      </x:c>
      <x:c r="G118" s="26" t="n">
        <x:v>5</x:v>
      </x:c>
      <x:c r="H118" s="2" t="str">
        <x:v>CES6562000001</x:v>
      </x:c>
      <x:c r="I118" s="20" t="n">
        <x:v>21171.533333333333</x:v>
      </x:c>
      <x:c r="J118" s="24" t="n">
        <x:f>I118/SUMIFS($I$6:$I$167,$A$6:$A$167,A118,$B$6:$B$167,B118,$C$6:$C$167,C118)</x:f>
        <x:v>0.41267927117451414</x:v>
      </x:c>
      <x:c r="K118" s="2" t="str">
        <x:v>April 2026</x:v>
      </x:c>
      <x:c r="L118" s="22"/>
      <x:c r="M118" s="2" t="str">
        <x:v>https://datawrapper.dwcdn.net/wQR5S/23/dataset.csv</x:v>
      </x:c>
    </x:row>
    <x:row r="119" ht="38" customHeight="1">
      <x:c r="A119" s="2" t="str">
        <x:v>Ramp</x:v>
      </x:c>
      <x:c r="B119" s="2" t="str">
        <x:v>Quartiles</x:v>
      </x:c>
      <x:c r="C119" s="2" t="str">
        <x:v>Q2</x:v>
      </x:c>
      <x:c r="D119" s="2" t="str">
        <x:v>48-49</x:v>
      </x:c>
      <x:c r="E119" s="29" t="str">
        <x:v>Transportation and warehousing</x:v>
      </x:c>
      <x:c r="F119" s="24" t="n">
        <x:v>0.4138</x:v>
      </x:c>
      <x:c r="G119" s="26" t="n">
        <x:v>6</x:v>
      </x:c>
      <x:c r="H119" s="2" t="str">
        <x:v>CES4300000001</x:v>
      </x:c>
      <x:c r="I119" s="20" t="n">
        <x:v>6591.166666666667</x:v>
      </x:c>
      <x:c r="J119" s="24" t="n">
        <x:f>I119/SUMIFS($I$6:$I$167,$A$6:$A$167,A119,$B$6:$B$167,B119,$C$6:$C$167,C119)</x:f>
        <x:v>0.2616521793210951</x:v>
      </x:c>
      <x:c r="K119" s="2" t="str">
        <x:v>April 2026</x:v>
      </x:c>
      <x:c r="L119" s="22"/>
      <x:c r="M119" s="2" t="str">
        <x:v>https://datawrapper.dwcdn.net/wQR5S/23/dataset.csv</x:v>
      </x:c>
    </x:row>
    <x:row r="120" ht="38" customHeight="1">
      <x:c r="A120" s="2" t="str">
        <x:v>Ramp</x:v>
      </x:c>
      <x:c r="B120" s="2" t="str">
        <x:v>Quartiles</x:v>
      </x:c>
      <x:c r="C120" s="2" t="str">
        <x:v>Q2</x:v>
      </x:c>
      <x:c r="D120" s="2" t="str">
        <x:v>53</x:v>
      </x:c>
      <x:c r="E120" s="29" t="str">
        <x:v>Real estate and rental and leasing</x:v>
      </x:c>
      <x:c r="F120" s="24" t="n">
        <x:v>0.42229999999999995</x:v>
      </x:c>
      <x:c r="G120" s="26" t="n">
        <x:v>7</x:v>
      </x:c>
      <x:c r="H120" s="2" t="str">
        <x:v>CES5553000001</x:v>
      </x:c>
      <x:c r="I120" s="20" t="n">
        <x:v>2438.233333333333</x:v>
      </x:c>
      <x:c r="J120" s="24" t="n">
        <x:f>I120/SUMIFS($I$6:$I$167,$A$6:$A$167,A120,$B$6:$B$167,B120,$C$6:$C$167,C120)</x:f>
        <x:v>0.09679152381116211</x:v>
      </x:c>
      <x:c r="K120" s="2" t="str">
        <x:v>April 2026</x:v>
      </x:c>
      <x:c r="L120" s="22"/>
      <x:c r="M120" s="2" t="str">
        <x:v>https://datawrapper.dwcdn.net/wQR5S/23/dataset.csv</x:v>
      </x:c>
    </x:row>
    <x:row r="121" ht="38" customHeight="1">
      <x:c r="A121" s="2" t="str">
        <x:v>Ramp</x:v>
      </x:c>
      <x:c r="B121" s="2" t="str">
        <x:v>Quartiles</x:v>
      </x:c>
      <x:c r="C121" s="2" t="str">
        <x:v>Q2</x:v>
      </x:c>
      <x:c r="D121" s="2" t="str">
        <x:v>44-45</x:v>
      </x:c>
      <x:c r="E121" s="29" t="str">
        <x:v>Retail trade</x:v>
      </x:c>
      <x:c r="F121" s="24" t="n">
        <x:v>0.43689999999999996</x:v>
      </x:c>
      <x:c r="G121" s="26" t="n">
        <x:v>8</x:v>
      </x:c>
      <x:c r="H121" s="2" t="str">
        <x:v>CES4200000001</x:v>
      </x:c>
      <x:c r="I121" s="20" t="n">
        <x:v>15572.233333333332</x:v>
      </x:c>
      <x:c r="J121" s="24" t="n">
        <x:f>I121/SUMIFS($I$6:$I$167,$A$6:$A$167,A121,$B$6:$B$167,B121,$C$6:$C$167,C121)</x:f>
        <x:v>0.6181771747889752</x:v>
      </x:c>
      <x:c r="K121" s="2" t="str">
        <x:v>April 2026</x:v>
      </x:c>
      <x:c r="L121" s="22"/>
      <x:c r="M121" s="2" t="str">
        <x:v>https://datawrapper.dwcdn.net/wQR5S/23/dataset.csv</x:v>
      </x:c>
    </x:row>
    <x:row r="122" ht="38" customHeight="1">
      <x:c r="A122" s="2" t="str">
        <x:v>Ramp</x:v>
      </x:c>
      <x:c r="B122" s="2" t="str">
        <x:v>Quartiles</x:v>
      </x:c>
      <x:c r="C122" s="2" t="str">
        <x:v>Q2</x:v>
      </x:c>
      <x:c r="D122" s="2" t="str">
        <x:v>21</x:v>
      </x:c>
      <x:c r="E122" s="29" t="str">
        <x:v>Mining, quarrying, and oil and gas extraction</x:v>
      </x:c>
      <x:c r="F122" s="24" t="n">
        <x:v>0.4464</x:v>
      </x:c>
      <x:c r="G122" s="26" t="n">
        <x:v>9</x:v>
      </x:c>
      <x:c r="H122" s="2" t="str">
        <x:v>CES1021000001</x:v>
      </x:c>
      <x:c r="I122" s="20" t="n">
        <x:v>588.9333333333333</x:v>
      </x:c>
      <x:c r="J122" s="24" t="n">
        <x:f>I122/SUMIFS($I$6:$I$167,$A$6:$A$167,A122,$B$6:$B$167,B122,$C$6:$C$167,C122)</x:f>
        <x:v>0.02337912207876758</x:v>
      </x:c>
      <x:c r="K122" s="2" t="str">
        <x:v>April 2026</x:v>
      </x:c>
      <x:c r="L122" s="22"/>
      <x:c r="M122" s="2" t="str">
        <x:v>https://datawrapper.dwcdn.net/wQR5S/23/dataset.csv</x:v>
      </x:c>
    </x:row>
    <x:row r="123" ht="38" customHeight="1">
      <x:c r="A123" s="2" t="str">
        <x:v>Ramp</x:v>
      </x:c>
      <x:c r="B123" s="2" t="str">
        <x:v>Quartiles</x:v>
      </x:c>
      <x:c r="C123" s="2" t="str">
        <x:v>Q3</x:v>
      </x:c>
      <x:c r="D123" s="2" t="str">
        <x:v>42</x:v>
      </x:c>
      <x:c r="E123" s="29" t="str">
        <x:v>Wholesale trade</x:v>
      </x:c>
      <x:c r="F123" s="24" t="n">
        <x:v>0.46759999999999996</x:v>
      </x:c>
      <x:c r="G123" s="26" t="n">
        <x:v>10</x:v>
      </x:c>
      <x:c r="H123" s="2" t="str">
        <x:v>CES4142000001</x:v>
      </x:c>
      <x:c r="I123" s="20" t="n">
        <x:v>6085.833333333333</x:v>
      </x:c>
      <x:c r="J123" s="24" t="n">
        <x:f>I123/SUMIFS($I$6:$I$167,$A$6:$A$167,A123,$B$6:$B$167,B123,$C$6:$C$167,C123)</x:f>
        <x:v>0.18858676902291238</x:v>
      </x:c>
      <x:c r="K123" s="2" t="str">
        <x:v>April 2026</x:v>
      </x:c>
      <x:c r="L123" s="22"/>
      <x:c r="M123" s="2" t="str">
        <x:v>https://datawrapper.dwcdn.net/wQR5S/23/dataset.csv</x:v>
      </x:c>
    </x:row>
    <x:row r="124" ht="38" customHeight="1">
      <x:c r="A124" s="2" t="str">
        <x:v>Ramp</x:v>
      </x:c>
      <x:c r="B124" s="2" t="str">
        <x:v>Quartiles</x:v>
      </x:c>
      <x:c r="C124" s="2" t="str">
        <x:v>Q3</x:v>
      </x:c>
      <x:c r="D124" s="2" t="str">
        <x:v>56</x:v>
      </x:c>
      <x:c r="E124" s="29" t="str">
        <x:v>Administrative, support, and waste services</x:v>
      </x:c>
      <x:c r="F124" s="24" t="n">
        <x:v>0.48810000000000003</x:v>
      </x:c>
      <x:c r="G124" s="26" t="n">
        <x:v>11</x:v>
      </x:c>
      <x:c r="H124" s="2" t="str">
        <x:v>CES6056000001</x:v>
      </x:c>
      <x:c r="I124" s="20" t="n">
        <x:v>9502.833333333334</x:v>
      </x:c>
      <x:c r="J124" s="24" t="n">
        <x:f>I124/SUMIFS($I$6:$I$167,$A$6:$A$167,A124,$B$6:$B$167,B124,$C$6:$C$167,C124)</x:f>
        <x:v>0.29447218429082284</x:v>
      </x:c>
      <x:c r="K124" s="2" t="str">
        <x:v>April 2026</x:v>
      </x:c>
      <x:c r="L124" s="22"/>
      <x:c r="M124" s="2" t="str">
        <x:v>https://datawrapper.dwcdn.net/wQR5S/23/dataset.csv</x:v>
      </x:c>
    </x:row>
    <x:row r="125" ht="38" customHeight="1">
      <x:c r="A125" s="2" t="str">
        <x:v>Ramp</x:v>
      </x:c>
      <x:c r="B125" s="2" t="str">
        <x:v>Quartiles</x:v>
      </x:c>
      <x:c r="C125" s="2" t="str">
        <x:v>Q3</x:v>
      </x:c>
      <x:c r="D125" s="2" t="str">
        <x:v>61</x:v>
      </x:c>
      <x:c r="E125" s="29" t="str">
        <x:v>Private educational services</x:v>
      </x:c>
      <x:c r="F125" s="24" t="n">
        <x:v>0.5115999999999999</x:v>
      </x:c>
      <x:c r="G125" s="26" t="n">
        <x:v>12</x:v>
      </x:c>
      <x:c r="H125" s="2" t="str">
        <x:v>CES6561000001</x:v>
      </x:c>
      <x:c r="I125" s="20" t="n">
        <x:v>3785.7333333333336</x:v>
      </x:c>
      <x:c r="J125" s="24" t="n">
        <x:f>I125/SUMIFS($I$6:$I$167,$A$6:$A$167,A125,$B$6:$B$167,B125,$C$6:$C$167,C125)</x:f>
        <x:v>0.11731166113361745</x:v>
      </x:c>
      <x:c r="K125" s="2" t="str">
        <x:v>April 2026</x:v>
      </x:c>
      <x:c r="L125" s="22"/>
      <x:c r="M125" s="2" t="str">
        <x:v>https://datawrapper.dwcdn.net/wQR5S/23/dataset.csv</x:v>
      </x:c>
    </x:row>
    <x:row r="126" ht="38" customHeight="1">
      <x:c r="A126" s="2" t="str">
        <x:v>Ramp</x:v>
      </x:c>
      <x:c r="B126" s="2" t="str">
        <x:v>Quartiles</x:v>
      </x:c>
      <x:c r="C126" s="2" t="str">
        <x:v>Q3</x:v>
      </x:c>
      <x:c r="D126" s="2" t="str">
        <x:v>31-33</x:v>
      </x:c>
      <x:c r="E126" s="29" t="str">
        <x:v>Manufacturing</x:v>
      </x:c>
      <x:c r="F126" s="24" t="n">
        <x:v>0.537</x:v>
      </x:c>
      <x:c r="G126" s="26" t="n">
        <x:v>13</x:v>
      </x:c>
      <x:c r="H126" s="2" t="str">
        <x:v>CES3000000001</x:v>
      </x:c>
      <x:c r="I126" s="20" t="n">
        <x:v>12896.333333333334</x:v>
      </x:c>
      <x:c r="J126" s="24" t="n">
        <x:f>I126/SUMIFS($I$6:$I$167,$A$6:$A$167,A126,$B$6:$B$167,B126,$C$6:$C$167,C126)</x:f>
        <x:v>0.39962938555264726</x:v>
      </x:c>
      <x:c r="K126" s="2" t="str">
        <x:v>April 2026</x:v>
      </x:c>
      <x:c r="L126" s="22"/>
      <x:c r="M126" s="2" t="str">
        <x:v>https://datawrapper.dwcdn.net/wQR5S/23/dataset.csv</x:v>
      </x:c>
    </x:row>
    <x:row r="127" ht="38" customHeight="1">
      <x:c r="A127" s="2" t="str">
        <x:v>Ramp</x:v>
      </x:c>
      <x:c r="B127" s="2" t="str">
        <x:v>Quartiles</x:v>
      </x:c>
      <x:c r="C127" s="2" t="str">
        <x:v>Q4</x:v>
      </x:c>
      <x:c r="D127" s="2" t="str">
        <x:v>55</x:v>
      </x:c>
      <x:c r="E127" s="29" t="str">
        <x:v>Management of companies and enterprises</x:v>
      </x:c>
      <x:c r="F127" s="24" t="n">
        <x:v>0.5608</x:v>
      </x:c>
      <x:c r="G127" s="26" t="n">
        <x:v>14</x:v>
      </x:c>
      <x:c r="H127" s="2" t="str">
        <x:v>CES6055000001</x:v>
      </x:c>
      <x:c r="I127" s="20" t="n">
        <x:v>2597.9</x:v>
      </x:c>
      <x:c r="J127" s="24" t="n">
        <x:f>I127/SUMIFS($I$6:$I$167,$A$6:$A$167,A127,$B$6:$B$167,B127,$C$6:$C$167,C127)</x:f>
        <x:v>0.10985288956357378</x:v>
      </x:c>
      <x:c r="K127" s="2" t="str">
        <x:v>April 2026</x:v>
      </x:c>
      <x:c r="L127" s="22"/>
      <x:c r="M127" s="2" t="str">
        <x:v>https://datawrapper.dwcdn.net/wQR5S/23/dataset.csv</x:v>
      </x:c>
    </x:row>
    <x:row r="128" ht="38" customHeight="1">
      <x:c r="A128" s="2" t="str">
        <x:v>Ramp</x:v>
      </x:c>
      <x:c r="B128" s="2" t="str">
        <x:v>Quartiles</x:v>
      </x:c>
      <x:c r="C128" s="2" t="str">
        <x:v>Q4</x:v>
      </x:c>
      <x:c r="D128" s="2" t="str">
        <x:v>22</x:v>
      </x:c>
      <x:c r="E128" s="29" t="str">
        <x:v>Utilities</x:v>
      </x:c>
      <x:c r="F128" s="24" t="n">
        <x:v>0.5720000000000001</x:v>
      </x:c>
      <x:c r="G128" s="26" t="n">
        <x:v>15</x:v>
      </x:c>
      <x:c r="H128" s="2" t="str">
        <x:v>CES4422000001</x:v>
      </x:c>
      <x:c r="I128" s="20" t="n">
        <x:v>569.0666666666667</x:v>
      </x:c>
      <x:c r="J128" s="24" t="n">
        <x:f>I128/SUMIFS($I$6:$I$167,$A$6:$A$167,A128,$B$6:$B$167,B128,$C$6:$C$167,C128)</x:f>
        <x:v>0.024063134719444317</x:v>
      </x:c>
      <x:c r="K128" s="2" t="str">
        <x:v>April 2026</x:v>
      </x:c>
      <x:c r="L128" s="22"/>
      <x:c r="M128" s="2" t="str">
        <x:v>https://datawrapper.dwcdn.net/wQR5S/23/dataset.csv</x:v>
      </x:c>
    </x:row>
    <x:row r="129" ht="38" customHeight="1">
      <x:c r="A129" s="2" t="str">
        <x:v>Ramp</x:v>
      </x:c>
      <x:c r="B129" s="2" t="str">
        <x:v>Quartiles</x:v>
      </x:c>
      <x:c r="C129" s="2" t="str">
        <x:v>Q4</x:v>
      </x:c>
      <x:c r="D129" s="2" t="str">
        <x:v>54</x:v>
      </x:c>
      <x:c r="E129" s="29" t="str">
        <x:v>Professional, scientific, and technical services</x:v>
      </x:c>
      <x:c r="F129" s="24" t="n">
        <x:v>0.6557999999999999</x:v>
      </x:c>
      <x:c r="G129" s="26" t="n">
        <x:v>16</x:v>
      </x:c>
      <x:c r="H129" s="2" t="str">
        <x:v>CES6054000001</x:v>
      </x:c>
      <x:c r="I129" s="20" t="n">
        <x:v>10719.166666666666</x:v>
      </x:c>
      <x:c r="J129" s="24" t="n">
        <x:f>I129/SUMIFS($I$6:$I$167,$A$6:$A$167,A129,$B$6:$B$167,B129,$C$6:$C$167,C129)</x:f>
        <x:v>0.45326280151155723</x:v>
      </x:c>
      <x:c r="K129" s="2" t="str">
        <x:v>April 2026</x:v>
      </x:c>
      <x:c r="L129" s="22"/>
      <x:c r="M129" s="2" t="str">
        <x:v>https://datawrapper.dwcdn.net/wQR5S/23/dataset.csv</x:v>
      </x:c>
    </x:row>
    <x:row r="130" ht="38" customHeight="1">
      <x:c r="A130" s="2" t="str">
        <x:v>Ramp</x:v>
      </x:c>
      <x:c r="B130" s="2" t="str">
        <x:v>Quartiles</x:v>
      </x:c>
      <x:c r="C130" s="2" t="str">
        <x:v>Q4</x:v>
      </x:c>
      <x:c r="D130" s="2" t="str">
        <x:v>52</x:v>
      </x:c>
      <x:c r="E130" s="29" t="str">
        <x:v>Finance and insurance</x:v>
      </x:c>
      <x:c r="F130" s="24" t="n">
        <x:v>0.6807</x:v>
      </x:c>
      <x:c r="G130" s="26" t="n">
        <x:v>17</x:v>
      </x:c>
      <x:c r="H130" s="2" t="str">
        <x:v>CES5552000001</x:v>
      </x:c>
      <x:c r="I130" s="20" t="n">
        <x:v>6710.099999999999</x:v>
      </x:c>
      <x:c r="J130" s="24" t="n">
        <x:f>I130/SUMIFS($I$6:$I$167,$A$6:$A$167,A130,$B$6:$B$167,B130,$C$6:$C$167,C130)</x:f>
        <x:v>0.28373835569519085</x:v>
      </x:c>
      <x:c r="K130" s="2" t="str">
        <x:v>April 2026</x:v>
      </x:c>
      <x:c r="L130" s="22"/>
      <x:c r="M130" s="2" t="str">
        <x:v>https://datawrapper.dwcdn.net/wQR5S/23/dataset.csv</x:v>
      </x:c>
    </x:row>
    <x:row r="131" ht="38" customHeight="1">
      <x:c r="A131" s="2" t="str">
        <x:v>Ramp</x:v>
      </x:c>
      <x:c r="B131" s="2" t="str">
        <x:v>Quartiles</x:v>
      </x:c>
      <x:c r="C131" s="2" t="str">
        <x:v>Q4</x:v>
      </x:c>
      <x:c r="D131" s="2" t="str">
        <x:v>51</x:v>
      </x:c>
      <x:c r="E131" s="29" t="str">
        <x:v>Information</x:v>
      </x:c>
      <x:c r="F131" s="24" t="n">
        <x:v>0.7720999999999999</x:v>
      </x:c>
      <x:c r="G131" s="26" t="n">
        <x:v>18</x:v>
      </x:c>
      <x:c r="H131" s="2" t="str">
        <x:v>CES5000000001</x:v>
      </x:c>
      <x:c r="I131" s="20" t="n">
        <x:v>3052.6666666666665</x:v>
      </x:c>
      <x:c r="J131" s="24" t="n">
        <x:f>I131/SUMIFS($I$6:$I$167,$A$6:$A$167,A131,$B$6:$B$167,B131,$C$6:$C$167,C131)</x:f>
        <x:v>0.12908281851023373</x:v>
      </x:c>
      <x:c r="K131" s="2" t="str">
        <x:v>April 2026</x:v>
      </x:c>
      <x:c r="L131" s="22"/>
      <x:c r="M131" s="2" t="str">
        <x:v>https://datawrapper.dwcdn.net/wQR5S/23/dataset.csv</x:v>
      </x:c>
    </x:row>
    <x:row r="132" ht="38" customHeight="1">
      <x:c r="A132" s="2" t="str">
        <x:v>Ramp</x:v>
      </x:c>
      <x:c r="B132" s="2" t="str">
        <x:v>Quintiles</x:v>
      </x:c>
      <x:c r="C132" s="2" t="str">
        <x:v>Q1</x:v>
      </x:c>
      <x:c r="D132" s="2" t="str">
        <x:v>72</x:v>
      </x:c>
      <x:c r="E132" s="29" t="str">
        <x:v>Accommodation and food services</x:v>
      </x:c>
      <x:c r="F132" s="24" t="n">
        <x:v>0.2637</x:v>
      </x:c>
      <x:c r="G132" s="26" t="n">
        <x:v>1</x:v>
      </x:c>
      <x:c r="H132" s="2" t="str">
        <x:v>CES7072000001</x:v>
      </x:c>
      <x:c r="I132" s="20" t="n">
        <x:v>13967.566666666666</x:v>
      </x:c>
      <x:c r="J132" s="24" t="n">
        <x:f>I132/SUMIFS($I$6:$I$167,$A$6:$A$167,A132,$B$6:$B$167,B132,$C$6:$C$167,C132)</x:f>
        <x:v>0.46355979923290774</x:v>
      </x:c>
      <x:c r="K132" s="2" t="str">
        <x:v>April 2026</x:v>
      </x:c>
      <x:c r="L132" s="22"/>
      <x:c r="M132" s="2" t="str">
        <x:v>https://datawrapper.dwcdn.net/wQR5S/23/dataset.csv</x:v>
      </x:c>
    </x:row>
    <x:row r="133" ht="38" customHeight="1">
      <x:c r="A133" s="2" t="str">
        <x:v>Ramp</x:v>
      </x:c>
      <x:c r="B133" s="2" t="str">
        <x:v>Quintiles</x:v>
      </x:c>
      <x:c r="C133" s="2" t="str">
        <x:v>Q1</x:v>
      </x:c>
      <x:c r="D133" s="2" t="str">
        <x:v>71</x:v>
      </x:c>
      <x:c r="E133" s="29" t="str">
        <x:v>Arts, entertainment, and recreation</x:v>
      </x:c>
      <x:c r="F133" s="24" t="n">
        <x:v>0.34700000000000003</x:v>
      </x:c>
      <x:c r="G133" s="26" t="n">
        <x:v>2</x:v>
      </x:c>
      <x:c r="H133" s="2" t="str">
        <x:v>CES7071000001</x:v>
      </x:c>
      <x:c r="I133" s="20" t="n">
        <x:v>2443.5333333333333</x:v>
      </x:c>
      <x:c r="J133" s="24" t="n">
        <x:f>I133/SUMIFS($I$6:$I$167,$A$6:$A$167,A133,$B$6:$B$167,B133,$C$6:$C$167,C133)</x:f>
        <x:v>0.08109671845147816</x:v>
      </x:c>
      <x:c r="K133" s="2" t="str">
        <x:v>April 2026</x:v>
      </x:c>
      <x:c r="L133" s="22"/>
      <x:c r="M133" s="2" t="str">
        <x:v>https://datawrapper.dwcdn.net/wQR5S/23/dataset.csv</x:v>
      </x:c>
    </x:row>
    <x:row r="134" ht="38" customHeight="1">
      <x:c r="A134" s="2" t="str">
        <x:v>Ramp</x:v>
      </x:c>
      <x:c r="B134" s="2" t="str">
        <x:v>Quintiles</x:v>
      </x:c>
      <x:c r="C134" s="2" t="str">
        <x:v>Q1</x:v>
      </x:c>
      <x:c r="D134" s="2" t="str">
        <x:v>23</x:v>
      </x:c>
      <x:c r="E134" s="29" t="str">
        <x:v>Construction</x:v>
      </x:c>
      <x:c r="F134" s="24" t="n">
        <x:v>0.3605</x:v>
      </x:c>
      <x:c r="G134" s="26" t="n">
        <x:v>3</x:v>
      </x:c>
      <x:c r="H134" s="2" t="str">
        <x:v>CES2000000001</x:v>
      </x:c>
      <x:c r="I134" s="20" t="n">
        <x:v>7933.666666666667</x:v>
      </x:c>
      <x:c r="J134" s="24" t="n">
        <x:f>I134/SUMIFS($I$6:$I$167,$A$6:$A$167,A134,$B$6:$B$167,B134,$C$6:$C$167,C134)</x:f>
        <x:v>0.2633049130853725</x:v>
      </x:c>
      <x:c r="K134" s="2" t="str">
        <x:v>April 2026</x:v>
      </x:c>
      <x:c r="L134" s="22"/>
      <x:c r="M134" s="2" t="str">
        <x:v>https://datawrapper.dwcdn.net/wQR5S/23/dataset.csv</x:v>
      </x:c>
    </x:row>
    <x:row r="135" ht="38" customHeight="1">
      <x:c r="A135" s="2" t="str">
        <x:v>Ramp</x:v>
      </x:c>
      <x:c r="B135" s="2" t="str">
        <x:v>Quintiles</x:v>
      </x:c>
      <x:c r="C135" s="2" t="str">
        <x:v>Q1</x:v>
      </x:c>
      <x:c r="D135" s="2" t="str">
        <x:v>81</x:v>
      </x:c>
      <x:c r="E135" s="29" t="str">
        <x:v>Other services, except government</x:v>
      </x:c>
      <x:c r="F135" s="24" t="n">
        <x:v>0.3628</x:v>
      </x:c>
      <x:c r="G135" s="26" t="n">
        <x:v>4</x:v>
      </x:c>
      <x:c r="H135" s="2" t="str">
        <x:v>CES8000000001</x:v>
      </x:c>
      <x:c r="I135" s="20" t="n">
        <x:v>5786.333333333333</x:v>
      </x:c>
      <x:c r="J135" s="24" t="n">
        <x:f>I135/SUMIFS($I$6:$I$167,$A$6:$A$167,A135,$B$6:$B$167,B135,$C$6:$C$167,C135)</x:f>
        <x:v>0.19203856923024162</x:v>
      </x:c>
      <x:c r="K135" s="2" t="str">
        <x:v>April 2026</x:v>
      </x:c>
      <x:c r="L135" s="22"/>
      <x:c r="M135" s="2" t="str">
        <x:v>https://datawrapper.dwcdn.net/wQR5S/23/dataset.csv</x:v>
      </x:c>
    </x:row>
    <x:row r="136" ht="38" customHeight="1">
      <x:c r="A136" s="2" t="str">
        <x:v>Ramp</x:v>
      </x:c>
      <x:c r="B136" s="2" t="str">
        <x:v>Quintiles</x:v>
      </x:c>
      <x:c r="C136" s="2" t="str">
        <x:v>Q2</x:v>
      </x:c>
      <x:c r="D136" s="2" t="str">
        <x:v>62</x:v>
      </x:c>
      <x:c r="E136" s="29" t="str">
        <x:v>Health care and social assistance</x:v>
      </x:c>
      <x:c r="F136" s="24" t="n">
        <x:v>0.37479999999999997</x:v>
      </x:c>
      <x:c r="G136" s="26" t="n">
        <x:v>5</x:v>
      </x:c>
      <x:c r="H136" s="2" t="str">
        <x:v>CES6562000001</x:v>
      </x:c>
      <x:c r="I136" s="20" t="n">
        <x:v>21171.533333333333</x:v>
      </x:c>
      <x:c r="J136" s="24" t="n">
        <x:f>I136/SUMIFS($I$6:$I$167,$A$6:$A$167,A136,$B$6:$B$167,B136,$C$6:$C$167,C136)</x:f>
        <x:v>0.7010224849563148</x:v>
      </x:c>
      <x:c r="K136" s="2" t="str">
        <x:v>April 2026</x:v>
      </x:c>
      <x:c r="L136" s="22"/>
      <x:c r="M136" s="2" t="str">
        <x:v>https://datawrapper.dwcdn.net/wQR5S/23/dataset.csv</x:v>
      </x:c>
    </x:row>
    <x:row r="137" ht="38" customHeight="1">
      <x:c r="A137" s="2" t="str">
        <x:v>Ramp</x:v>
      </x:c>
      <x:c r="B137" s="2" t="str">
        <x:v>Quintiles</x:v>
      </x:c>
      <x:c r="C137" s="2" t="str">
        <x:v>Q2</x:v>
      </x:c>
      <x:c r="D137" s="2" t="str">
        <x:v>48-49</x:v>
      </x:c>
      <x:c r="E137" s="29" t="str">
        <x:v>Transportation and warehousing</x:v>
      </x:c>
      <x:c r="F137" s="24" t="n">
        <x:v>0.4138</x:v>
      </x:c>
      <x:c r="G137" s="26" t="n">
        <x:v>6</x:v>
      </x:c>
      <x:c r="H137" s="2" t="str">
        <x:v>CES4300000001</x:v>
      </x:c>
      <x:c r="I137" s="20" t="n">
        <x:v>6591.166666666667</x:v>
      </x:c>
      <x:c r="J137" s="24" t="n">
        <x:f>I137/SUMIFS($I$6:$I$167,$A$6:$A$167,A137,$B$6:$B$167,B137,$C$6:$C$167,C137)</x:f>
        <x:v>0.21824380703466117</x:v>
      </x:c>
      <x:c r="K137" s="2" t="str">
        <x:v>April 2026</x:v>
      </x:c>
      <x:c r="L137" s="22"/>
      <x:c r="M137" s="2" t="str">
        <x:v>https://datawrapper.dwcdn.net/wQR5S/23/dataset.csv</x:v>
      </x:c>
    </x:row>
    <x:row r="138" ht="38" customHeight="1">
      <x:c r="A138" s="2" t="str">
        <x:v>Ramp</x:v>
      </x:c>
      <x:c r="B138" s="2" t="str">
        <x:v>Quintiles</x:v>
      </x:c>
      <x:c r="C138" s="2" t="str">
        <x:v>Q2</x:v>
      </x:c>
      <x:c r="D138" s="2" t="str">
        <x:v>53</x:v>
      </x:c>
      <x:c r="E138" s="29" t="str">
        <x:v>Real estate and rental and leasing</x:v>
      </x:c>
      <x:c r="F138" s="24" t="n">
        <x:v>0.42229999999999995</x:v>
      </x:c>
      <x:c r="G138" s="26" t="n">
        <x:v>7</x:v>
      </x:c>
      <x:c r="H138" s="2" t="str">
        <x:v>CES5553000001</x:v>
      </x:c>
      <x:c r="I138" s="20" t="n">
        <x:v>2438.233333333333</x:v>
      </x:c>
      <x:c r="J138" s="24" t="n">
        <x:f>I138/SUMIFS($I$6:$I$167,$A$6:$A$167,A138,$B$6:$B$167,B138,$C$6:$C$167,C138)</x:f>
        <x:v>0.08073370800902399</x:v>
      </x:c>
      <x:c r="K138" s="2" t="str">
        <x:v>April 2026</x:v>
      </x:c>
      <x:c r="L138" s="22"/>
      <x:c r="M138" s="2" t="str">
        <x:v>https://datawrapper.dwcdn.net/wQR5S/23/dataset.csv</x:v>
      </x:c>
    </x:row>
    <x:row r="139" ht="38" customHeight="1">
      <x:c r="A139" s="2" t="str">
        <x:v>Ramp</x:v>
      </x:c>
      <x:c r="B139" s="2" t="str">
        <x:v>Quintiles</x:v>
      </x:c>
      <x:c r="C139" s="2" t="str">
        <x:v>Q3</x:v>
      </x:c>
      <x:c r="D139" s="2" t="str">
        <x:v>44-45</x:v>
      </x:c>
      <x:c r="E139" s="29" t="str">
        <x:v>Retail trade</x:v>
      </x:c>
      <x:c r="F139" s="24" t="n">
        <x:v>0.43689999999999996</x:v>
      </x:c>
      <x:c r="G139" s="26" t="n">
        <x:v>8</x:v>
      </x:c>
      <x:c r="H139" s="2" t="str">
        <x:v>CES4200000001</x:v>
      </x:c>
      <x:c r="I139" s="20" t="n">
        <x:v>15572.233333333332</x:v>
      </x:c>
      <x:c r="J139" s="24" t="n">
        <x:f>I139/SUMIFS($I$6:$I$167,$A$6:$A$167,A139,$B$6:$B$167,B139,$C$6:$C$167,C139)</x:f>
        <x:v>0.49046661662265945</x:v>
      </x:c>
      <x:c r="K139" s="2" t="str">
        <x:v>April 2026</x:v>
      </x:c>
      <x:c r="L139" s="22"/>
      <x:c r="M139" s="2" t="str">
        <x:v>https://datawrapper.dwcdn.net/wQR5S/23/dataset.csv</x:v>
      </x:c>
    </x:row>
    <x:row r="140" ht="38" customHeight="1">
      <x:c r="A140" s="2" t="str">
        <x:v>Ramp</x:v>
      </x:c>
      <x:c r="B140" s="2" t="str">
        <x:v>Quintiles</x:v>
      </x:c>
      <x:c r="C140" s="2" t="str">
        <x:v>Q3</x:v>
      </x:c>
      <x:c r="D140" s="2" t="str">
        <x:v>21</x:v>
      </x:c>
      <x:c r="E140" s="29" t="str">
        <x:v>Mining, quarrying, and oil and gas extraction</x:v>
      </x:c>
      <x:c r="F140" s="24" t="n">
        <x:v>0.4464</x:v>
      </x:c>
      <x:c r="G140" s="26" t="n">
        <x:v>9</x:v>
      </x:c>
      <x:c r="H140" s="2" t="str">
        <x:v>CES1021000001</x:v>
      </x:c>
      <x:c r="I140" s="20" t="n">
        <x:v>588.9333333333333</x:v>
      </x:c>
      <x:c r="J140" s="24" t="n">
        <x:f>I140/SUMIFS($I$6:$I$167,$A$6:$A$167,A140,$B$6:$B$167,B140,$C$6:$C$167,C140)</x:f>
        <x:v>0.018549178735846383</x:v>
      </x:c>
      <x:c r="K140" s="2" t="str">
        <x:v>April 2026</x:v>
      </x:c>
      <x:c r="L140" s="22"/>
      <x:c r="M140" s="2" t="str">
        <x:v>https://datawrapper.dwcdn.net/wQR5S/23/dataset.csv</x:v>
      </x:c>
    </x:row>
    <x:row r="141" ht="38" customHeight="1">
      <x:c r="A141" s="2" t="str">
        <x:v>Ramp</x:v>
      </x:c>
      <x:c r="B141" s="2" t="str">
        <x:v>Quintiles</x:v>
      </x:c>
      <x:c r="C141" s="2" t="str">
        <x:v>Q3</x:v>
      </x:c>
      <x:c r="D141" s="2" t="str">
        <x:v>42</x:v>
      </x:c>
      <x:c r="E141" s="29" t="str">
        <x:v>Wholesale trade</x:v>
      </x:c>
      <x:c r="F141" s="24" t="n">
        <x:v>0.46759999999999996</x:v>
      </x:c>
      <x:c r="G141" s="26" t="n">
        <x:v>10</x:v>
      </x:c>
      <x:c r="H141" s="2" t="str">
        <x:v>CES4142000001</x:v>
      </x:c>
      <x:c r="I141" s="20" t="n">
        <x:v>6085.833333333333</x:v>
      </x:c>
      <x:c r="J141" s="24" t="n">
        <x:f>I141/SUMIFS($I$6:$I$167,$A$6:$A$167,A141,$B$6:$B$167,B141,$C$6:$C$167,C141)</x:f>
        <x:v>0.19168079622465212</x:v>
      </x:c>
      <x:c r="K141" s="2" t="str">
        <x:v>April 2026</x:v>
      </x:c>
      <x:c r="L141" s="22"/>
      <x:c r="M141" s="2" t="str">
        <x:v>https://datawrapper.dwcdn.net/wQR5S/23/dataset.csv</x:v>
      </x:c>
    </x:row>
    <x:row r="142" ht="38" customHeight="1">
      <x:c r="A142" s="2" t="str">
        <x:v>Ramp</x:v>
      </x:c>
      <x:c r="B142" s="2" t="str">
        <x:v>Quintiles</x:v>
      </x:c>
      <x:c r="C142" s="2" t="str">
        <x:v>Q3</x:v>
      </x:c>
      <x:c r="D142" s="2" t="str">
        <x:v>56</x:v>
      </x:c>
      <x:c r="E142" s="29" t="str">
        <x:v>Administrative, support, and waste services</x:v>
      </x:c>
      <x:c r="F142" s="24" t="n">
        <x:v>0.48810000000000003</x:v>
      </x:c>
      <x:c r="G142" s="26" t="n">
        <x:v>11</x:v>
      </x:c>
      <x:c r="H142" s="2" t="str">
        <x:v>CES6056000001</x:v>
      </x:c>
      <x:c r="I142" s="20" t="n">
        <x:v>9502.833333333334</x:v>
      </x:c>
      <x:c r="J142" s="24" t="n">
        <x:f>I142/SUMIFS($I$6:$I$167,$A$6:$A$167,A142,$B$6:$B$167,B142,$C$6:$C$167,C142)</x:f>
        <x:v>0.29930340841684216</x:v>
      </x:c>
      <x:c r="K142" s="2" t="str">
        <x:v>April 2026</x:v>
      </x:c>
      <x:c r="L142" s="22"/>
      <x:c r="M142" s="2" t="str">
        <x:v>https://datawrapper.dwcdn.net/wQR5S/23/dataset.csv</x:v>
      </x:c>
    </x:row>
    <x:row r="143" ht="38" customHeight="1">
      <x:c r="A143" s="2" t="str">
        <x:v>Ramp</x:v>
      </x:c>
      <x:c r="B143" s="2" t="str">
        <x:v>Quintiles</x:v>
      </x:c>
      <x:c r="C143" s="2" t="str">
        <x:v>Q4</x:v>
      </x:c>
      <x:c r="D143" s="2" t="str">
        <x:v>61</x:v>
      </x:c>
      <x:c r="E143" s="29" t="str">
        <x:v>Private educational services</x:v>
      </x:c>
      <x:c r="F143" s="24" t="n">
        <x:v>0.5115999999999999</x:v>
      </x:c>
      <x:c r="G143" s="26" t="n">
        <x:v>12</x:v>
      </x:c>
      <x:c r="H143" s="2" t="str">
        <x:v>CES6561000001</x:v>
      </x:c>
      <x:c r="I143" s="20" t="n">
        <x:v>3785.7333333333336</x:v>
      </x:c>
      <x:c r="J143" s="24" t="n">
        <x:f>I143/SUMIFS($I$6:$I$167,$A$6:$A$167,A143,$B$6:$B$167,B143,$C$6:$C$167,C143)</x:f>
        <x:v>0.19635580282815152</x:v>
      </x:c>
      <x:c r="K143" s="2" t="str">
        <x:v>April 2026</x:v>
      </x:c>
      <x:c r="L143" s="22"/>
      <x:c r="M143" s="2" t="str">
        <x:v>https://datawrapper.dwcdn.net/wQR5S/23/dataset.csv</x:v>
      </x:c>
    </x:row>
    <x:row r="144" ht="38" customHeight="1">
      <x:c r="A144" s="2" t="str">
        <x:v>Ramp</x:v>
      </x:c>
      <x:c r="B144" s="2" t="str">
        <x:v>Quintiles</x:v>
      </x:c>
      <x:c r="C144" s="2" t="str">
        <x:v>Q4</x:v>
      </x:c>
      <x:c r="D144" s="2" t="str">
        <x:v>31-33</x:v>
      </x:c>
      <x:c r="E144" s="29" t="str">
        <x:v>Manufacturing</x:v>
      </x:c>
      <x:c r="F144" s="24" t="n">
        <x:v>0.537</x:v>
      </x:c>
      <x:c r="G144" s="26" t="n">
        <x:v>13</x:v>
      </x:c>
      <x:c r="H144" s="2" t="str">
        <x:v>CES3000000001</x:v>
      </x:c>
      <x:c r="I144" s="20" t="n">
        <x:v>12896.333333333334</x:v>
      </x:c>
      <x:c r="J144" s="24" t="n">
        <x:f>I144/SUMIFS($I$6:$I$167,$A$6:$A$167,A144,$B$6:$B$167,B144,$C$6:$C$167,C144)</x:f>
        <x:v>0.6688981135859502</x:v>
      </x:c>
      <x:c r="K144" s="2" t="str">
        <x:v>April 2026</x:v>
      </x:c>
      <x:c r="L144" s="22"/>
      <x:c r="M144" s="2" t="str">
        <x:v>https://datawrapper.dwcdn.net/wQR5S/23/dataset.csv</x:v>
      </x:c>
    </x:row>
    <x:row r="145" ht="38" customHeight="1">
      <x:c r="A145" s="2" t="str">
        <x:v>Ramp</x:v>
      </x:c>
      <x:c r="B145" s="2" t="str">
        <x:v>Quintiles</x:v>
      </x:c>
      <x:c r="C145" s="2" t="str">
        <x:v>Q4</x:v>
      </x:c>
      <x:c r="D145" s="2" t="str">
        <x:v>55</x:v>
      </x:c>
      <x:c r="E145" s="29" t="str">
        <x:v>Management of companies and enterprises</x:v>
      </x:c>
      <x:c r="F145" s="24" t="n">
        <x:v>0.5608</x:v>
      </x:c>
      <x:c r="G145" s="26" t="n">
        <x:v>14</x:v>
      </x:c>
      <x:c r="H145" s="2" t="str">
        <x:v>CES6055000001</x:v>
      </x:c>
      <x:c r="I145" s="20" t="n">
        <x:v>2597.9</x:v>
      </x:c>
      <x:c r="J145" s="24" t="n">
        <x:f>I145/SUMIFS($I$6:$I$167,$A$6:$A$167,A145,$B$6:$B$167,B145,$C$6:$C$167,C145)</x:f>
        <x:v>0.13474608358589832</x:v>
      </x:c>
      <x:c r="K145" s="2" t="str">
        <x:v>April 2026</x:v>
      </x:c>
      <x:c r="L145" s="22"/>
      <x:c r="M145" s="2" t="str">
        <x:v>https://datawrapper.dwcdn.net/wQR5S/23/dataset.csv</x:v>
      </x:c>
    </x:row>
    <x:row r="146" ht="38" customHeight="1">
      <x:c r="A146" s="2" t="str">
        <x:v>Ramp</x:v>
      </x:c>
      <x:c r="B146" s="2" t="str">
        <x:v>Quintiles</x:v>
      </x:c>
      <x:c r="C146" s="2" t="str">
        <x:v>Q5</x:v>
      </x:c>
      <x:c r="D146" s="2" t="str">
        <x:v>22</x:v>
      </x:c>
      <x:c r="E146" s="29" t="str">
        <x:v>Utilities</x:v>
      </x:c>
      <x:c r="F146" s="24" t="n">
        <x:v>0.5720000000000001</x:v>
      </x:c>
      <x:c r="G146" s="26" t="n">
        <x:v>15</x:v>
      </x:c>
      <x:c r="H146" s="2" t="str">
        <x:v>CES4422000001</x:v>
      </x:c>
      <x:c r="I146" s="20" t="n">
        <x:v>569.0666666666667</x:v>
      </x:c>
      <x:c r="J146" s="24" t="n">
        <x:f>I146/SUMIFS($I$6:$I$167,$A$6:$A$167,A146,$B$6:$B$167,B146,$C$6:$C$167,C146)</x:f>
        <x:v>0.02703276170569886</x:v>
      </x:c>
      <x:c r="K146" s="2" t="str">
        <x:v>April 2026</x:v>
      </x:c>
      <x:c r="L146" s="22"/>
      <x:c r="M146" s="2" t="str">
        <x:v>https://datawrapper.dwcdn.net/wQR5S/23/dataset.csv</x:v>
      </x:c>
    </x:row>
    <x:row r="147" ht="38" customHeight="1">
      <x:c r="A147" s="2" t="str">
        <x:v>Ramp</x:v>
      </x:c>
      <x:c r="B147" s="2" t="str">
        <x:v>Quintiles</x:v>
      </x:c>
      <x:c r="C147" s="2" t="str">
        <x:v>Q5</x:v>
      </x:c>
      <x:c r="D147" s="2" t="str">
        <x:v>54</x:v>
      </x:c>
      <x:c r="E147" s="29" t="str">
        <x:v>Professional, scientific, and technical services</x:v>
      </x:c>
      <x:c r="F147" s="24" t="n">
        <x:v>0.6557999999999999</x:v>
      </x:c>
      <x:c r="G147" s="26" t="n">
        <x:v>16</x:v>
      </x:c>
      <x:c r="H147" s="2" t="str">
        <x:v>CES6054000001</x:v>
      </x:c>
      <x:c r="I147" s="20" t="n">
        <x:v>10719.166666666666</x:v>
      </x:c>
      <x:c r="J147" s="24" t="n">
        <x:f>I147/SUMIFS($I$6:$I$167,$A$6:$A$167,A147,$B$6:$B$167,B147,$C$6:$C$167,C147)</x:f>
        <x:v>0.50919987965734</x:v>
      </x:c>
      <x:c r="K147" s="2" t="str">
        <x:v>April 2026</x:v>
      </x:c>
      <x:c r="L147" s="22"/>
      <x:c r="M147" s="2" t="str">
        <x:v>https://datawrapper.dwcdn.net/wQR5S/23/dataset.csv</x:v>
      </x:c>
    </x:row>
    <x:row r="148" ht="38" customHeight="1">
      <x:c r="A148" s="2" t="str">
        <x:v>Ramp</x:v>
      </x:c>
      <x:c r="B148" s="2" t="str">
        <x:v>Quintiles</x:v>
      </x:c>
      <x:c r="C148" s="2" t="str">
        <x:v>Q5</x:v>
      </x:c>
      <x:c r="D148" s="2" t="str">
        <x:v>52</x:v>
      </x:c>
      <x:c r="E148" s="29" t="str">
        <x:v>Finance and insurance</x:v>
      </x:c>
      <x:c r="F148" s="24" t="n">
        <x:v>0.6807</x:v>
      </x:c>
      <x:c r="G148" s="26" t="n">
        <x:v>17</x:v>
      </x:c>
      <x:c r="H148" s="2" t="str">
        <x:v>CES5552000001</x:v>
      </x:c>
      <x:c r="I148" s="20" t="n">
        <x:v>6710.099999999999</x:v>
      </x:c>
      <x:c r="J148" s="24" t="n">
        <x:f>I148/SUMIFS($I$6:$I$167,$A$6:$A$167,A148,$B$6:$B$167,B148,$C$6:$C$167,C148)</x:f>
        <x:v>0.3187544534701439</x:v>
      </x:c>
      <x:c r="K148" s="2" t="str">
        <x:v>April 2026</x:v>
      </x:c>
      <x:c r="L148" s="22"/>
      <x:c r="M148" s="2" t="str">
        <x:v>https://datawrapper.dwcdn.net/wQR5S/23/dataset.csv</x:v>
      </x:c>
    </x:row>
    <x:row r="149" ht="38" customHeight="1">
      <x:c r="A149" s="2" t="str">
        <x:v>Ramp</x:v>
      </x:c>
      <x:c r="B149" s="2" t="str">
        <x:v>Quintiles</x:v>
      </x:c>
      <x:c r="C149" s="2" t="str">
        <x:v>Q5</x:v>
      </x:c>
      <x:c r="D149" s="2" t="str">
        <x:v>51</x:v>
      </x:c>
      <x:c r="E149" s="29" t="str">
        <x:v>Information</x:v>
      </x:c>
      <x:c r="F149" s="24" t="n">
        <x:v>0.7720999999999999</x:v>
      </x:c>
      <x:c r="G149" s="26" t="n">
        <x:v>18</x:v>
      </x:c>
      <x:c r="H149" s="2" t="str">
        <x:v>CES5000000001</x:v>
      </x:c>
      <x:c r="I149" s="20" t="n">
        <x:v>3052.6666666666665</x:v>
      </x:c>
      <x:c r="J149" s="24" t="n">
        <x:f>I149/SUMIFS($I$6:$I$167,$A$6:$A$167,A149,$B$6:$B$167,B149,$C$6:$C$167,C149)</x:f>
        <x:v>0.14501290516681709</x:v>
      </x:c>
      <x:c r="K149" s="2" t="str">
        <x:v>April 2026</x:v>
      </x:c>
      <x:c r="L149" s="22"/>
      <x:c r="M149" s="2" t="str">
        <x:v>https://datawrapper.dwcdn.net/wQR5S/23/dataset.csv</x:v>
      </x:c>
    </x:row>
    <x:row r="150" ht="38" customHeight="1">
      <x:c r="A150" s="2" t="str">
        <x:v>Ramp</x:v>
      </x:c>
      <x:c r="B150" s="2" t="str">
        <x:v>Halves</x:v>
      </x:c>
      <x:c r="C150" s="2" t="str">
        <x:v>Lower half</x:v>
      </x:c>
      <x:c r="D150" s="2" t="str">
        <x:v>72</x:v>
      </x:c>
      <x:c r="E150" s="29" t="str">
        <x:v>Accommodation and food services</x:v>
      </x:c>
      <x:c r="F150" s="24" t="n">
        <x:v>0.2637</x:v>
      </x:c>
      <x:c r="G150" s="26" t="n">
        <x:v>1</x:v>
      </x:c>
      <x:c r="H150" s="2" t="str">
        <x:v>CES7072000001</x:v>
      </x:c>
      <x:c r="I150" s="20" t="n">
        <x:v>13967.566666666666</x:v>
      </x:c>
      <x:c r="J150" s="24" t="n">
        <x:f>I150/SUMIFS($I$6:$I$167,$A$6:$A$167,A150,$B$6:$B$167,B150,$C$6:$C$167,C150)</x:f>
        <x:v>0.18259880181070562</x:v>
      </x:c>
      <x:c r="K150" s="2" t="str">
        <x:v>April 2026</x:v>
      </x:c>
      <x:c r="L150" s="22"/>
      <x:c r="M150" s="2" t="str">
        <x:v>https://datawrapper.dwcdn.net/wQR5S/23/dataset.csv</x:v>
      </x:c>
    </x:row>
    <x:row r="151" ht="38" customHeight="1">
      <x:c r="A151" s="2" t="str">
        <x:v>Ramp</x:v>
      </x:c>
      <x:c r="B151" s="2" t="str">
        <x:v>Halves</x:v>
      </x:c>
      <x:c r="C151" s="2" t="str">
        <x:v>Lower half</x:v>
      </x:c>
      <x:c r="D151" s="2" t="str">
        <x:v>71</x:v>
      </x:c>
      <x:c r="E151" s="29" t="str">
        <x:v>Arts, entertainment, and recreation</x:v>
      </x:c>
      <x:c r="F151" s="24" t="n">
        <x:v>0.34700000000000003</x:v>
      </x:c>
      <x:c r="G151" s="26" t="n">
        <x:v>2</x:v>
      </x:c>
      <x:c r="H151" s="2" t="str">
        <x:v>CES7071000001</x:v>
      </x:c>
      <x:c r="I151" s="20" t="n">
        <x:v>2443.5333333333333</x:v>
      </x:c>
      <x:c r="J151" s="24" t="n">
        <x:f>I151/SUMIFS($I$6:$I$167,$A$6:$A$167,A151,$B$6:$B$167,B151,$C$6:$C$167,C151)</x:f>
        <x:v>0.03194445170725416</x:v>
      </x:c>
      <x:c r="K151" s="2" t="str">
        <x:v>April 2026</x:v>
      </x:c>
      <x:c r="L151" s="22"/>
      <x:c r="M151" s="2" t="str">
        <x:v>https://datawrapper.dwcdn.net/wQR5S/23/dataset.csv</x:v>
      </x:c>
    </x:row>
    <x:row r="152" ht="38" customHeight="1">
      <x:c r="A152" s="2" t="str">
        <x:v>Ramp</x:v>
      </x:c>
      <x:c r="B152" s="2" t="str">
        <x:v>Halves</x:v>
      </x:c>
      <x:c r="C152" s="2" t="str">
        <x:v>Lower half</x:v>
      </x:c>
      <x:c r="D152" s="2" t="str">
        <x:v>23</x:v>
      </x:c>
      <x:c r="E152" s="29" t="str">
        <x:v>Construction</x:v>
      </x:c>
      <x:c r="F152" s="24" t="n">
        <x:v>0.3605</x:v>
      </x:c>
      <x:c r="G152" s="26" t="n">
        <x:v>3</x:v>
      </x:c>
      <x:c r="H152" s="2" t="str">
        <x:v>CES2000000001</x:v>
      </x:c>
      <x:c r="I152" s="20" t="n">
        <x:v>7933.666666666667</x:v>
      </x:c>
      <x:c r="J152" s="24" t="n">
        <x:f>I152/SUMIFS($I$6:$I$167,$A$6:$A$167,A152,$B$6:$B$167,B152,$C$6:$C$167,C152)</x:f>
        <x:v>0.10371728031598453</x:v>
      </x:c>
      <x:c r="K152" s="2" t="str">
        <x:v>April 2026</x:v>
      </x:c>
      <x:c r="L152" s="22"/>
      <x:c r="M152" s="2" t="str">
        <x:v>https://datawrapper.dwcdn.net/wQR5S/23/dataset.csv</x:v>
      </x:c>
    </x:row>
    <x:row r="153" ht="38" customHeight="1">
      <x:c r="A153" s="2" t="str">
        <x:v>Ramp</x:v>
      </x:c>
      <x:c r="B153" s="2" t="str">
        <x:v>Halves</x:v>
      </x:c>
      <x:c r="C153" s="2" t="str">
        <x:v>Lower half</x:v>
      </x:c>
      <x:c r="D153" s="2" t="str">
        <x:v>81</x:v>
      </x:c>
      <x:c r="E153" s="29" t="str">
        <x:v>Other services, except government</x:v>
      </x:c>
      <x:c r="F153" s="24" t="n">
        <x:v>0.3628</x:v>
      </x:c>
      <x:c r="G153" s="26" t="n">
        <x:v>4</x:v>
      </x:c>
      <x:c r="H153" s="2" t="str">
        <x:v>CES8000000001</x:v>
      </x:c>
      <x:c r="I153" s="20" t="n">
        <x:v>5786.333333333333</x:v>
      </x:c>
      <x:c r="J153" s="24" t="n">
        <x:f>I153/SUMIFS($I$6:$I$167,$A$6:$A$167,A153,$B$6:$B$167,B153,$C$6:$C$167,C153)</x:f>
        <x:v>0.07564506823264465</x:v>
      </x:c>
      <x:c r="K153" s="2" t="str">
        <x:v>April 2026</x:v>
      </x:c>
      <x:c r="L153" s="22"/>
      <x:c r="M153" s="2" t="str">
        <x:v>https://datawrapper.dwcdn.net/wQR5S/23/dataset.csv</x:v>
      </x:c>
    </x:row>
    <x:row r="154" ht="38" customHeight="1">
      <x:c r="A154" s="2" t="str">
        <x:v>Ramp</x:v>
      </x:c>
      <x:c r="B154" s="2" t="str">
        <x:v>Halves</x:v>
      </x:c>
      <x:c r="C154" s="2" t="str">
        <x:v>Lower half</x:v>
      </x:c>
      <x:c r="D154" s="2" t="str">
        <x:v>62</x:v>
      </x:c>
      <x:c r="E154" s="29" t="str">
        <x:v>Health care and social assistance</x:v>
      </x:c>
      <x:c r="F154" s="24" t="n">
        <x:v>0.37479999999999997</x:v>
      </x:c>
      <x:c r="G154" s="26" t="n">
        <x:v>5</x:v>
      </x:c>
      <x:c r="H154" s="2" t="str">
        <x:v>CES6562000001</x:v>
      </x:c>
      <x:c r="I154" s="20" t="n">
        <x:v>21171.533333333333</x:v>
      </x:c>
      <x:c r="J154" s="24" t="n">
        <x:f>I154/SUMIFS($I$6:$I$167,$A$6:$A$167,A154,$B$6:$B$167,B154,$C$6:$C$167,C154)</x:f>
        <x:v>0.27677667208762785</x:v>
      </x:c>
      <x:c r="K154" s="2" t="str">
        <x:v>April 2026</x:v>
      </x:c>
      <x:c r="L154" s="22"/>
      <x:c r="M154" s="2" t="str">
        <x:v>https://datawrapper.dwcdn.net/wQR5S/23/dataset.csv</x:v>
      </x:c>
    </x:row>
    <x:row r="155" ht="38" customHeight="1">
      <x:c r="A155" s="2" t="str">
        <x:v>Ramp</x:v>
      </x:c>
      <x:c r="B155" s="2" t="str">
        <x:v>Halves</x:v>
      </x:c>
      <x:c r="C155" s="2" t="str">
        <x:v>Lower half</x:v>
      </x:c>
      <x:c r="D155" s="2" t="str">
        <x:v>48-49</x:v>
      </x:c>
      <x:c r="E155" s="29" t="str">
        <x:v>Transportation and warehousing</x:v>
      </x:c>
      <x:c r="F155" s="24" t="n">
        <x:v>0.4138</x:v>
      </x:c>
      <x:c r="G155" s="26" t="n">
        <x:v>6</x:v>
      </x:c>
      <x:c r="H155" s="2" t="str">
        <x:v>CES4300000001</x:v>
      </x:c>
      <x:c r="I155" s="20" t="n">
        <x:v>6591.166666666667</x:v>
      </x:c>
      <x:c r="J155" s="24" t="n">
        <x:f>I155/SUMIFS($I$6:$I$167,$A$6:$A$167,A155,$B$6:$B$167,B155,$C$6:$C$167,C155)</x:f>
        <x:v>0.08616670065661611</x:v>
      </x:c>
      <x:c r="K155" s="2" t="str">
        <x:v>April 2026</x:v>
      </x:c>
      <x:c r="L155" s="22"/>
      <x:c r="M155" s="2" t="str">
        <x:v>https://datawrapper.dwcdn.net/wQR5S/23/dataset.csv</x:v>
      </x:c>
    </x:row>
    <x:row r="156" ht="38" customHeight="1">
      <x:c r="A156" s="2" t="str">
        <x:v>Ramp</x:v>
      </x:c>
      <x:c r="B156" s="2" t="str">
        <x:v>Halves</x:v>
      </x:c>
      <x:c r="C156" s="2" t="str">
        <x:v>Lower half</x:v>
      </x:c>
      <x:c r="D156" s="2" t="str">
        <x:v>53</x:v>
      </x:c>
      <x:c r="E156" s="29" t="str">
        <x:v>Real estate and rental and leasing</x:v>
      </x:c>
      <x:c r="F156" s="24" t="n">
        <x:v>0.42229999999999995</x:v>
      </x:c>
      <x:c r="G156" s="26" t="n">
        <x:v>7</x:v>
      </x:c>
      <x:c r="H156" s="2" t="str">
        <x:v>CES5553000001</x:v>
      </x:c>
      <x:c r="I156" s="20" t="n">
        <x:v>2438.233333333333</x:v>
      </x:c>
      <x:c r="J156" s="24" t="n">
        <x:f>I156/SUMIFS($I$6:$I$167,$A$6:$A$167,A156,$B$6:$B$167,B156,$C$6:$C$167,C156)</x:f>
        <x:v>0.031875164502639886</x:v>
      </x:c>
      <x:c r="K156" s="2" t="str">
        <x:v>April 2026</x:v>
      </x:c>
      <x:c r="L156" s="22"/>
      <x:c r="M156" s="2" t="str">
        <x:v>https://datawrapper.dwcdn.net/wQR5S/23/dataset.csv</x:v>
      </x:c>
    </x:row>
    <x:row r="157" ht="38" customHeight="1">
      <x:c r="A157" s="2" t="str">
        <x:v>Ramp</x:v>
      </x:c>
      <x:c r="B157" s="2" t="str">
        <x:v>Halves</x:v>
      </x:c>
      <x:c r="C157" s="2" t="str">
        <x:v>Lower half</x:v>
      </x:c>
      <x:c r="D157" s="2" t="str">
        <x:v>44-45</x:v>
      </x:c>
      <x:c r="E157" s="29" t="str">
        <x:v>Retail trade</x:v>
      </x:c>
      <x:c r="F157" s="24" t="n">
        <x:v>0.43689999999999996</x:v>
      </x:c>
      <x:c r="G157" s="26" t="n">
        <x:v>8</x:v>
      </x:c>
      <x:c r="H157" s="2" t="str">
        <x:v>CES4200000001</x:v>
      </x:c>
      <x:c r="I157" s="20" t="n">
        <x:v>15572.233333333332</x:v>
      </x:c>
      <x:c r="J157" s="24" t="n">
        <x:f>I157/SUMIFS($I$6:$I$167,$A$6:$A$167,A157,$B$6:$B$167,B157,$C$6:$C$167,C157)</x:f>
        <x:v>0.20357670137127656</x:v>
      </x:c>
      <x:c r="K157" s="2" t="str">
        <x:v>April 2026</x:v>
      </x:c>
      <x:c r="L157" s="22"/>
      <x:c r="M157" s="2" t="str">
        <x:v>https://datawrapper.dwcdn.net/wQR5S/23/dataset.csv</x:v>
      </x:c>
    </x:row>
    <x:row r="158" ht="38" customHeight="1">
      <x:c r="A158" s="2" t="str">
        <x:v>Ramp</x:v>
      </x:c>
      <x:c r="B158" s="2" t="str">
        <x:v>Halves</x:v>
      </x:c>
      <x:c r="C158" s="2" t="str">
        <x:v>Lower half</x:v>
      </x:c>
      <x:c r="D158" s="2" t="str">
        <x:v>21</x:v>
      </x:c>
      <x:c r="E158" s="29" t="str">
        <x:v>Mining, quarrying, and oil and gas extraction</x:v>
      </x:c>
      <x:c r="F158" s="24" t="n">
        <x:v>0.4464</x:v>
      </x:c>
      <x:c r="G158" s="26" t="n">
        <x:v>9</x:v>
      </x:c>
      <x:c r="H158" s="2" t="str">
        <x:v>CES1021000001</x:v>
      </x:c>
      <x:c r="I158" s="20" t="n">
        <x:v>588.9333333333333</x:v>
      </x:c>
      <x:c r="J158" s="24" t="n">
        <x:f>I158/SUMIFS($I$6:$I$167,$A$6:$A$167,A158,$B$6:$B$167,B158,$C$6:$C$167,C158)</x:f>
        <x:v>0.007699159315250679</x:v>
      </x:c>
      <x:c r="K158" s="2" t="str">
        <x:v>April 2026</x:v>
      </x:c>
      <x:c r="L158" s="22"/>
      <x:c r="M158" s="2" t="str">
        <x:v>https://datawrapper.dwcdn.net/wQR5S/23/dataset.csv</x:v>
      </x:c>
    </x:row>
    <x:row r="159" ht="38" customHeight="1">
      <x:c r="A159" s="2" t="str">
        <x:v>Ramp</x:v>
      </x:c>
      <x:c r="B159" s="2" t="str">
        <x:v>Halves</x:v>
      </x:c>
      <x:c r="C159" s="2" t="str">
        <x:v>Higher half</x:v>
      </x:c>
      <x:c r="D159" s="2" t="str">
        <x:v>42</x:v>
      </x:c>
      <x:c r="E159" s="29" t="str">
        <x:v>Wholesale trade</x:v>
      </x:c>
      <x:c r="F159" s="24" t="n">
        <x:v>0.46759999999999996</x:v>
      </x:c>
      <x:c r="G159" s="26" t="n">
        <x:v>10</x:v>
      </x:c>
      <x:c r="H159" s="2" t="str">
        <x:v>CES4142000001</x:v>
      </x:c>
      <x:c r="I159" s="20" t="n">
        <x:v>6085.833333333333</x:v>
      </x:c>
      <x:c r="J159" s="24" t="n">
        <x:f>I159/SUMIFS($I$6:$I$167,$A$6:$A$167,A159,$B$6:$B$167,B159,$C$6:$C$167,C159)</x:f>
        <x:v>0.10883178180114438</x:v>
      </x:c>
      <x:c r="K159" s="2" t="str">
        <x:v>April 2026</x:v>
      </x:c>
      <x:c r="L159" s="22"/>
      <x:c r="M159" s="2" t="str">
        <x:v>https://datawrapper.dwcdn.net/wQR5S/23/dataset.csv</x:v>
      </x:c>
    </x:row>
    <x:row r="160" ht="38" customHeight="1">
      <x:c r="A160" s="2" t="str">
        <x:v>Ramp</x:v>
      </x:c>
      <x:c r="B160" s="2" t="str">
        <x:v>Halves</x:v>
      </x:c>
      <x:c r="C160" s="2" t="str">
        <x:v>Higher half</x:v>
      </x:c>
      <x:c r="D160" s="2" t="str">
        <x:v>56</x:v>
      </x:c>
      <x:c r="E160" s="29" t="str">
        <x:v>Administrative, support, and waste services</x:v>
      </x:c>
      <x:c r="F160" s="24" t="n">
        <x:v>0.48810000000000003</x:v>
      </x:c>
      <x:c r="G160" s="26" t="n">
        <x:v>11</x:v>
      </x:c>
      <x:c r="H160" s="2" t="str">
        <x:v>CES6056000001</x:v>
      </x:c>
      <x:c r="I160" s="20" t="n">
        <x:v>9502.833333333334</x:v>
      </x:c>
      <x:c r="J160" s="24" t="n">
        <x:f>I160/SUMIFS($I$6:$I$167,$A$6:$A$167,A160,$B$6:$B$167,B160,$C$6:$C$167,C160)</x:f>
        <x:v>0.16993733268398875</x:v>
      </x:c>
      <x:c r="K160" s="2" t="str">
        <x:v>April 2026</x:v>
      </x:c>
      <x:c r="L160" s="22"/>
      <x:c r="M160" s="2" t="str">
        <x:v>https://datawrapper.dwcdn.net/wQR5S/23/dataset.csv</x:v>
      </x:c>
    </x:row>
    <x:row r="161" ht="38" customHeight="1">
      <x:c r="A161" s="2" t="str">
        <x:v>Ramp</x:v>
      </x:c>
      <x:c r="B161" s="2" t="str">
        <x:v>Halves</x:v>
      </x:c>
      <x:c r="C161" s="2" t="str">
        <x:v>Higher half</x:v>
      </x:c>
      <x:c r="D161" s="2" t="str">
        <x:v>61</x:v>
      </x:c>
      <x:c r="E161" s="29" t="str">
        <x:v>Private educational services</x:v>
      </x:c>
      <x:c r="F161" s="24" t="n">
        <x:v>0.5115999999999999</x:v>
      </x:c>
      <x:c r="G161" s="26" t="n">
        <x:v>12</x:v>
      </x:c>
      <x:c r="H161" s="2" t="str">
        <x:v>CES6561000001</x:v>
      </x:c>
      <x:c r="I161" s="20" t="n">
        <x:v>3785.7333333333336</x:v>
      </x:c>
      <x:c r="J161" s="24" t="n">
        <x:f>I161/SUMIFS($I$6:$I$167,$A$6:$A$167,A161,$B$6:$B$167,B161,$C$6:$C$167,C161)</x:f>
        <x:v>0.06769953784866257</x:v>
      </x:c>
      <x:c r="K161" s="2" t="str">
        <x:v>April 2026</x:v>
      </x:c>
      <x:c r="L161" s="22"/>
      <x:c r="M161" s="2" t="str">
        <x:v>https://datawrapper.dwcdn.net/wQR5S/23/dataset.csv</x:v>
      </x:c>
    </x:row>
    <x:row r="162" ht="38" customHeight="1">
      <x:c r="A162" s="2" t="str">
        <x:v>Ramp</x:v>
      </x:c>
      <x:c r="B162" s="2" t="str">
        <x:v>Halves</x:v>
      </x:c>
      <x:c r="C162" s="2" t="str">
        <x:v>Higher half</x:v>
      </x:c>
      <x:c r="D162" s="2" t="str">
        <x:v>31-33</x:v>
      </x:c>
      <x:c r="E162" s="29" t="str">
        <x:v>Manufacturing</x:v>
      </x:c>
      <x:c r="F162" s="24" t="n">
        <x:v>0.537</x:v>
      </x:c>
      <x:c r="G162" s="26" t="n">
        <x:v>13</x:v>
      </x:c>
      <x:c r="H162" s="2" t="str">
        <x:v>CES3000000001</x:v>
      </x:c>
      <x:c r="I162" s="20" t="n">
        <x:v>12896.333333333334</x:v>
      </x:c>
      <x:c r="J162" s="24" t="n">
        <x:f>I162/SUMIFS($I$6:$I$167,$A$6:$A$167,A162,$B$6:$B$167,B162,$C$6:$C$167,C162)</x:f>
        <x:v>0.23062263760670823</x:v>
      </x:c>
      <x:c r="K162" s="2" t="str">
        <x:v>April 2026</x:v>
      </x:c>
      <x:c r="L162" s="22"/>
      <x:c r="M162" s="2" t="str">
        <x:v>https://datawrapper.dwcdn.net/wQR5S/23/dataset.csv</x:v>
      </x:c>
    </x:row>
    <x:row r="163" ht="38" customHeight="1">
      <x:c r="A163" s="2" t="str">
        <x:v>Ramp</x:v>
      </x:c>
      <x:c r="B163" s="2" t="str">
        <x:v>Halves</x:v>
      </x:c>
      <x:c r="C163" s="2" t="str">
        <x:v>Higher half</x:v>
      </x:c>
      <x:c r="D163" s="2" t="str">
        <x:v>55</x:v>
      </x:c>
      <x:c r="E163" s="29" t="str">
        <x:v>Management of companies and enterprises</x:v>
      </x:c>
      <x:c r="F163" s="24" t="n">
        <x:v>0.5608</x:v>
      </x:c>
      <x:c r="G163" s="26" t="n">
        <x:v>14</x:v>
      </x:c>
      <x:c r="H163" s="2" t="str">
        <x:v>CES6055000001</x:v>
      </x:c>
      <x:c r="I163" s="20" t="n">
        <x:v>2597.9</x:v>
      </x:c>
      <x:c r="J163" s="24" t="n">
        <x:f>I163/SUMIFS($I$6:$I$167,$A$6:$A$167,A163,$B$6:$B$167,B163,$C$6:$C$167,C163)</x:f>
        <x:v>0.04645774382163927</x:v>
      </x:c>
      <x:c r="K163" s="2" t="str">
        <x:v>April 2026</x:v>
      </x:c>
      <x:c r="L163" s="22"/>
      <x:c r="M163" s="2" t="str">
        <x:v>https://datawrapper.dwcdn.net/wQR5S/23/dataset.csv</x:v>
      </x:c>
    </x:row>
    <x:row r="164" ht="38" customHeight="1">
      <x:c r="A164" s="2" t="str">
        <x:v>Ramp</x:v>
      </x:c>
      <x:c r="B164" s="2" t="str">
        <x:v>Halves</x:v>
      </x:c>
      <x:c r="C164" s="2" t="str">
        <x:v>Higher half</x:v>
      </x:c>
      <x:c r="D164" s="2" t="str">
        <x:v>22</x:v>
      </x:c>
      <x:c r="E164" s="29" t="str">
        <x:v>Utilities</x:v>
      </x:c>
      <x:c r="F164" s="24" t="n">
        <x:v>0.5720000000000001</x:v>
      </x:c>
      <x:c r="G164" s="26" t="n">
        <x:v>15</x:v>
      </x:c>
      <x:c r="H164" s="2" t="str">
        <x:v>CES4422000001</x:v>
      </x:c>
      <x:c r="I164" s="20" t="n">
        <x:v>569.0666666666667</x:v>
      </x:c>
      <x:c r="J164" s="24" t="n">
        <x:f>I164/SUMIFS($I$6:$I$167,$A$6:$A$167,A164,$B$6:$B$167,B164,$C$6:$C$167,C164)</x:f>
        <x:v>0.010176509264188071</x:v>
      </x:c>
      <x:c r="K164" s="2" t="str">
        <x:v>April 2026</x:v>
      </x:c>
      <x:c r="L164" s="22"/>
      <x:c r="M164" s="2" t="str">
        <x:v>https://datawrapper.dwcdn.net/wQR5S/23/dataset.csv</x:v>
      </x:c>
    </x:row>
    <x:row r="165" ht="38" customHeight="1">
      <x:c r="A165" s="2" t="str">
        <x:v>Ramp</x:v>
      </x:c>
      <x:c r="B165" s="2" t="str">
        <x:v>Halves</x:v>
      </x:c>
      <x:c r="C165" s="2" t="str">
        <x:v>Higher half</x:v>
      </x:c>
      <x:c r="D165" s="2" t="str">
        <x:v>54</x:v>
      </x:c>
      <x:c r="E165" s="29" t="str">
        <x:v>Professional, scientific, and technical services</x:v>
      </x:c>
      <x:c r="F165" s="24" t="n">
        <x:v>0.6557999999999999</x:v>
      </x:c>
      <x:c r="G165" s="26" t="n">
        <x:v>16</x:v>
      </x:c>
      <x:c r="H165" s="2" t="str">
        <x:v>CES6054000001</x:v>
      </x:c>
      <x:c r="I165" s="20" t="n">
        <x:v>10719.166666666666</x:v>
      </x:c>
      <x:c r="J165" s="24" t="n">
        <x:f>I165/SUMIFS($I$6:$I$167,$A$6:$A$167,A165,$B$6:$B$167,B165,$C$6:$C$167,C165)</x:f>
        <x:v>0.1916887867052061</x:v>
      </x:c>
      <x:c r="K165" s="2" t="str">
        <x:v>April 2026</x:v>
      </x:c>
      <x:c r="L165" s="22"/>
      <x:c r="M165" s="2" t="str">
        <x:v>https://datawrapper.dwcdn.net/wQR5S/23/dataset.csv</x:v>
      </x:c>
    </x:row>
    <x:row r="166" ht="38" customHeight="1">
      <x:c r="A166" s="2" t="str">
        <x:v>Ramp</x:v>
      </x:c>
      <x:c r="B166" s="2" t="str">
        <x:v>Halves</x:v>
      </x:c>
      <x:c r="C166" s="2" t="str">
        <x:v>Higher half</x:v>
      </x:c>
      <x:c r="D166" s="2" t="str">
        <x:v>52</x:v>
      </x:c>
      <x:c r="E166" s="29" t="str">
        <x:v>Finance and insurance</x:v>
      </x:c>
      <x:c r="F166" s="24" t="n">
        <x:v>0.6807</x:v>
      </x:c>
      <x:c r="G166" s="26" t="n">
        <x:v>17</x:v>
      </x:c>
      <x:c r="H166" s="2" t="str">
        <x:v>CES5552000001</x:v>
      </x:c>
      <x:c r="I166" s="20" t="n">
        <x:v>6710.099999999999</x:v>
      </x:c>
      <x:c r="J166" s="24" t="n">
        <x:f>I166/SUMIFS($I$6:$I$167,$A$6:$A$167,A166,$B$6:$B$167,B166,$C$6:$C$167,C166)</x:f>
        <x:v>0.11999542200145566</x:v>
      </x:c>
      <x:c r="K166" s="2" t="str">
        <x:v>April 2026</x:v>
      </x:c>
      <x:c r="L166" s="22"/>
      <x:c r="M166" s="2" t="str">
        <x:v>https://datawrapper.dwcdn.net/wQR5S/23/dataset.csv</x:v>
      </x:c>
    </x:row>
    <x:row r="167" ht="38" customHeight="1">
      <x:c r="A167" s="2" t="str">
        <x:v>Ramp</x:v>
      </x:c>
      <x:c r="B167" s="2" t="str">
        <x:v>Halves</x:v>
      </x:c>
      <x:c r="C167" s="2" t="str">
        <x:v>Higher half</x:v>
      </x:c>
      <x:c r="D167" s="2" t="str">
        <x:v>51</x:v>
      </x:c>
      <x:c r="E167" s="29" t="str">
        <x:v>Information</x:v>
      </x:c>
      <x:c r="F167" s="24" t="n">
        <x:v>0.7720999999999999</x:v>
      </x:c>
      <x:c r="G167" s="26" t="n">
        <x:v>18</x:v>
      </x:c>
      <x:c r="H167" s="2" t="str">
        <x:v>CES5000000001</x:v>
      </x:c>
      <x:c r="I167" s="20" t="n">
        <x:v>3052.6666666666665</x:v>
      </x:c>
      <x:c r="J167" s="24" t="n">
        <x:f>I167/SUMIFS($I$6:$I$167,$A$6:$A$167,A167,$B$6:$B$167,B167,$C$6:$C$167,C167)</x:f>
        <x:v>0.054590248267006994</x:v>
      </x:c>
      <x:c r="K167" s="2" t="str">
        <x:v>April 2026</x:v>
      </x:c>
      <x:c r="L167" s="22"/>
      <x:c r="M167" s="2" t="str">
        <x:v>https://datawrapper.dwcdn.net/wQR5S/23/dataset.csv</x:v>
      </x:c>
    </x:row>
  </x:sheetData>
  <x:pageMargins left="0.7" right="0.7" top="0.75" bottom="0.75" header="0.3" footer="0.3"/>
  <x:tableParts count="1">
    <x:tablePart xmlns:r="http://schemas.openxmlformats.org/officeDocument/2006/relationships" r:id="R37fdc659af6d4650"/>
  </x:tableParts>
</x:worksheet>
</file>

<file path=xl/worksheets/sheet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5" hidden="0" customWidth="1"/>
    <x:col min="2" max="2" width="13" hidden="0" customWidth="1"/>
    <x:col min="3" max="3" width="48" hidden="0" customWidth="1"/>
    <x:col min="4" max="4" width="24" hidden="0" customWidth="1"/>
    <x:col min="5" max="5" width="24" hidden="0" customWidth="1"/>
    <x:col min="6" max="6" width="14" hidden="0" customWidth="1"/>
    <x:col min="7" max="7" width="13" hidden="0" customWidth="1"/>
    <x:col min="8" max="8" width="65" hidden="0" customWidth="1"/>
  </x:cols>
  <x:sheetData>
    <x:row r="1" ht="30" customHeight="1">
      <x:c r="A1" s="4" t="str">
        <x:v>Industry payrolls</x:v>
      </x:c>
      <x:c r="B1" s="5"/>
      <x:c r="C1" s="5"/>
      <x:c r="D1" s="5"/>
      <x:c r="E1" s="5"/>
      <x:c r="F1" s="5"/>
      <x:c r="G1" s="5"/>
      <x:c r="H1" s="5"/>
    </x:row>
    <x:row r="2" ht="24" customHeight="1">
      <x:c r="A2" s="6" t="str">
        <x:v>BLS CES seasonally adjusted private payroll jobs, January 2023–August 2026. No imputed observations.</x:v>
      </x:c>
      <x:c r="B2" s="2"/>
      <x:c r="C2" s="2"/>
      <x:c r="D2" s="2"/>
      <x:c r="E2" s="2"/>
      <x:c r="F2" s="2"/>
      <x:c r="G2" s="2"/>
      <x:c r="H2" s="2"/>
    </x:row>
    <x:row r="3" ht="24" customHeight="1">
      <x:c r="A3" s="2"/>
      <x:c r="B3" s="2"/>
      <x:c r="C3" s="2"/>
      <x:c r="D3" s="2"/>
      <x:c r="E3" s="2"/>
      <x:c r="F3" s="2"/>
      <x:c r="G3" s="2"/>
      <x:c r="H3" s="2"/>
    </x:row>
    <x:row r="4" ht="24" customHeight="1">
      <x:c r="A4" s="2"/>
      <x:c r="B4" s="2"/>
      <x:c r="C4" s="2"/>
      <x:c r="D4" s="2"/>
      <x:c r="E4" s="2"/>
      <x:c r="F4" s="2"/>
      <x:c r="G4" s="2"/>
      <x:c r="H4" s="2"/>
    </x:row>
    <x:row r="5" ht="44" customHeight="1">
      <x:c r="A5" s="16" t="str">
        <x:v>Month</x:v>
      </x:c>
      <x:c r="B5" s="17" t="str">
        <x:v>NAICS</x:v>
      </x:c>
      <x:c r="C5" s="17" t="str">
        <x:v>Industry</x:v>
      </x:c>
      <x:c r="D5" s="17" t="str">
        <x:v>CES series ID</x:v>
      </x:c>
      <x:c r="E5" s="17" t="str">
        <x:v>Payroll jobs (thousands)</x:v>
      </x:c>
      <x:c r="F5" s="17" t="str">
        <x:v>Preliminary</x:v>
      </x:c>
      <x:c r="G5" s="17" t="str">
        <x:v>Quarter</x:v>
      </x:c>
      <x:c r="H5" s="18" t="str">
        <x:v>Employment source URL</x:v>
      </x:c>
    </x:row>
    <x:row r="6" ht="38" customHeight="1">
      <x:c r="A6" s="28" t="n">
        <x:v>44927</x:v>
      </x:c>
      <x:c r="B6" s="2" t="str">
        <x:v>21</x:v>
      </x:c>
      <x:c r="C6" s="29" t="str">
        <x:v>Mining, quarrying, and oil and gas extraction</x:v>
      </x:c>
      <x:c r="D6" s="2" t="str">
        <x:v>CES1021000001</x:v>
      </x:c>
      <x:c r="E6" s="20" t="n">
        <x:v>588.9</x:v>
      </x:c>
      <x:c r="F6" s="7" t="b">
        <x:v>0</x:v>
      </x:c>
      <x:c r="G6" s="2" t="str">
        <x:v>2023Q1</x:v>
      </x:c>
      <x:c r="H6" s="2" t="str">
        <x:v>https://api.bls.gov/publicAPI/v2/timeseries/data/</x:v>
      </x:c>
    </x:row>
    <x:row r="7" ht="38" customHeight="1">
      <x:c r="A7" s="28" t="n">
        <x:v>44927</x:v>
      </x:c>
      <x:c r="B7" s="2" t="str">
        <x:v>22</x:v>
      </x:c>
      <x:c r="C7" s="29" t="str">
        <x:v>Utilities</x:v>
      </x:c>
      <x:c r="D7" s="2" t="str">
        <x:v>CES4422000001</x:v>
      </x:c>
      <x:c r="E7" s="20" t="n">
        <x:v>567.9</x:v>
      </x:c>
      <x:c r="F7" s="7" t="b">
        <x:v>0</x:v>
      </x:c>
      <x:c r="G7" s="2" t="str">
        <x:v>2023Q1</x:v>
      </x:c>
      <x:c r="H7" s="2" t="str">
        <x:v>https://api.bls.gov/publicAPI/v2/timeseries/data/</x:v>
      </x:c>
    </x:row>
    <x:row r="8" ht="38" customHeight="1">
      <x:c r="A8" s="28" t="n">
        <x:v>44927</x:v>
      </x:c>
      <x:c r="B8" s="2" t="str">
        <x:v>23</x:v>
      </x:c>
      <x:c r="C8" s="29" t="str">
        <x:v>Construction</x:v>
      </x:c>
      <x:c r="D8" s="2" t="str">
        <x:v>CES2000000001</x:v>
      </x:c>
      <x:c r="E8" s="20" t="n">
        <x:v>7932</x:v>
      </x:c>
      <x:c r="F8" s="7" t="b">
        <x:v>0</x:v>
      </x:c>
      <x:c r="G8" s="2" t="str">
        <x:v>2023Q1</x:v>
      </x:c>
      <x:c r="H8" s="2" t="str">
        <x:v>https://api.bls.gov/publicAPI/v2/timeseries/data/</x:v>
      </x:c>
    </x:row>
    <x:row r="9" ht="38" customHeight="1">
      <x:c r="A9" s="28" t="n">
        <x:v>44927</x:v>
      </x:c>
      <x:c r="B9" s="2" t="str">
        <x:v>31-33</x:v>
      </x:c>
      <x:c r="C9" s="29" t="str">
        <x:v>Manufacturing</x:v>
      </x:c>
      <x:c r="D9" s="2" t="str">
        <x:v>CES3000000001</x:v>
      </x:c>
      <x:c r="E9" s="20" t="n">
        <x:v>12903</x:v>
      </x:c>
      <x:c r="F9" s="7" t="b">
        <x:v>0</x:v>
      </x:c>
      <x:c r="G9" s="2" t="str">
        <x:v>2023Q1</x:v>
      </x:c>
      <x:c r="H9" s="2" t="str">
        <x:v>https://api.bls.gov/publicAPI/v2/timeseries/data/</x:v>
      </x:c>
    </x:row>
    <x:row r="10" ht="38" customHeight="1">
      <x:c r="A10" s="28" t="n">
        <x:v>44927</x:v>
      </x:c>
      <x:c r="B10" s="2" t="str">
        <x:v>42</x:v>
      </x:c>
      <x:c r="C10" s="29" t="str">
        <x:v>Wholesale trade</x:v>
      </x:c>
      <x:c r="D10" s="2" t="str">
        <x:v>CES4142000001</x:v>
      </x:c>
      <x:c r="E10" s="20" t="n">
        <x:v>6073.4</x:v>
      </x:c>
      <x:c r="F10" s="7" t="b">
        <x:v>0</x:v>
      </x:c>
      <x:c r="G10" s="2" t="str">
        <x:v>2023Q1</x:v>
      </x:c>
      <x:c r="H10" s="2" t="str">
        <x:v>https://api.bls.gov/publicAPI/v2/timeseries/data/</x:v>
      </x:c>
    </x:row>
    <x:row r="11" ht="38" customHeight="1">
      <x:c r="A11" s="28" t="n">
        <x:v>44927</x:v>
      </x:c>
      <x:c r="B11" s="2" t="str">
        <x:v>44-45</x:v>
      </x:c>
      <x:c r="C11" s="29" t="str">
        <x:v>Retail trade</x:v>
      </x:c>
      <x:c r="D11" s="2" t="str">
        <x:v>CES4200000001</x:v>
      </x:c>
      <x:c r="E11" s="20" t="n">
        <x:v>15551.3</x:v>
      </x:c>
      <x:c r="F11" s="7" t="b">
        <x:v>0</x:v>
      </x:c>
      <x:c r="G11" s="2" t="str">
        <x:v>2023Q1</x:v>
      </x:c>
      <x:c r="H11" s="2" t="str">
        <x:v>https://api.bls.gov/publicAPI/v2/timeseries/data/</x:v>
      </x:c>
    </x:row>
    <x:row r="12" ht="38" customHeight="1">
      <x:c r="A12" s="28" t="n">
        <x:v>44927</x:v>
      </x:c>
      <x:c r="B12" s="2" t="str">
        <x:v>48-49</x:v>
      </x:c>
      <x:c r="C12" s="29" t="str">
        <x:v>Transportation and warehousing</x:v>
      </x:c>
      <x:c r="D12" s="2" t="str">
        <x:v>CES4300000001</x:v>
      </x:c>
      <x:c r="E12" s="20" t="n">
        <x:v>6614.3</x:v>
      </x:c>
      <x:c r="F12" s="7" t="b">
        <x:v>0</x:v>
      </x:c>
      <x:c r="G12" s="2" t="str">
        <x:v>2023Q1</x:v>
      </x:c>
      <x:c r="H12" s="2" t="str">
        <x:v>https://api.bls.gov/publicAPI/v2/timeseries/data/</x:v>
      </x:c>
    </x:row>
    <x:row r="13" ht="38" customHeight="1">
      <x:c r="A13" s="28" t="n">
        <x:v>44927</x:v>
      </x:c>
      <x:c r="B13" s="2" t="str">
        <x:v>51</x:v>
      </x:c>
      <x:c r="C13" s="29" t="str">
        <x:v>Information</x:v>
      </x:c>
      <x:c r="D13" s="2" t="str">
        <x:v>CES5000000001</x:v>
      </x:c>
      <x:c r="E13" s="20" t="n">
        <x:v>3061</x:v>
      </x:c>
      <x:c r="F13" s="7" t="b">
        <x:v>0</x:v>
      </x:c>
      <x:c r="G13" s="2" t="str">
        <x:v>2023Q1</x:v>
      </x:c>
      <x:c r="H13" s="2" t="str">
        <x:v>https://api.bls.gov/publicAPI/v2/timeseries/data/</x:v>
      </x:c>
    </x:row>
    <x:row r="14" ht="38" customHeight="1">
      <x:c r="A14" s="28" t="n">
        <x:v>44927</x:v>
      </x:c>
      <x:c r="B14" s="2" t="str">
        <x:v>52</x:v>
      </x:c>
      <x:c r="C14" s="29" t="str">
        <x:v>Finance and insurance</x:v>
      </x:c>
      <x:c r="D14" s="2" t="str">
        <x:v>CES5552000001</x:v>
      </x:c>
      <x:c r="E14" s="20" t="n">
        <x:v>6715.2</x:v>
      </x:c>
      <x:c r="F14" s="7" t="b">
        <x:v>0</x:v>
      </x:c>
      <x:c r="G14" s="2" t="str">
        <x:v>2023Q1</x:v>
      </x:c>
      <x:c r="H14" s="2" t="str">
        <x:v>https://api.bls.gov/publicAPI/v2/timeseries/data/</x:v>
      </x:c>
    </x:row>
    <x:row r="15" ht="38" customHeight="1">
      <x:c r="A15" s="28" t="n">
        <x:v>44927</x:v>
      </x:c>
      <x:c r="B15" s="2" t="str">
        <x:v>53</x:v>
      </x:c>
      <x:c r="C15" s="29" t="str">
        <x:v>Real estate and rental and leasing</x:v>
      </x:c>
      <x:c r="D15" s="2" t="str">
        <x:v>CES5553000001</x:v>
      </x:c>
      <x:c r="E15" s="20" t="n">
        <x:v>2428.3</x:v>
      </x:c>
      <x:c r="F15" s="7" t="b">
        <x:v>0</x:v>
      </x:c>
      <x:c r="G15" s="2" t="str">
        <x:v>2023Q1</x:v>
      </x:c>
      <x:c r="H15" s="2" t="str">
        <x:v>https://api.bls.gov/publicAPI/v2/timeseries/data/</x:v>
      </x:c>
    </x:row>
    <x:row r="16" ht="38" customHeight="1">
      <x:c r="A16" s="28" t="n">
        <x:v>44927</x:v>
      </x:c>
      <x:c r="B16" s="2" t="str">
        <x:v>54</x:v>
      </x:c>
      <x:c r="C16" s="29" t="str">
        <x:v>Professional, scientific, and technical services</x:v>
      </x:c>
      <x:c r="D16" s="2" t="str">
        <x:v>CES6054000001</x:v>
      </x:c>
      <x:c r="E16" s="20" t="n">
        <x:v>10693.4</x:v>
      </x:c>
      <x:c r="F16" s="7" t="b">
        <x:v>0</x:v>
      </x:c>
      <x:c r="G16" s="2" t="str">
        <x:v>2023Q1</x:v>
      </x:c>
      <x:c r="H16" s="2" t="str">
        <x:v>https://api.bls.gov/publicAPI/v2/timeseries/data/</x:v>
      </x:c>
    </x:row>
    <x:row r="17" ht="38" customHeight="1">
      <x:c r="A17" s="28" t="n">
        <x:v>44927</x:v>
      </x:c>
      <x:c r="B17" s="2" t="str">
        <x:v>55</x:v>
      </x:c>
      <x:c r="C17" s="29" t="str">
        <x:v>Management of companies and enterprises</x:v>
      </x:c>
      <x:c r="D17" s="2" t="str">
        <x:v>CES6055000001</x:v>
      </x:c>
      <x:c r="E17" s="20" t="n">
        <x:v>2595</x:v>
      </x:c>
      <x:c r="F17" s="7" t="b">
        <x:v>0</x:v>
      </x:c>
      <x:c r="G17" s="2" t="str">
        <x:v>2023Q1</x:v>
      </x:c>
      <x:c r="H17" s="2" t="str">
        <x:v>https://api.bls.gov/publicAPI/v2/timeseries/data/</x:v>
      </x:c>
    </x:row>
    <x:row r="18" ht="38" customHeight="1">
      <x:c r="A18" s="28" t="n">
        <x:v>44927</x:v>
      </x:c>
      <x:c r="B18" s="2" t="str">
        <x:v>56</x:v>
      </x:c>
      <x:c r="C18" s="29" t="str">
        <x:v>Administrative, support, and waste services</x:v>
      </x:c>
      <x:c r="D18" s="2" t="str">
        <x:v>CES6056000001</x:v>
      </x:c>
      <x:c r="E18" s="20" t="n">
        <x:v>9502.5</x:v>
      </x:c>
      <x:c r="F18" s="7" t="b">
        <x:v>0</x:v>
      </x:c>
      <x:c r="G18" s="2" t="str">
        <x:v>2023Q1</x:v>
      </x:c>
      <x:c r="H18" s="2" t="str">
        <x:v>https://api.bls.gov/publicAPI/v2/timeseries/data/</x:v>
      </x:c>
    </x:row>
    <x:row r="19" ht="38" customHeight="1">
      <x:c r="A19" s="28" t="n">
        <x:v>44927</x:v>
      </x:c>
      <x:c r="B19" s="2" t="str">
        <x:v>61</x:v>
      </x:c>
      <x:c r="C19" s="29" t="str">
        <x:v>Private educational services</x:v>
      </x:c>
      <x:c r="D19" s="2" t="str">
        <x:v>CES6561000001</x:v>
      </x:c>
      <x:c r="E19" s="20" t="n">
        <x:v>3778.9</x:v>
      </x:c>
      <x:c r="F19" s="7" t="b">
        <x:v>0</x:v>
      </x:c>
      <x:c r="G19" s="2" t="str">
        <x:v>2023Q1</x:v>
      </x:c>
      <x:c r="H19" s="2" t="str">
        <x:v>https://api.bls.gov/publicAPI/v2/timeseries/data/</x:v>
      </x:c>
    </x:row>
    <x:row r="20" ht="38" customHeight="1">
      <x:c r="A20" s="28" t="n">
        <x:v>44927</x:v>
      </x:c>
      <x:c r="B20" s="2" t="str">
        <x:v>62</x:v>
      </x:c>
      <x:c r="C20" s="29" t="str">
        <x:v>Health care and social assistance</x:v>
      </x:c>
      <x:c r="D20" s="2" t="str">
        <x:v>CES6562000001</x:v>
      </x:c>
      <x:c r="E20" s="20" t="n">
        <x:v>21103.6</x:v>
      </x:c>
      <x:c r="F20" s="7" t="b">
        <x:v>0</x:v>
      </x:c>
      <x:c r="G20" s="2" t="str">
        <x:v>2023Q1</x:v>
      </x:c>
      <x:c r="H20" s="2" t="str">
        <x:v>https://api.bls.gov/publicAPI/v2/timeseries/data/</x:v>
      </x:c>
    </x:row>
    <x:row r="21" ht="38" customHeight="1">
      <x:c r="A21" s="28" t="n">
        <x:v>44927</x:v>
      </x:c>
      <x:c r="B21" s="2" t="str">
        <x:v>71</x:v>
      </x:c>
      <x:c r="C21" s="29" t="str">
        <x:v>Arts, entertainment, and recreation</x:v>
      </x:c>
      <x:c r="D21" s="2" t="str">
        <x:v>CES7071000001</x:v>
      </x:c>
      <x:c r="E21" s="20" t="n">
        <x:v>2422.8</x:v>
      </x:c>
      <x:c r="F21" s="7" t="b">
        <x:v>0</x:v>
      </x:c>
      <x:c r="G21" s="2" t="str">
        <x:v>2023Q1</x:v>
      </x:c>
      <x:c r="H21" s="2" t="str">
        <x:v>https://api.bls.gov/publicAPI/v2/timeseries/data/</x:v>
      </x:c>
    </x:row>
    <x:row r="22" ht="38" customHeight="1">
      <x:c r="A22" s="28" t="n">
        <x:v>44927</x:v>
      </x:c>
      <x:c r="B22" s="2" t="str">
        <x:v>72</x:v>
      </x:c>
      <x:c r="C22" s="29" t="str">
        <x:v>Accommodation and food services</x:v>
      </x:c>
      <x:c r="D22" s="2" t="str">
        <x:v>CES7072000001</x:v>
      </x:c>
      <x:c r="E22" s="20" t="n">
        <x:v>13929</x:v>
      </x:c>
      <x:c r="F22" s="7" t="b">
        <x:v>0</x:v>
      </x:c>
      <x:c r="G22" s="2" t="str">
        <x:v>2023Q1</x:v>
      </x:c>
      <x:c r="H22" s="2" t="str">
        <x:v>https://api.bls.gov/publicAPI/v2/timeseries/data/</x:v>
      </x:c>
    </x:row>
    <x:row r="23" ht="38" customHeight="1">
      <x:c r="A23" s="28" t="n">
        <x:v>44927</x:v>
      </x:c>
      <x:c r="B23" s="2" t="str">
        <x:v>81</x:v>
      </x:c>
      <x:c r="C23" s="29" t="str">
        <x:v>Other services, except government</x:v>
      </x:c>
      <x:c r="D23" s="2" t="str">
        <x:v>CES8000000001</x:v>
      </x:c>
      <x:c r="E23" s="20" t="n">
        <x:v>5785</x:v>
      </x:c>
      <x:c r="F23" s="7" t="b">
        <x:v>0</x:v>
      </x:c>
      <x:c r="G23" s="2" t="str">
        <x:v>2023Q1</x:v>
      </x:c>
      <x:c r="H23" s="2" t="str">
        <x:v>https://api.bls.gov/publicAPI/v2/timeseries/data/</x:v>
      </x:c>
    </x:row>
    <x:row r="24" ht="38" customHeight="1">
      <x:c r="A24" s="28" t="n">
        <x:v>44958</x:v>
      </x:c>
      <x:c r="B24" s="2" t="str">
        <x:v>21</x:v>
      </x:c>
      <x:c r="C24" s="29" t="str">
        <x:v>Mining, quarrying, and oil and gas extraction</x:v>
      </x:c>
      <x:c r="D24" s="2" t="str">
        <x:v>CES1021000001</x:v>
      </x:c>
      <x:c r="E24" s="20" t="n">
        <x:v>588.9</x:v>
      </x:c>
      <x:c r="F24" s="7" t="b">
        <x:v>0</x:v>
      </x:c>
      <x:c r="G24" s="2" t="str">
        <x:v>2023Q1</x:v>
      </x:c>
      <x:c r="H24" s="2" t="str">
        <x:v>https://api.bls.gov/publicAPI/v2/timeseries/data/</x:v>
      </x:c>
    </x:row>
    <x:row r="25" ht="38" customHeight="1">
      <x:c r="A25" s="28" t="n">
        <x:v>44958</x:v>
      </x:c>
      <x:c r="B25" s="2" t="str">
        <x:v>22</x:v>
      </x:c>
      <x:c r="C25" s="29" t="str">
        <x:v>Utilities</x:v>
      </x:c>
      <x:c r="D25" s="2" t="str">
        <x:v>CES4422000001</x:v>
      </x:c>
      <x:c r="E25" s="20" t="n">
        <x:v>568.1</x:v>
      </x:c>
      <x:c r="F25" s="7" t="b">
        <x:v>0</x:v>
      </x:c>
      <x:c r="G25" s="2" t="str">
        <x:v>2023Q1</x:v>
      </x:c>
      <x:c r="H25" s="2" t="str">
        <x:v>https://api.bls.gov/publicAPI/v2/timeseries/data/</x:v>
      </x:c>
    </x:row>
    <x:row r="26" ht="38" customHeight="1">
      <x:c r="A26" s="28" t="n">
        <x:v>44958</x:v>
      </x:c>
      <x:c r="B26" s="2" t="str">
        <x:v>23</x:v>
      </x:c>
      <x:c r="C26" s="29" t="str">
        <x:v>Construction</x:v>
      </x:c>
      <x:c r="D26" s="2" t="str">
        <x:v>CES2000000001</x:v>
      </x:c>
      <x:c r="E26" s="20" t="n">
        <x:v>7943</x:v>
      </x:c>
      <x:c r="F26" s="7" t="b">
        <x:v>0</x:v>
      </x:c>
      <x:c r="G26" s="2" t="str">
        <x:v>2023Q1</x:v>
      </x:c>
      <x:c r="H26" s="2" t="str">
        <x:v>https://api.bls.gov/publicAPI/v2/timeseries/data/</x:v>
      </x:c>
    </x:row>
    <x:row r="27" ht="38" customHeight="1">
      <x:c r="A27" s="28" t="n">
        <x:v>44958</x:v>
      </x:c>
      <x:c r="B27" s="2" t="str">
        <x:v>31-33</x:v>
      </x:c>
      <x:c r="C27" s="29" t="str">
        <x:v>Manufacturing</x:v>
      </x:c>
      <x:c r="D27" s="2" t="str">
        <x:v>CES3000000001</x:v>
      </x:c>
      <x:c r="E27" s="20" t="n">
        <x:v>12898</x:v>
      </x:c>
      <x:c r="F27" s="7" t="b">
        <x:v>0</x:v>
      </x:c>
      <x:c r="G27" s="2" t="str">
        <x:v>2023Q1</x:v>
      </x:c>
      <x:c r="H27" s="2" t="str">
        <x:v>https://api.bls.gov/publicAPI/v2/timeseries/data/</x:v>
      </x:c>
    </x:row>
    <x:row r="28" ht="38" customHeight="1">
      <x:c r="A28" s="28" t="n">
        <x:v>44958</x:v>
      </x:c>
      <x:c r="B28" s="2" t="str">
        <x:v>42</x:v>
      </x:c>
      <x:c r="C28" s="29" t="str">
        <x:v>Wholesale trade</x:v>
      </x:c>
      <x:c r="D28" s="2" t="str">
        <x:v>CES4142000001</x:v>
      </x:c>
      <x:c r="E28" s="20" t="n">
        <x:v>6089.7</x:v>
      </x:c>
      <x:c r="F28" s="7" t="b">
        <x:v>0</x:v>
      </x:c>
      <x:c r="G28" s="2" t="str">
        <x:v>2023Q1</x:v>
      </x:c>
      <x:c r="H28" s="2" t="str">
        <x:v>https://api.bls.gov/publicAPI/v2/timeseries/data/</x:v>
      </x:c>
    </x:row>
    <x:row r="29" ht="38" customHeight="1">
      <x:c r="A29" s="28" t="n">
        <x:v>44958</x:v>
      </x:c>
      <x:c r="B29" s="2" t="str">
        <x:v>44-45</x:v>
      </x:c>
      <x:c r="C29" s="29" t="str">
        <x:v>Retail trade</x:v>
      </x:c>
      <x:c r="D29" s="2" t="str">
        <x:v>CES4200000001</x:v>
      </x:c>
      <x:c r="E29" s="20" t="n">
        <x:v>15602.6</x:v>
      </x:c>
      <x:c r="F29" s="7" t="b">
        <x:v>0</x:v>
      </x:c>
      <x:c r="G29" s="2" t="str">
        <x:v>2023Q1</x:v>
      </x:c>
      <x:c r="H29" s="2" t="str">
        <x:v>https://api.bls.gov/publicAPI/v2/timeseries/data/</x:v>
      </x:c>
    </x:row>
    <x:row r="30" ht="38" customHeight="1">
      <x:c r="A30" s="28" t="n">
        <x:v>44958</x:v>
      </x:c>
      <x:c r="B30" s="2" t="str">
        <x:v>48-49</x:v>
      </x:c>
      <x:c r="C30" s="29" t="str">
        <x:v>Transportation and warehousing</x:v>
      </x:c>
      <x:c r="D30" s="2" t="str">
        <x:v>CES4300000001</x:v>
      </x:c>
      <x:c r="E30" s="20" t="n">
        <x:v>6584.9</x:v>
      </x:c>
      <x:c r="F30" s="7" t="b">
        <x:v>0</x:v>
      </x:c>
      <x:c r="G30" s="2" t="str">
        <x:v>2023Q1</x:v>
      </x:c>
      <x:c r="H30" s="2" t="str">
        <x:v>https://api.bls.gov/publicAPI/v2/timeseries/data/</x:v>
      </x:c>
    </x:row>
    <x:row r="31" ht="38" customHeight="1">
      <x:c r="A31" s="28" t="n">
        <x:v>44958</x:v>
      </x:c>
      <x:c r="B31" s="2" t="str">
        <x:v>51</x:v>
      </x:c>
      <x:c r="C31" s="29" t="str">
        <x:v>Information</x:v>
      </x:c>
      <x:c r="D31" s="2" t="str">
        <x:v>CES5000000001</x:v>
      </x:c>
      <x:c r="E31" s="20" t="n">
        <x:v>3048</x:v>
      </x:c>
      <x:c r="F31" s="7" t="b">
        <x:v>0</x:v>
      </x:c>
      <x:c r="G31" s="2" t="str">
        <x:v>2023Q1</x:v>
      </x:c>
      <x:c r="H31" s="2" t="str">
        <x:v>https://api.bls.gov/publicAPI/v2/timeseries/data/</x:v>
      </x:c>
    </x:row>
    <x:row r="32" ht="38" customHeight="1">
      <x:c r="A32" s="28" t="n">
        <x:v>44958</x:v>
      </x:c>
      <x:c r="B32" s="2" t="str">
        <x:v>52</x:v>
      </x:c>
      <x:c r="C32" s="29" t="str">
        <x:v>Finance and insurance</x:v>
      </x:c>
      <x:c r="D32" s="2" t="str">
        <x:v>CES5552000001</x:v>
      </x:c>
      <x:c r="E32" s="20" t="n">
        <x:v>6705.9</x:v>
      </x:c>
      <x:c r="F32" s="7" t="b">
        <x:v>0</x:v>
      </x:c>
      <x:c r="G32" s="2" t="str">
        <x:v>2023Q1</x:v>
      </x:c>
      <x:c r="H32" s="2" t="str">
        <x:v>https://api.bls.gov/publicAPI/v2/timeseries/data/</x:v>
      </x:c>
    </x:row>
    <x:row r="33" ht="38" customHeight="1">
      <x:c r="A33" s="28" t="n">
        <x:v>44958</x:v>
      </x:c>
      <x:c r="B33" s="2" t="str">
        <x:v>53</x:v>
      </x:c>
      <x:c r="C33" s="29" t="str">
        <x:v>Real estate and rental and leasing</x:v>
      </x:c>
      <x:c r="D33" s="2" t="str">
        <x:v>CES5553000001</x:v>
      </x:c>
      <x:c r="E33" s="20" t="n">
        <x:v>2445.7</x:v>
      </x:c>
      <x:c r="F33" s="7" t="b">
        <x:v>0</x:v>
      </x:c>
      <x:c r="G33" s="2" t="str">
        <x:v>2023Q1</x:v>
      </x:c>
      <x:c r="H33" s="2" t="str">
        <x:v>https://api.bls.gov/publicAPI/v2/timeseries/data/</x:v>
      </x:c>
    </x:row>
    <x:row r="34" ht="38" customHeight="1">
      <x:c r="A34" s="28" t="n">
        <x:v>44958</x:v>
      </x:c>
      <x:c r="B34" s="2" t="str">
        <x:v>54</x:v>
      </x:c>
      <x:c r="C34" s="29" t="str">
        <x:v>Professional, scientific, and technical services</x:v>
      </x:c>
      <x:c r="D34" s="2" t="str">
        <x:v>CES6054000001</x:v>
      </x:c>
      <x:c r="E34" s="20" t="n">
        <x:v>10725</x:v>
      </x:c>
      <x:c r="F34" s="7" t="b">
        <x:v>0</x:v>
      </x:c>
      <x:c r="G34" s="2" t="str">
        <x:v>2023Q1</x:v>
      </x:c>
      <x:c r="H34" s="2" t="str">
        <x:v>https://api.bls.gov/publicAPI/v2/timeseries/data/</x:v>
      </x:c>
    </x:row>
    <x:row r="35" ht="38" customHeight="1">
      <x:c r="A35" s="28" t="n">
        <x:v>44958</x:v>
      </x:c>
      <x:c r="B35" s="2" t="str">
        <x:v>55</x:v>
      </x:c>
      <x:c r="C35" s="29" t="str">
        <x:v>Management of companies and enterprises</x:v>
      </x:c>
      <x:c r="D35" s="2" t="str">
        <x:v>CES6055000001</x:v>
      </x:c>
      <x:c r="E35" s="20" t="n">
        <x:v>2598.1</x:v>
      </x:c>
      <x:c r="F35" s="7" t="b">
        <x:v>0</x:v>
      </x:c>
      <x:c r="G35" s="2" t="str">
        <x:v>2023Q1</x:v>
      </x:c>
      <x:c r="H35" s="2" t="str">
        <x:v>https://api.bls.gov/publicAPI/v2/timeseries/data/</x:v>
      </x:c>
    </x:row>
    <x:row r="36" ht="38" customHeight="1">
      <x:c r="A36" s="28" t="n">
        <x:v>44958</x:v>
      </x:c>
      <x:c r="B36" s="2" t="str">
        <x:v>56</x:v>
      </x:c>
      <x:c r="C36" s="29" t="str">
        <x:v>Administrative, support, and waste services</x:v>
      </x:c>
      <x:c r="D36" s="2" t="str">
        <x:v>CES6056000001</x:v>
      </x:c>
      <x:c r="E36" s="20" t="n">
        <x:v>9513.4</x:v>
      </x:c>
      <x:c r="F36" s="7" t="b">
        <x:v>0</x:v>
      </x:c>
      <x:c r="G36" s="2" t="str">
        <x:v>2023Q1</x:v>
      </x:c>
      <x:c r="H36" s="2" t="str">
        <x:v>https://api.bls.gov/publicAPI/v2/timeseries/data/</x:v>
      </x:c>
    </x:row>
    <x:row r="37" ht="38" customHeight="1">
      <x:c r="A37" s="28" t="n">
        <x:v>44958</x:v>
      </x:c>
      <x:c r="B37" s="2" t="str">
        <x:v>61</x:v>
      </x:c>
      <x:c r="C37" s="29" t="str">
        <x:v>Private educational services</x:v>
      </x:c>
      <x:c r="D37" s="2" t="str">
        <x:v>CES6561000001</x:v>
      </x:c>
      <x:c r="E37" s="20" t="n">
        <x:v>3785.9</x:v>
      </x:c>
      <x:c r="F37" s="7" t="b">
        <x:v>0</x:v>
      </x:c>
      <x:c r="G37" s="2" t="str">
        <x:v>2023Q1</x:v>
      </x:c>
      <x:c r="H37" s="2" t="str">
        <x:v>https://api.bls.gov/publicAPI/v2/timeseries/data/</x:v>
      </x:c>
    </x:row>
    <x:row r="38" ht="38" customHeight="1">
      <x:c r="A38" s="28" t="n">
        <x:v>44958</x:v>
      </x:c>
      <x:c r="B38" s="2" t="str">
        <x:v>62</x:v>
      </x:c>
      <x:c r="C38" s="29" t="str">
        <x:v>Health care and social assistance</x:v>
      </x:c>
      <x:c r="D38" s="2" t="str">
        <x:v>CES6562000001</x:v>
      </x:c>
      <x:c r="E38" s="20" t="n">
        <x:v>21170.1</x:v>
      </x:c>
      <x:c r="F38" s="7" t="b">
        <x:v>0</x:v>
      </x:c>
      <x:c r="G38" s="2" t="str">
        <x:v>2023Q1</x:v>
      </x:c>
      <x:c r="H38" s="2" t="str">
        <x:v>https://api.bls.gov/publicAPI/v2/timeseries/data/</x:v>
      </x:c>
    </x:row>
    <x:row r="39" ht="38" customHeight="1">
      <x:c r="A39" s="28" t="n">
        <x:v>44958</x:v>
      </x:c>
      <x:c r="B39" s="2" t="str">
        <x:v>71</x:v>
      </x:c>
      <x:c r="C39" s="29" t="str">
        <x:v>Arts, entertainment, and recreation</x:v>
      </x:c>
      <x:c r="D39" s="2" t="str">
        <x:v>CES7071000001</x:v>
      </x:c>
      <x:c r="E39" s="20" t="n">
        <x:v>2449.9</x:v>
      </x:c>
      <x:c r="F39" s="7" t="b">
        <x:v>0</x:v>
      </x:c>
      <x:c r="G39" s="2" t="str">
        <x:v>2023Q1</x:v>
      </x:c>
      <x:c r="H39" s="2" t="str">
        <x:v>https://api.bls.gov/publicAPI/v2/timeseries/data/</x:v>
      </x:c>
    </x:row>
    <x:row r="40" ht="38" customHeight="1">
      <x:c r="A40" s="28" t="n">
        <x:v>44958</x:v>
      </x:c>
      <x:c r="B40" s="2" t="str">
        <x:v>72</x:v>
      </x:c>
      <x:c r="C40" s="29" t="str">
        <x:v>Accommodation and food services</x:v>
      </x:c>
      <x:c r="D40" s="2" t="str">
        <x:v>CES7072000001</x:v>
      </x:c>
      <x:c r="E40" s="20" t="n">
        <x:v>13981.3</x:v>
      </x:c>
      <x:c r="F40" s="7" t="b">
        <x:v>0</x:v>
      </x:c>
      <x:c r="G40" s="2" t="str">
        <x:v>2023Q1</x:v>
      </x:c>
      <x:c r="H40" s="2" t="str">
        <x:v>https://api.bls.gov/publicAPI/v2/timeseries/data/</x:v>
      </x:c>
    </x:row>
    <x:row r="41" ht="38" customHeight="1">
      <x:c r="A41" s="28" t="n">
        <x:v>44958</x:v>
      </x:c>
      <x:c r="B41" s="2" t="str">
        <x:v>81</x:v>
      </x:c>
      <x:c r="C41" s="29" t="str">
        <x:v>Other services, except government</x:v>
      </x:c>
      <x:c r="D41" s="2" t="str">
        <x:v>CES8000000001</x:v>
      </x:c>
      <x:c r="E41" s="20" t="n">
        <x:v>5785</x:v>
      </x:c>
      <x:c r="F41" s="7" t="b">
        <x:v>0</x:v>
      </x:c>
      <x:c r="G41" s="2" t="str">
        <x:v>2023Q1</x:v>
      </x:c>
      <x:c r="H41" s="2" t="str">
        <x:v>https://api.bls.gov/publicAPI/v2/timeseries/data/</x:v>
      </x:c>
    </x:row>
    <x:row r="42" ht="38" customHeight="1">
      <x:c r="A42" s="28" t="n">
        <x:v>44986</x:v>
      </x:c>
      <x:c r="B42" s="2" t="str">
        <x:v>21</x:v>
      </x:c>
      <x:c r="C42" s="29" t="str">
        <x:v>Mining, quarrying, and oil and gas extraction</x:v>
      </x:c>
      <x:c r="D42" s="2" t="str">
        <x:v>CES1021000001</x:v>
      </x:c>
      <x:c r="E42" s="20" t="n">
        <x:v>589</x:v>
      </x:c>
      <x:c r="F42" s="7" t="b">
        <x:v>0</x:v>
      </x:c>
      <x:c r="G42" s="2" t="str">
        <x:v>2023Q1</x:v>
      </x:c>
      <x:c r="H42" s="2" t="str">
        <x:v>https://api.bls.gov/publicAPI/v2/timeseries/data/</x:v>
      </x:c>
    </x:row>
    <x:row r="43" ht="38" customHeight="1">
      <x:c r="A43" s="28" t="n">
        <x:v>44986</x:v>
      </x:c>
      <x:c r="B43" s="2" t="str">
        <x:v>22</x:v>
      </x:c>
      <x:c r="C43" s="29" t="str">
        <x:v>Utilities</x:v>
      </x:c>
      <x:c r="D43" s="2" t="str">
        <x:v>CES4422000001</x:v>
      </x:c>
      <x:c r="E43" s="20" t="n">
        <x:v>571.2</x:v>
      </x:c>
      <x:c r="F43" s="7" t="b">
        <x:v>0</x:v>
      </x:c>
      <x:c r="G43" s="2" t="str">
        <x:v>2023Q1</x:v>
      </x:c>
      <x:c r="H43" s="2" t="str">
        <x:v>https://api.bls.gov/publicAPI/v2/timeseries/data/</x:v>
      </x:c>
    </x:row>
    <x:row r="44" ht="38" customHeight="1">
      <x:c r="A44" s="28" t="n">
        <x:v>44986</x:v>
      </x:c>
      <x:c r="B44" s="2" t="str">
        <x:v>23</x:v>
      </x:c>
      <x:c r="C44" s="29" t="str">
        <x:v>Construction</x:v>
      </x:c>
      <x:c r="D44" s="2" t="str">
        <x:v>CES2000000001</x:v>
      </x:c>
      <x:c r="E44" s="20" t="n">
        <x:v>7926</x:v>
      </x:c>
      <x:c r="F44" s="7" t="b">
        <x:v>0</x:v>
      </x:c>
      <x:c r="G44" s="2" t="str">
        <x:v>2023Q1</x:v>
      </x:c>
      <x:c r="H44" s="2" t="str">
        <x:v>https://api.bls.gov/publicAPI/v2/timeseries/data/</x:v>
      </x:c>
    </x:row>
    <x:row r="45" ht="38" customHeight="1">
      <x:c r="A45" s="28" t="n">
        <x:v>44986</x:v>
      </x:c>
      <x:c r="B45" s="2" t="str">
        <x:v>31-33</x:v>
      </x:c>
      <x:c r="C45" s="29" t="str">
        <x:v>Manufacturing</x:v>
      </x:c>
      <x:c r="D45" s="2" t="str">
        <x:v>CES3000000001</x:v>
      </x:c>
      <x:c r="E45" s="20" t="n">
        <x:v>12888</x:v>
      </x:c>
      <x:c r="F45" s="7" t="b">
        <x:v>0</x:v>
      </x:c>
      <x:c r="G45" s="2" t="str">
        <x:v>2023Q1</x:v>
      </x:c>
      <x:c r="H45" s="2" t="str">
        <x:v>https://api.bls.gov/publicAPI/v2/timeseries/data/</x:v>
      </x:c>
    </x:row>
    <x:row r="46" ht="38" customHeight="1">
      <x:c r="A46" s="28" t="n">
        <x:v>44986</x:v>
      </x:c>
      <x:c r="B46" s="2" t="str">
        <x:v>42</x:v>
      </x:c>
      <x:c r="C46" s="29" t="str">
        <x:v>Wholesale trade</x:v>
      </x:c>
      <x:c r="D46" s="2" t="str">
        <x:v>CES4142000001</x:v>
      </x:c>
      <x:c r="E46" s="20" t="n">
        <x:v>6094.4</x:v>
      </x:c>
      <x:c r="F46" s="7" t="b">
        <x:v>0</x:v>
      </x:c>
      <x:c r="G46" s="2" t="str">
        <x:v>2023Q1</x:v>
      </x:c>
      <x:c r="H46" s="2" t="str">
        <x:v>https://api.bls.gov/publicAPI/v2/timeseries/data/</x:v>
      </x:c>
    </x:row>
    <x:row r="47" ht="38" customHeight="1">
      <x:c r="A47" s="28" t="n">
        <x:v>44986</x:v>
      </x:c>
      <x:c r="B47" s="2" t="str">
        <x:v>44-45</x:v>
      </x:c>
      <x:c r="C47" s="29" t="str">
        <x:v>Retail trade</x:v>
      </x:c>
      <x:c r="D47" s="2" t="str">
        <x:v>CES4200000001</x:v>
      </x:c>
      <x:c r="E47" s="20" t="n">
        <x:v>15562.8</x:v>
      </x:c>
      <x:c r="F47" s="7" t="b">
        <x:v>0</x:v>
      </x:c>
      <x:c r="G47" s="2" t="str">
        <x:v>2023Q1</x:v>
      </x:c>
      <x:c r="H47" s="2" t="str">
        <x:v>https://api.bls.gov/publicAPI/v2/timeseries/data/</x:v>
      </x:c>
    </x:row>
    <x:row r="48" ht="38" customHeight="1">
      <x:c r="A48" s="28" t="n">
        <x:v>44986</x:v>
      </x:c>
      <x:c r="B48" s="2" t="str">
        <x:v>48-49</x:v>
      </x:c>
      <x:c r="C48" s="29" t="str">
        <x:v>Transportation and warehousing</x:v>
      </x:c>
      <x:c r="D48" s="2" t="str">
        <x:v>CES4300000001</x:v>
      </x:c>
      <x:c r="E48" s="20" t="n">
        <x:v>6574.3</x:v>
      </x:c>
      <x:c r="F48" s="7" t="b">
        <x:v>0</x:v>
      </x:c>
      <x:c r="G48" s="2" t="str">
        <x:v>2023Q1</x:v>
      </x:c>
      <x:c r="H48" s="2" t="str">
        <x:v>https://api.bls.gov/publicAPI/v2/timeseries/data/</x:v>
      </x:c>
    </x:row>
    <x:row r="49" ht="38" customHeight="1">
      <x:c r="A49" s="28" t="n">
        <x:v>44986</x:v>
      </x:c>
      <x:c r="B49" s="2" t="str">
        <x:v>51</x:v>
      </x:c>
      <x:c r="C49" s="29" t="str">
        <x:v>Information</x:v>
      </x:c>
      <x:c r="D49" s="2" t="str">
        <x:v>CES5000000001</x:v>
      </x:c>
      <x:c r="E49" s="20" t="n">
        <x:v>3049</x:v>
      </x:c>
      <x:c r="F49" s="7" t="b">
        <x:v>0</x:v>
      </x:c>
      <x:c r="G49" s="2" t="str">
        <x:v>2023Q1</x:v>
      </x:c>
      <x:c r="H49" s="2" t="str">
        <x:v>https://api.bls.gov/publicAPI/v2/timeseries/data/</x:v>
      </x:c>
    </x:row>
    <x:row r="50" ht="38" customHeight="1">
      <x:c r="A50" s="28" t="n">
        <x:v>44986</x:v>
      </x:c>
      <x:c r="B50" s="2" t="str">
        <x:v>52</x:v>
      </x:c>
      <x:c r="C50" s="29" t="str">
        <x:v>Finance and insurance</x:v>
      </x:c>
      <x:c r="D50" s="2" t="str">
        <x:v>CES5552000001</x:v>
      </x:c>
      <x:c r="E50" s="20" t="n">
        <x:v>6709.2</x:v>
      </x:c>
      <x:c r="F50" s="7" t="b">
        <x:v>0</x:v>
      </x:c>
      <x:c r="G50" s="2" t="str">
        <x:v>2023Q1</x:v>
      </x:c>
      <x:c r="H50" s="2" t="str">
        <x:v>https://api.bls.gov/publicAPI/v2/timeseries/data/</x:v>
      </x:c>
    </x:row>
    <x:row r="51" ht="38" customHeight="1">
      <x:c r="A51" s="28" t="n">
        <x:v>44986</x:v>
      </x:c>
      <x:c r="B51" s="2" t="str">
        <x:v>53</x:v>
      </x:c>
      <x:c r="C51" s="29" t="str">
        <x:v>Real estate and rental and leasing</x:v>
      </x:c>
      <x:c r="D51" s="2" t="str">
        <x:v>CES5553000001</x:v>
      </x:c>
      <x:c r="E51" s="20" t="n">
        <x:v>2440.7</x:v>
      </x:c>
      <x:c r="F51" s="7" t="b">
        <x:v>0</x:v>
      </x:c>
      <x:c r="G51" s="2" t="str">
        <x:v>2023Q1</x:v>
      </x:c>
      <x:c r="H51" s="2" t="str">
        <x:v>https://api.bls.gov/publicAPI/v2/timeseries/data/</x:v>
      </x:c>
    </x:row>
    <x:row r="52" ht="38" customHeight="1">
      <x:c r="A52" s="28" t="n">
        <x:v>44986</x:v>
      </x:c>
      <x:c r="B52" s="2" t="str">
        <x:v>54</x:v>
      </x:c>
      <x:c r="C52" s="29" t="str">
        <x:v>Professional, scientific, and technical services</x:v>
      </x:c>
      <x:c r="D52" s="2" t="str">
        <x:v>CES6054000001</x:v>
      </x:c>
      <x:c r="E52" s="20" t="n">
        <x:v>10739.1</x:v>
      </x:c>
      <x:c r="F52" s="7" t="b">
        <x:v>0</x:v>
      </x:c>
      <x:c r="G52" s="2" t="str">
        <x:v>2023Q1</x:v>
      </x:c>
      <x:c r="H52" s="2" t="str">
        <x:v>https://api.bls.gov/publicAPI/v2/timeseries/data/</x:v>
      </x:c>
    </x:row>
    <x:row r="53" ht="38" customHeight="1">
      <x:c r="A53" s="28" t="n">
        <x:v>44986</x:v>
      </x:c>
      <x:c r="B53" s="2" t="str">
        <x:v>55</x:v>
      </x:c>
      <x:c r="C53" s="29" t="str">
        <x:v>Management of companies and enterprises</x:v>
      </x:c>
      <x:c r="D53" s="2" t="str">
        <x:v>CES6055000001</x:v>
      </x:c>
      <x:c r="E53" s="20" t="n">
        <x:v>2600.6</x:v>
      </x:c>
      <x:c r="F53" s="7" t="b">
        <x:v>0</x:v>
      </x:c>
      <x:c r="G53" s="2" t="str">
        <x:v>2023Q1</x:v>
      </x:c>
      <x:c r="H53" s="2" t="str">
        <x:v>https://api.bls.gov/publicAPI/v2/timeseries/data/</x:v>
      </x:c>
    </x:row>
    <x:row r="54" ht="38" customHeight="1">
      <x:c r="A54" s="28" t="n">
        <x:v>44986</x:v>
      </x:c>
      <x:c r="B54" s="2" t="str">
        <x:v>56</x:v>
      </x:c>
      <x:c r="C54" s="29" t="str">
        <x:v>Administrative, support, and waste services</x:v>
      </x:c>
      <x:c r="D54" s="2" t="str">
        <x:v>CES6056000001</x:v>
      </x:c>
      <x:c r="E54" s="20" t="n">
        <x:v>9492.6</x:v>
      </x:c>
      <x:c r="F54" s="7" t="b">
        <x:v>0</x:v>
      </x:c>
      <x:c r="G54" s="2" t="str">
        <x:v>2023Q1</x:v>
      </x:c>
      <x:c r="H54" s="2" t="str">
        <x:v>https://api.bls.gov/publicAPI/v2/timeseries/data/</x:v>
      </x:c>
    </x:row>
    <x:row r="55" ht="38" customHeight="1">
      <x:c r="A55" s="28" t="n">
        <x:v>44986</x:v>
      </x:c>
      <x:c r="B55" s="2" t="str">
        <x:v>61</x:v>
      </x:c>
      <x:c r="C55" s="29" t="str">
        <x:v>Private educational services</x:v>
      </x:c>
      <x:c r="D55" s="2" t="str">
        <x:v>CES6561000001</x:v>
      </x:c>
      <x:c r="E55" s="20" t="n">
        <x:v>3792.4</x:v>
      </x:c>
      <x:c r="F55" s="7" t="b">
        <x:v>0</x:v>
      </x:c>
      <x:c r="G55" s="2" t="str">
        <x:v>2023Q1</x:v>
      </x:c>
      <x:c r="H55" s="2" t="str">
        <x:v>https://api.bls.gov/publicAPI/v2/timeseries/data/</x:v>
      </x:c>
    </x:row>
    <x:row r="56" ht="38" customHeight="1">
      <x:c r="A56" s="28" t="n">
        <x:v>44986</x:v>
      </x:c>
      <x:c r="B56" s="2" t="str">
        <x:v>62</x:v>
      </x:c>
      <x:c r="C56" s="29" t="str">
        <x:v>Health care and social assistance</x:v>
      </x:c>
      <x:c r="D56" s="2" t="str">
        <x:v>CES6562000001</x:v>
      </x:c>
      <x:c r="E56" s="20" t="n">
        <x:v>21240.9</x:v>
      </x:c>
      <x:c r="F56" s="7" t="b">
        <x:v>0</x:v>
      </x:c>
      <x:c r="G56" s="2" t="str">
        <x:v>2023Q1</x:v>
      </x:c>
      <x:c r="H56" s="2" t="str">
        <x:v>https://api.bls.gov/publicAPI/v2/timeseries/data/</x:v>
      </x:c>
    </x:row>
    <x:row r="57" ht="38" customHeight="1">
      <x:c r="A57" s="28" t="n">
        <x:v>44986</x:v>
      </x:c>
      <x:c r="B57" s="2" t="str">
        <x:v>71</x:v>
      </x:c>
      <x:c r="C57" s="29" t="str">
        <x:v>Arts, entertainment, and recreation</x:v>
      </x:c>
      <x:c r="D57" s="2" t="str">
        <x:v>CES7071000001</x:v>
      </x:c>
      <x:c r="E57" s="20" t="n">
        <x:v>2457.9</x:v>
      </x:c>
      <x:c r="F57" s="7" t="b">
        <x:v>0</x:v>
      </x:c>
      <x:c r="G57" s="2" t="str">
        <x:v>2023Q1</x:v>
      </x:c>
      <x:c r="H57" s="2" t="str">
        <x:v>https://api.bls.gov/publicAPI/v2/timeseries/data/</x:v>
      </x:c>
    </x:row>
    <x:row r="58" ht="38" customHeight="1">
      <x:c r="A58" s="28" t="n">
        <x:v>44986</x:v>
      </x:c>
      <x:c r="B58" s="2" t="str">
        <x:v>72</x:v>
      </x:c>
      <x:c r="C58" s="29" t="str">
        <x:v>Accommodation and food services</x:v>
      </x:c>
      <x:c r="D58" s="2" t="str">
        <x:v>CES7072000001</x:v>
      </x:c>
      <x:c r="E58" s="20" t="n">
        <x:v>13992.4</x:v>
      </x:c>
      <x:c r="F58" s="7" t="b">
        <x:v>0</x:v>
      </x:c>
      <x:c r="G58" s="2" t="str">
        <x:v>2023Q1</x:v>
      </x:c>
      <x:c r="H58" s="2" t="str">
        <x:v>https://api.bls.gov/publicAPI/v2/timeseries/data/</x:v>
      </x:c>
    </x:row>
    <x:row r="59" ht="38" customHeight="1">
      <x:c r="A59" s="28" t="n">
        <x:v>44986</x:v>
      </x:c>
      <x:c r="B59" s="2" t="str">
        <x:v>81</x:v>
      </x:c>
      <x:c r="C59" s="29" t="str">
        <x:v>Other services, except government</x:v>
      </x:c>
      <x:c r="D59" s="2" t="str">
        <x:v>CES8000000001</x:v>
      </x:c>
      <x:c r="E59" s="20" t="n">
        <x:v>5789</x:v>
      </x:c>
      <x:c r="F59" s="7" t="b">
        <x:v>0</x:v>
      </x:c>
      <x:c r="G59" s="2" t="str">
        <x:v>2023Q1</x:v>
      </x:c>
      <x:c r="H59" s="2" t="str">
        <x:v>https://api.bls.gov/publicAPI/v2/timeseries/data/</x:v>
      </x:c>
    </x:row>
    <x:row r="60" ht="38" customHeight="1">
      <x:c r="A60" s="28" t="n">
        <x:v>45017</x:v>
      </x:c>
      <x:c r="B60" s="2" t="str">
        <x:v>21</x:v>
      </x:c>
      <x:c r="C60" s="29" t="str">
        <x:v>Mining, quarrying, and oil and gas extraction</x:v>
      </x:c>
      <x:c r="D60" s="2" t="str">
        <x:v>CES1021000001</x:v>
      </x:c>
      <x:c r="E60" s="20" t="n">
        <x:v>592.4</x:v>
      </x:c>
      <x:c r="F60" s="7" t="b">
        <x:v>0</x:v>
      </x:c>
      <x:c r="G60" s="2" t="str">
        <x:v>2023Q2</x:v>
      </x:c>
      <x:c r="H60" s="2" t="str">
        <x:v>https://api.bls.gov/publicAPI/v2/timeseries/data/</x:v>
      </x:c>
    </x:row>
    <x:row r="61" ht="38" customHeight="1">
      <x:c r="A61" s="28" t="n">
        <x:v>45017</x:v>
      </x:c>
      <x:c r="B61" s="2" t="str">
        <x:v>22</x:v>
      </x:c>
      <x:c r="C61" s="29" t="str">
        <x:v>Utilities</x:v>
      </x:c>
      <x:c r="D61" s="2" t="str">
        <x:v>CES4422000001</x:v>
      </x:c>
      <x:c r="E61" s="20" t="n">
        <x:v>574.2</x:v>
      </x:c>
      <x:c r="F61" s="7" t="b">
        <x:v>0</x:v>
      </x:c>
      <x:c r="G61" s="2" t="str">
        <x:v>2023Q2</x:v>
      </x:c>
      <x:c r="H61" s="2" t="str">
        <x:v>https://api.bls.gov/publicAPI/v2/timeseries/data/</x:v>
      </x:c>
    </x:row>
    <x:row r="62" ht="38" customHeight="1">
      <x:c r="A62" s="28" t="n">
        <x:v>45017</x:v>
      </x:c>
      <x:c r="B62" s="2" t="str">
        <x:v>23</x:v>
      </x:c>
      <x:c r="C62" s="29" t="str">
        <x:v>Construction</x:v>
      </x:c>
      <x:c r="D62" s="2" t="str">
        <x:v>CES2000000001</x:v>
      </x:c>
      <x:c r="E62" s="20" t="n">
        <x:v>7955</x:v>
      </x:c>
      <x:c r="F62" s="7" t="b">
        <x:v>0</x:v>
      </x:c>
      <x:c r="G62" s="2" t="str">
        <x:v>2023Q2</x:v>
      </x:c>
      <x:c r="H62" s="2" t="str">
        <x:v>https://api.bls.gov/publicAPI/v2/timeseries/data/</x:v>
      </x:c>
    </x:row>
    <x:row r="63" ht="38" customHeight="1">
      <x:c r="A63" s="28" t="n">
        <x:v>45017</x:v>
      </x:c>
      <x:c r="B63" s="2" t="str">
        <x:v>31-33</x:v>
      </x:c>
      <x:c r="C63" s="29" t="str">
        <x:v>Manufacturing</x:v>
      </x:c>
      <x:c r="D63" s="2" t="str">
        <x:v>CES3000000001</x:v>
      </x:c>
      <x:c r="E63" s="20" t="n">
        <x:v>12884</x:v>
      </x:c>
      <x:c r="F63" s="7" t="b">
        <x:v>0</x:v>
      </x:c>
      <x:c r="G63" s="2" t="str">
        <x:v>2023Q2</x:v>
      </x:c>
      <x:c r="H63" s="2" t="str">
        <x:v>https://api.bls.gov/publicAPI/v2/timeseries/data/</x:v>
      </x:c>
    </x:row>
    <x:row r="64" ht="38" customHeight="1">
      <x:c r="A64" s="28" t="n">
        <x:v>45017</x:v>
      </x:c>
      <x:c r="B64" s="2" t="str">
        <x:v>42</x:v>
      </x:c>
      <x:c r="C64" s="29" t="str">
        <x:v>Wholesale trade</x:v>
      </x:c>
      <x:c r="D64" s="2" t="str">
        <x:v>CES4142000001</x:v>
      </x:c>
      <x:c r="E64" s="20" t="n">
        <x:v>6091.5</x:v>
      </x:c>
      <x:c r="F64" s="7" t="b">
        <x:v>0</x:v>
      </x:c>
      <x:c r="G64" s="2" t="str">
        <x:v>2023Q2</x:v>
      </x:c>
      <x:c r="H64" s="2" t="str">
        <x:v>https://api.bls.gov/publicAPI/v2/timeseries/data/</x:v>
      </x:c>
    </x:row>
    <x:row r="65" ht="38" customHeight="1">
      <x:c r="A65" s="28" t="n">
        <x:v>45017</x:v>
      </x:c>
      <x:c r="B65" s="2" t="str">
        <x:v>44-45</x:v>
      </x:c>
      <x:c r="C65" s="29" t="str">
        <x:v>Retail trade</x:v>
      </x:c>
      <x:c r="D65" s="2" t="str">
        <x:v>CES4200000001</x:v>
      </x:c>
      <x:c r="E65" s="20" t="n">
        <x:v>15556</x:v>
      </x:c>
      <x:c r="F65" s="7" t="b">
        <x:v>0</x:v>
      </x:c>
      <x:c r="G65" s="2" t="str">
        <x:v>2023Q2</x:v>
      </x:c>
      <x:c r="H65" s="2" t="str">
        <x:v>https://api.bls.gov/publicAPI/v2/timeseries/data/</x:v>
      </x:c>
    </x:row>
    <x:row r="66" ht="38" customHeight="1">
      <x:c r="A66" s="28" t="n">
        <x:v>45017</x:v>
      </x:c>
      <x:c r="B66" s="2" t="str">
        <x:v>48-49</x:v>
      </x:c>
      <x:c r="C66" s="29" t="str">
        <x:v>Transportation and warehousing</x:v>
      </x:c>
      <x:c r="D66" s="2" t="str">
        <x:v>CES4300000001</x:v>
      </x:c>
      <x:c r="E66" s="20" t="n">
        <x:v>6577.2</x:v>
      </x:c>
      <x:c r="F66" s="7" t="b">
        <x:v>0</x:v>
      </x:c>
      <x:c r="G66" s="2" t="str">
        <x:v>2023Q2</x:v>
      </x:c>
      <x:c r="H66" s="2" t="str">
        <x:v>https://api.bls.gov/publicAPI/v2/timeseries/data/</x:v>
      </x:c>
    </x:row>
    <x:row r="67" ht="38" customHeight="1">
      <x:c r="A67" s="28" t="n">
        <x:v>45017</x:v>
      </x:c>
      <x:c r="B67" s="2" t="str">
        <x:v>51</x:v>
      </x:c>
      <x:c r="C67" s="29" t="str">
        <x:v>Information</x:v>
      </x:c>
      <x:c r="D67" s="2" t="str">
        <x:v>CES5000000001</x:v>
      </x:c>
      <x:c r="E67" s="20" t="n">
        <x:v>3043</x:v>
      </x:c>
      <x:c r="F67" s="7" t="b">
        <x:v>0</x:v>
      </x:c>
      <x:c r="G67" s="2" t="str">
        <x:v>2023Q2</x:v>
      </x:c>
      <x:c r="H67" s="2" t="str">
        <x:v>https://api.bls.gov/publicAPI/v2/timeseries/data/</x:v>
      </x:c>
    </x:row>
    <x:row r="68" ht="38" customHeight="1">
      <x:c r="A68" s="28" t="n">
        <x:v>45017</x:v>
      </x:c>
      <x:c r="B68" s="2" t="str">
        <x:v>52</x:v>
      </x:c>
      <x:c r="C68" s="29" t="str">
        <x:v>Finance and insurance</x:v>
      </x:c>
      <x:c r="D68" s="2" t="str">
        <x:v>CES5552000001</x:v>
      </x:c>
      <x:c r="E68" s="20" t="n">
        <x:v>6722.2</x:v>
      </x:c>
      <x:c r="F68" s="7" t="b">
        <x:v>0</x:v>
      </x:c>
      <x:c r="G68" s="2" t="str">
        <x:v>2023Q2</x:v>
      </x:c>
      <x:c r="H68" s="2" t="str">
        <x:v>https://api.bls.gov/publicAPI/v2/timeseries/data/</x:v>
      </x:c>
    </x:row>
    <x:row r="69" ht="38" customHeight="1">
      <x:c r="A69" s="28" t="n">
        <x:v>45017</x:v>
      </x:c>
      <x:c r="B69" s="2" t="str">
        <x:v>53</x:v>
      </x:c>
      <x:c r="C69" s="29" t="str">
        <x:v>Real estate and rental and leasing</x:v>
      </x:c>
      <x:c r="D69" s="2" t="str">
        <x:v>CES5553000001</x:v>
      </x:c>
      <x:c r="E69" s="20" t="n">
        <x:v>2457.4</x:v>
      </x:c>
      <x:c r="F69" s="7" t="b">
        <x:v>0</x:v>
      </x:c>
      <x:c r="G69" s="2" t="str">
        <x:v>2023Q2</x:v>
      </x:c>
      <x:c r="H69" s="2" t="str">
        <x:v>https://api.bls.gov/publicAPI/v2/timeseries/data/</x:v>
      </x:c>
    </x:row>
    <x:row r="70" ht="38" customHeight="1">
      <x:c r="A70" s="28" t="n">
        <x:v>45017</x:v>
      </x:c>
      <x:c r="B70" s="2" t="str">
        <x:v>54</x:v>
      </x:c>
      <x:c r="C70" s="29" t="str">
        <x:v>Professional, scientific, and technical services</x:v>
      </x:c>
      <x:c r="D70" s="2" t="str">
        <x:v>CES6054000001</x:v>
      </x:c>
      <x:c r="E70" s="20" t="n">
        <x:v>10754.5</x:v>
      </x:c>
      <x:c r="F70" s="7" t="b">
        <x:v>0</x:v>
      </x:c>
      <x:c r="G70" s="2" t="str">
        <x:v>2023Q2</x:v>
      </x:c>
      <x:c r="H70" s="2" t="str">
        <x:v>https://api.bls.gov/publicAPI/v2/timeseries/data/</x:v>
      </x:c>
    </x:row>
    <x:row r="71" ht="38" customHeight="1">
      <x:c r="A71" s="28" t="n">
        <x:v>45017</x:v>
      </x:c>
      <x:c r="B71" s="2" t="str">
        <x:v>55</x:v>
      </x:c>
      <x:c r="C71" s="29" t="str">
        <x:v>Management of companies and enterprises</x:v>
      </x:c>
      <x:c r="D71" s="2" t="str">
        <x:v>CES6055000001</x:v>
      </x:c>
      <x:c r="E71" s="20" t="n">
        <x:v>2607.1</x:v>
      </x:c>
      <x:c r="F71" s="7" t="b">
        <x:v>0</x:v>
      </x:c>
      <x:c r="G71" s="2" t="str">
        <x:v>2023Q2</x:v>
      </x:c>
      <x:c r="H71" s="2" t="str">
        <x:v>https://api.bls.gov/publicAPI/v2/timeseries/data/</x:v>
      </x:c>
    </x:row>
    <x:row r="72" ht="38" customHeight="1">
      <x:c r="A72" s="28" t="n">
        <x:v>45017</x:v>
      </x:c>
      <x:c r="B72" s="2" t="str">
        <x:v>56</x:v>
      </x:c>
      <x:c r="C72" s="29" t="str">
        <x:v>Administrative, support, and waste services</x:v>
      </x:c>
      <x:c r="D72" s="2" t="str">
        <x:v>CES6056000001</x:v>
      </x:c>
      <x:c r="E72" s="20" t="n">
        <x:v>9475.1</x:v>
      </x:c>
      <x:c r="F72" s="7" t="b">
        <x:v>0</x:v>
      </x:c>
      <x:c r="G72" s="2" t="str">
        <x:v>2023Q2</x:v>
      </x:c>
      <x:c r="H72" s="2" t="str">
        <x:v>https://api.bls.gov/publicAPI/v2/timeseries/data/</x:v>
      </x:c>
    </x:row>
    <x:row r="73" ht="38" customHeight="1">
      <x:c r="A73" s="28" t="n">
        <x:v>45017</x:v>
      </x:c>
      <x:c r="B73" s="2" t="str">
        <x:v>61</x:v>
      </x:c>
      <x:c r="C73" s="29" t="str">
        <x:v>Private educational services</x:v>
      </x:c>
      <x:c r="D73" s="2" t="str">
        <x:v>CES6561000001</x:v>
      </x:c>
      <x:c r="E73" s="20" t="n">
        <x:v>3803.3</x:v>
      </x:c>
      <x:c r="F73" s="7" t="b">
        <x:v>0</x:v>
      </x:c>
      <x:c r="G73" s="2" t="str">
        <x:v>2023Q2</x:v>
      </x:c>
      <x:c r="H73" s="2" t="str">
        <x:v>https://api.bls.gov/publicAPI/v2/timeseries/data/</x:v>
      </x:c>
    </x:row>
    <x:row r="74" ht="38" customHeight="1">
      <x:c r="A74" s="28" t="n">
        <x:v>45017</x:v>
      </x:c>
      <x:c r="B74" s="2" t="str">
        <x:v>62</x:v>
      </x:c>
      <x:c r="C74" s="29" t="str">
        <x:v>Health care and social assistance</x:v>
      </x:c>
      <x:c r="D74" s="2" t="str">
        <x:v>CES6562000001</x:v>
      </x:c>
      <x:c r="E74" s="20" t="n">
        <x:v>21309.4</x:v>
      </x:c>
      <x:c r="F74" s="7" t="b">
        <x:v>0</x:v>
      </x:c>
      <x:c r="G74" s="2" t="str">
        <x:v>2023Q2</x:v>
      </x:c>
      <x:c r="H74" s="2" t="str">
        <x:v>https://api.bls.gov/publicAPI/v2/timeseries/data/</x:v>
      </x:c>
    </x:row>
    <x:row r="75" ht="38" customHeight="1">
      <x:c r="A75" s="28" t="n">
        <x:v>45017</x:v>
      </x:c>
      <x:c r="B75" s="2" t="str">
        <x:v>71</x:v>
      </x:c>
      <x:c r="C75" s="29" t="str">
        <x:v>Arts, entertainment, and recreation</x:v>
      </x:c>
      <x:c r="D75" s="2" t="str">
        <x:v>CES7071000001</x:v>
      </x:c>
      <x:c r="E75" s="20" t="n">
        <x:v>2493.5</x:v>
      </x:c>
      <x:c r="F75" s="7" t="b">
        <x:v>0</x:v>
      </x:c>
      <x:c r="G75" s="2" t="str">
        <x:v>2023Q2</x:v>
      </x:c>
      <x:c r="H75" s="2" t="str">
        <x:v>https://api.bls.gov/publicAPI/v2/timeseries/data/</x:v>
      </x:c>
    </x:row>
    <x:row r="76" ht="38" customHeight="1">
      <x:c r="A76" s="28" t="n">
        <x:v>45017</x:v>
      </x:c>
      <x:c r="B76" s="2" t="str">
        <x:v>72</x:v>
      </x:c>
      <x:c r="C76" s="29" t="str">
        <x:v>Accommodation and food services</x:v>
      </x:c>
      <x:c r="D76" s="2" t="str">
        <x:v>CES7072000001</x:v>
      </x:c>
      <x:c r="E76" s="20" t="n">
        <x:v>13993.2</x:v>
      </x:c>
      <x:c r="F76" s="7" t="b">
        <x:v>0</x:v>
      </x:c>
      <x:c r="G76" s="2" t="str">
        <x:v>2023Q2</x:v>
      </x:c>
      <x:c r="H76" s="2" t="str">
        <x:v>https://api.bls.gov/publicAPI/v2/timeseries/data/</x:v>
      </x:c>
    </x:row>
    <x:row r="77" ht="38" customHeight="1">
      <x:c r="A77" s="28" t="n">
        <x:v>45017</x:v>
      </x:c>
      <x:c r="B77" s="2" t="str">
        <x:v>81</x:v>
      </x:c>
      <x:c r="C77" s="29" t="str">
        <x:v>Other services, except government</x:v>
      </x:c>
      <x:c r="D77" s="2" t="str">
        <x:v>CES8000000001</x:v>
      </x:c>
      <x:c r="E77" s="20" t="n">
        <x:v>5798</x:v>
      </x:c>
      <x:c r="F77" s="7" t="b">
        <x:v>0</x:v>
      </x:c>
      <x:c r="G77" s="2" t="str">
        <x:v>2023Q2</x:v>
      </x:c>
      <x:c r="H77" s="2" t="str">
        <x:v>https://api.bls.gov/publicAPI/v2/timeseries/data/</x:v>
      </x:c>
    </x:row>
    <x:row r="78" ht="38" customHeight="1">
      <x:c r="A78" s="28" t="n">
        <x:v>45047</x:v>
      </x:c>
      <x:c r="B78" s="2" t="str">
        <x:v>21</x:v>
      </x:c>
      <x:c r="C78" s="29" t="str">
        <x:v>Mining, quarrying, and oil and gas extraction</x:v>
      </x:c>
      <x:c r="D78" s="2" t="str">
        <x:v>CES1021000001</x:v>
      </x:c>
      <x:c r="E78" s="20" t="n">
        <x:v>597.1</x:v>
      </x:c>
      <x:c r="F78" s="7" t="b">
        <x:v>0</x:v>
      </x:c>
      <x:c r="G78" s="2" t="str">
        <x:v>2023Q2</x:v>
      </x:c>
      <x:c r="H78" s="2" t="str">
        <x:v>https://api.bls.gov/publicAPI/v2/timeseries/data/</x:v>
      </x:c>
    </x:row>
    <x:row r="79" ht="38" customHeight="1">
      <x:c r="A79" s="28" t="n">
        <x:v>45047</x:v>
      </x:c>
      <x:c r="B79" s="2" t="str">
        <x:v>22</x:v>
      </x:c>
      <x:c r="C79" s="29" t="str">
        <x:v>Utilities</x:v>
      </x:c>
      <x:c r="D79" s="2" t="str">
        <x:v>CES4422000001</x:v>
      </x:c>
      <x:c r="E79" s="20" t="n">
        <x:v>574.8</x:v>
      </x:c>
      <x:c r="F79" s="7" t="b">
        <x:v>0</x:v>
      </x:c>
      <x:c r="G79" s="2" t="str">
        <x:v>2023Q2</x:v>
      </x:c>
      <x:c r="H79" s="2" t="str">
        <x:v>https://api.bls.gov/publicAPI/v2/timeseries/data/</x:v>
      </x:c>
    </x:row>
    <x:row r="80" ht="38" customHeight="1">
      <x:c r="A80" s="28" t="n">
        <x:v>45047</x:v>
      </x:c>
      <x:c r="B80" s="2" t="str">
        <x:v>23</x:v>
      </x:c>
      <x:c r="C80" s="29" t="str">
        <x:v>Construction</x:v>
      </x:c>
      <x:c r="D80" s="2" t="str">
        <x:v>CES2000000001</x:v>
      </x:c>
      <x:c r="E80" s="20" t="n">
        <x:v>7965</x:v>
      </x:c>
      <x:c r="F80" s="7" t="b">
        <x:v>0</x:v>
      </x:c>
      <x:c r="G80" s="2" t="str">
        <x:v>2023Q2</x:v>
      </x:c>
      <x:c r="H80" s="2" t="str">
        <x:v>https://api.bls.gov/publicAPI/v2/timeseries/data/</x:v>
      </x:c>
    </x:row>
    <x:row r="81" ht="38" customHeight="1">
      <x:c r="A81" s="28" t="n">
        <x:v>45047</x:v>
      </x:c>
      <x:c r="B81" s="2" t="str">
        <x:v>31-33</x:v>
      </x:c>
      <x:c r="C81" s="29" t="str">
        <x:v>Manufacturing</x:v>
      </x:c>
      <x:c r="D81" s="2" t="str">
        <x:v>CES3000000001</x:v>
      </x:c>
      <x:c r="E81" s="20" t="n">
        <x:v>12869</x:v>
      </x:c>
      <x:c r="F81" s="7" t="b">
        <x:v>0</x:v>
      </x:c>
      <x:c r="G81" s="2" t="str">
        <x:v>2023Q2</x:v>
      </x:c>
      <x:c r="H81" s="2" t="str">
        <x:v>https://api.bls.gov/publicAPI/v2/timeseries/data/</x:v>
      </x:c>
    </x:row>
    <x:row r="82" ht="38" customHeight="1">
      <x:c r="A82" s="28" t="n">
        <x:v>45047</x:v>
      </x:c>
      <x:c r="B82" s="2" t="str">
        <x:v>42</x:v>
      </x:c>
      <x:c r="C82" s="29" t="str">
        <x:v>Wholesale trade</x:v>
      </x:c>
      <x:c r="D82" s="2" t="str">
        <x:v>CES4142000001</x:v>
      </x:c>
      <x:c r="E82" s="20" t="n">
        <x:v>6098.5</x:v>
      </x:c>
      <x:c r="F82" s="7" t="b">
        <x:v>0</x:v>
      </x:c>
      <x:c r="G82" s="2" t="str">
        <x:v>2023Q2</x:v>
      </x:c>
      <x:c r="H82" s="2" t="str">
        <x:v>https://api.bls.gov/publicAPI/v2/timeseries/data/</x:v>
      </x:c>
    </x:row>
    <x:row r="83" ht="38" customHeight="1">
      <x:c r="A83" s="28" t="n">
        <x:v>45047</x:v>
      </x:c>
      <x:c r="B83" s="2" t="str">
        <x:v>44-45</x:v>
      </x:c>
      <x:c r="C83" s="29" t="str">
        <x:v>Retail trade</x:v>
      </x:c>
      <x:c r="D83" s="2" t="str">
        <x:v>CES4200000001</x:v>
      </x:c>
      <x:c r="E83" s="20" t="n">
        <x:v>15555.9</x:v>
      </x:c>
      <x:c r="F83" s="7" t="b">
        <x:v>0</x:v>
      </x:c>
      <x:c r="G83" s="2" t="str">
        <x:v>2023Q2</x:v>
      </x:c>
      <x:c r="H83" s="2" t="str">
        <x:v>https://api.bls.gov/publicAPI/v2/timeseries/data/</x:v>
      </x:c>
    </x:row>
    <x:row r="84" ht="38" customHeight="1">
      <x:c r="A84" s="28" t="n">
        <x:v>45047</x:v>
      </x:c>
      <x:c r="B84" s="2" t="str">
        <x:v>48-49</x:v>
      </x:c>
      <x:c r="C84" s="29" t="str">
        <x:v>Transportation and warehousing</x:v>
      </x:c>
      <x:c r="D84" s="2" t="str">
        <x:v>CES4300000001</x:v>
      </x:c>
      <x:c r="E84" s="20" t="n">
        <x:v>6600.6</x:v>
      </x:c>
      <x:c r="F84" s="7" t="b">
        <x:v>0</x:v>
      </x:c>
      <x:c r="G84" s="2" t="str">
        <x:v>2023Q2</x:v>
      </x:c>
      <x:c r="H84" s="2" t="str">
        <x:v>https://api.bls.gov/publicAPI/v2/timeseries/data/</x:v>
      </x:c>
    </x:row>
    <x:row r="85" ht="38" customHeight="1">
      <x:c r="A85" s="28" t="n">
        <x:v>45047</x:v>
      </x:c>
      <x:c r="B85" s="2" t="str">
        <x:v>51</x:v>
      </x:c>
      <x:c r="C85" s="29" t="str">
        <x:v>Information</x:v>
      </x:c>
      <x:c r="D85" s="2" t="str">
        <x:v>CES5000000001</x:v>
      </x:c>
      <x:c r="E85" s="20" t="n">
        <x:v>3034</x:v>
      </x:c>
      <x:c r="F85" s="7" t="b">
        <x:v>0</x:v>
      </x:c>
      <x:c r="G85" s="2" t="str">
        <x:v>2023Q2</x:v>
      </x:c>
      <x:c r="H85" s="2" t="str">
        <x:v>https://api.bls.gov/publicAPI/v2/timeseries/data/</x:v>
      </x:c>
    </x:row>
    <x:row r="86" ht="38" customHeight="1">
      <x:c r="A86" s="28" t="n">
        <x:v>45047</x:v>
      </x:c>
      <x:c r="B86" s="2" t="str">
        <x:v>52</x:v>
      </x:c>
      <x:c r="C86" s="29" t="str">
        <x:v>Finance and insurance</x:v>
      </x:c>
      <x:c r="D86" s="2" t="str">
        <x:v>CES5552000001</x:v>
      </x:c>
      <x:c r="E86" s="20" t="n">
        <x:v>6725.9</x:v>
      </x:c>
      <x:c r="F86" s="7" t="b">
        <x:v>0</x:v>
      </x:c>
      <x:c r="G86" s="2" t="str">
        <x:v>2023Q2</x:v>
      </x:c>
      <x:c r="H86" s="2" t="str">
        <x:v>https://api.bls.gov/publicAPI/v2/timeseries/data/</x:v>
      </x:c>
    </x:row>
    <x:row r="87" ht="38" customHeight="1">
      <x:c r="A87" s="28" t="n">
        <x:v>45047</x:v>
      </x:c>
      <x:c r="B87" s="2" t="str">
        <x:v>53</x:v>
      </x:c>
      <x:c r="C87" s="29" t="str">
        <x:v>Real estate and rental and leasing</x:v>
      </x:c>
      <x:c r="D87" s="2" t="str">
        <x:v>CES5553000001</x:v>
      </x:c>
      <x:c r="E87" s="20" t="n">
        <x:v>2448.7</x:v>
      </x:c>
      <x:c r="F87" s="7" t="b">
        <x:v>0</x:v>
      </x:c>
      <x:c r="G87" s="2" t="str">
        <x:v>2023Q2</x:v>
      </x:c>
      <x:c r="H87" s="2" t="str">
        <x:v>https://api.bls.gov/publicAPI/v2/timeseries/data/</x:v>
      </x:c>
    </x:row>
    <x:row r="88" ht="38" customHeight="1">
      <x:c r="A88" s="28" t="n">
        <x:v>45047</x:v>
      </x:c>
      <x:c r="B88" s="2" t="str">
        <x:v>54</x:v>
      </x:c>
      <x:c r="C88" s="29" t="str">
        <x:v>Professional, scientific, and technical services</x:v>
      </x:c>
      <x:c r="D88" s="2" t="str">
        <x:v>CES6054000001</x:v>
      </x:c>
      <x:c r="E88" s="20" t="n">
        <x:v>10776.6</x:v>
      </x:c>
      <x:c r="F88" s="7" t="b">
        <x:v>0</x:v>
      </x:c>
      <x:c r="G88" s="2" t="str">
        <x:v>2023Q2</x:v>
      </x:c>
      <x:c r="H88" s="2" t="str">
        <x:v>https://api.bls.gov/publicAPI/v2/timeseries/data/</x:v>
      </x:c>
    </x:row>
    <x:row r="89" ht="38" customHeight="1">
      <x:c r="A89" s="28" t="n">
        <x:v>45047</x:v>
      </x:c>
      <x:c r="B89" s="2" t="str">
        <x:v>55</x:v>
      </x:c>
      <x:c r="C89" s="29" t="str">
        <x:v>Management of companies and enterprises</x:v>
      </x:c>
      <x:c r="D89" s="2" t="str">
        <x:v>CES6055000001</x:v>
      </x:c>
      <x:c r="E89" s="20" t="n">
        <x:v>2608.6</x:v>
      </x:c>
      <x:c r="F89" s="7" t="b">
        <x:v>0</x:v>
      </x:c>
      <x:c r="G89" s="2" t="str">
        <x:v>2023Q2</x:v>
      </x:c>
      <x:c r="H89" s="2" t="str">
        <x:v>https://api.bls.gov/publicAPI/v2/timeseries/data/</x:v>
      </x:c>
    </x:row>
    <x:row r="90" ht="38" customHeight="1">
      <x:c r="A90" s="28" t="n">
        <x:v>45047</x:v>
      </x:c>
      <x:c r="B90" s="2" t="str">
        <x:v>56</x:v>
      </x:c>
      <x:c r="C90" s="29" t="str">
        <x:v>Administrative, support, and waste services</x:v>
      </x:c>
      <x:c r="D90" s="2" t="str">
        <x:v>CES6056000001</x:v>
      </x:c>
      <x:c r="E90" s="20" t="n">
        <x:v>9464.5</x:v>
      </x:c>
      <x:c r="F90" s="7" t="b">
        <x:v>0</x:v>
      </x:c>
      <x:c r="G90" s="2" t="str">
        <x:v>2023Q2</x:v>
      </x:c>
      <x:c r="H90" s="2" t="str">
        <x:v>https://api.bls.gov/publicAPI/v2/timeseries/data/</x:v>
      </x:c>
    </x:row>
    <x:row r="91" ht="38" customHeight="1">
      <x:c r="A91" s="28" t="n">
        <x:v>45047</x:v>
      </x:c>
      <x:c r="B91" s="2" t="str">
        <x:v>61</x:v>
      </x:c>
      <x:c r="C91" s="29" t="str">
        <x:v>Private educational services</x:v>
      </x:c>
      <x:c r="D91" s="2" t="str">
        <x:v>CES6561000001</x:v>
      </x:c>
      <x:c r="E91" s="20" t="n">
        <x:v>3838.5</x:v>
      </x:c>
      <x:c r="F91" s="7" t="b">
        <x:v>0</x:v>
      </x:c>
      <x:c r="G91" s="2" t="str">
        <x:v>2023Q2</x:v>
      </x:c>
      <x:c r="H91" s="2" t="str">
        <x:v>https://api.bls.gov/publicAPI/v2/timeseries/data/</x:v>
      </x:c>
    </x:row>
    <x:row r="92" ht="38" customHeight="1">
      <x:c r="A92" s="28" t="n">
        <x:v>45047</x:v>
      </x:c>
      <x:c r="B92" s="2" t="str">
        <x:v>62</x:v>
      </x:c>
      <x:c r="C92" s="29" t="str">
        <x:v>Health care and social assistance</x:v>
      </x:c>
      <x:c r="D92" s="2" t="str">
        <x:v>CES6562000001</x:v>
      </x:c>
      <x:c r="E92" s="20" t="n">
        <x:v>21382.4</x:v>
      </x:c>
      <x:c r="F92" s="7" t="b">
        <x:v>0</x:v>
      </x:c>
      <x:c r="G92" s="2" t="str">
        <x:v>2023Q2</x:v>
      </x:c>
      <x:c r="H92" s="2" t="str">
        <x:v>https://api.bls.gov/publicAPI/v2/timeseries/data/</x:v>
      </x:c>
    </x:row>
    <x:row r="93" ht="38" customHeight="1">
      <x:c r="A93" s="28" t="n">
        <x:v>45047</x:v>
      </x:c>
      <x:c r="B93" s="2" t="str">
        <x:v>71</x:v>
      </x:c>
      <x:c r="C93" s="29" t="str">
        <x:v>Arts, entertainment, and recreation</x:v>
      </x:c>
      <x:c r="D93" s="2" t="str">
        <x:v>CES7071000001</x:v>
      </x:c>
      <x:c r="E93" s="20" t="n">
        <x:v>2503</x:v>
      </x:c>
      <x:c r="F93" s="7" t="b">
        <x:v>0</x:v>
      </x:c>
      <x:c r="G93" s="2" t="str">
        <x:v>2023Q2</x:v>
      </x:c>
      <x:c r="H93" s="2" t="str">
        <x:v>https://api.bls.gov/publicAPI/v2/timeseries/data/</x:v>
      </x:c>
    </x:row>
    <x:row r="94" ht="38" customHeight="1">
      <x:c r="A94" s="28" t="n">
        <x:v>45047</x:v>
      </x:c>
      <x:c r="B94" s="2" t="str">
        <x:v>72</x:v>
      </x:c>
      <x:c r="C94" s="29" t="str">
        <x:v>Accommodation and food services</x:v>
      </x:c>
      <x:c r="D94" s="2" t="str">
        <x:v>CES7072000001</x:v>
      </x:c>
      <x:c r="E94" s="20" t="n">
        <x:v>14030</x:v>
      </x:c>
      <x:c r="F94" s="7" t="b">
        <x:v>0</x:v>
      </x:c>
      <x:c r="G94" s="2" t="str">
        <x:v>2023Q2</x:v>
      </x:c>
      <x:c r="H94" s="2" t="str">
        <x:v>https://api.bls.gov/publicAPI/v2/timeseries/data/</x:v>
      </x:c>
    </x:row>
    <x:row r="95" ht="38" customHeight="1">
      <x:c r="A95" s="28" t="n">
        <x:v>45047</x:v>
      </x:c>
      <x:c r="B95" s="2" t="str">
        <x:v>81</x:v>
      </x:c>
      <x:c r="C95" s="29" t="str">
        <x:v>Other services, except government</x:v>
      </x:c>
      <x:c r="D95" s="2" t="str">
        <x:v>CES8000000001</x:v>
      </x:c>
      <x:c r="E95" s="20" t="n">
        <x:v>5814</x:v>
      </x:c>
      <x:c r="F95" s="7" t="b">
        <x:v>0</x:v>
      </x:c>
      <x:c r="G95" s="2" t="str">
        <x:v>2023Q2</x:v>
      </x:c>
      <x:c r="H95" s="2" t="str">
        <x:v>https://api.bls.gov/publicAPI/v2/timeseries/data/</x:v>
      </x:c>
    </x:row>
    <x:row r="96" ht="38" customHeight="1">
      <x:c r="A96" s="28" t="n">
        <x:v>45078</x:v>
      </x:c>
      <x:c r="B96" s="2" t="str">
        <x:v>21</x:v>
      </x:c>
      <x:c r="C96" s="29" t="str">
        <x:v>Mining, quarrying, and oil and gas extraction</x:v>
      </x:c>
      <x:c r="D96" s="2" t="str">
        <x:v>CES1021000001</x:v>
      </x:c>
      <x:c r="E96" s="20" t="n">
        <x:v>595.4</x:v>
      </x:c>
      <x:c r="F96" s="7" t="b">
        <x:v>0</x:v>
      </x:c>
      <x:c r="G96" s="2" t="str">
        <x:v>2023Q2</x:v>
      </x:c>
      <x:c r="H96" s="2" t="str">
        <x:v>https://api.bls.gov/publicAPI/v2/timeseries/data/</x:v>
      </x:c>
    </x:row>
    <x:row r="97" ht="38" customHeight="1">
      <x:c r="A97" s="28" t="n">
        <x:v>45078</x:v>
      </x:c>
      <x:c r="B97" s="2" t="str">
        <x:v>22</x:v>
      </x:c>
      <x:c r="C97" s="29" t="str">
        <x:v>Utilities</x:v>
      </x:c>
      <x:c r="D97" s="2" t="str">
        <x:v>CES4422000001</x:v>
      </x:c>
      <x:c r="E97" s="20" t="n">
        <x:v>575.6</x:v>
      </x:c>
      <x:c r="F97" s="7" t="b">
        <x:v>0</x:v>
      </x:c>
      <x:c r="G97" s="2" t="str">
        <x:v>2023Q2</x:v>
      </x:c>
      <x:c r="H97" s="2" t="str">
        <x:v>https://api.bls.gov/publicAPI/v2/timeseries/data/</x:v>
      </x:c>
    </x:row>
    <x:row r="98" ht="38" customHeight="1">
      <x:c r="A98" s="28" t="n">
        <x:v>45078</x:v>
      </x:c>
      <x:c r="B98" s="2" t="str">
        <x:v>23</x:v>
      </x:c>
      <x:c r="C98" s="29" t="str">
        <x:v>Construction</x:v>
      </x:c>
      <x:c r="D98" s="2" t="str">
        <x:v>CES2000000001</x:v>
      </x:c>
      <x:c r="E98" s="20" t="n">
        <x:v>8006</x:v>
      </x:c>
      <x:c r="F98" s="7" t="b">
        <x:v>0</x:v>
      </x:c>
      <x:c r="G98" s="2" t="str">
        <x:v>2023Q2</x:v>
      </x:c>
      <x:c r="H98" s="2" t="str">
        <x:v>https://api.bls.gov/publicAPI/v2/timeseries/data/</x:v>
      </x:c>
    </x:row>
    <x:row r="99" ht="38" customHeight="1">
      <x:c r="A99" s="28" t="n">
        <x:v>45078</x:v>
      </x:c>
      <x:c r="B99" s="2" t="str">
        <x:v>31-33</x:v>
      </x:c>
      <x:c r="C99" s="29" t="str">
        <x:v>Manufacturing</x:v>
      </x:c>
      <x:c r="D99" s="2" t="str">
        <x:v>CES3000000001</x:v>
      </x:c>
      <x:c r="E99" s="20" t="n">
        <x:v>12875</x:v>
      </x:c>
      <x:c r="F99" s="7" t="b">
        <x:v>0</x:v>
      </x:c>
      <x:c r="G99" s="2" t="str">
        <x:v>2023Q2</x:v>
      </x:c>
      <x:c r="H99" s="2" t="str">
        <x:v>https://api.bls.gov/publicAPI/v2/timeseries/data/</x:v>
      </x:c>
    </x:row>
    <x:row r="100" ht="38" customHeight="1">
      <x:c r="A100" s="28" t="n">
        <x:v>45078</x:v>
      </x:c>
      <x:c r="B100" s="2" t="str">
        <x:v>42</x:v>
      </x:c>
      <x:c r="C100" s="29" t="str">
        <x:v>Wholesale trade</x:v>
      </x:c>
      <x:c r="D100" s="2" t="str">
        <x:v>CES4142000001</x:v>
      </x:c>
      <x:c r="E100" s="20" t="n">
        <x:v>6101</x:v>
      </x:c>
      <x:c r="F100" s="7" t="b">
        <x:v>0</x:v>
      </x:c>
      <x:c r="G100" s="2" t="str">
        <x:v>2023Q2</x:v>
      </x:c>
      <x:c r="H100" s="2" t="str">
        <x:v>https://api.bls.gov/publicAPI/v2/timeseries/data/</x:v>
      </x:c>
    </x:row>
    <x:row r="101" ht="38" customHeight="1">
      <x:c r="A101" s="28" t="n">
        <x:v>45078</x:v>
      </x:c>
      <x:c r="B101" s="2" t="str">
        <x:v>44-45</x:v>
      </x:c>
      <x:c r="C101" s="29" t="str">
        <x:v>Retail trade</x:v>
      </x:c>
      <x:c r="D101" s="2" t="str">
        <x:v>CES4200000001</x:v>
      </x:c>
      <x:c r="E101" s="20" t="n">
        <x:v>15533.2</x:v>
      </x:c>
      <x:c r="F101" s="7" t="b">
        <x:v>0</x:v>
      </x:c>
      <x:c r="G101" s="2" t="str">
        <x:v>2023Q2</x:v>
      </x:c>
      <x:c r="H101" s="2" t="str">
        <x:v>https://api.bls.gov/publicAPI/v2/timeseries/data/</x:v>
      </x:c>
    </x:row>
    <x:row r="102" ht="38" customHeight="1">
      <x:c r="A102" s="28" t="n">
        <x:v>45078</x:v>
      </x:c>
      <x:c r="B102" s="2" t="str">
        <x:v>48-49</x:v>
      </x:c>
      <x:c r="C102" s="29" t="str">
        <x:v>Transportation and warehousing</x:v>
      </x:c>
      <x:c r="D102" s="2" t="str">
        <x:v>CES4300000001</x:v>
      </x:c>
      <x:c r="E102" s="20" t="n">
        <x:v>6589.4</x:v>
      </x:c>
      <x:c r="F102" s="7" t="b">
        <x:v>0</x:v>
      </x:c>
      <x:c r="G102" s="2" t="str">
        <x:v>2023Q2</x:v>
      </x:c>
      <x:c r="H102" s="2" t="str">
        <x:v>https://api.bls.gov/publicAPI/v2/timeseries/data/</x:v>
      </x:c>
    </x:row>
    <x:row r="103" ht="38" customHeight="1">
      <x:c r="A103" s="28" t="n">
        <x:v>45078</x:v>
      </x:c>
      <x:c r="B103" s="2" t="str">
        <x:v>51</x:v>
      </x:c>
      <x:c r="C103" s="29" t="str">
        <x:v>Information</x:v>
      </x:c>
      <x:c r="D103" s="2" t="str">
        <x:v>CES5000000001</x:v>
      </x:c>
      <x:c r="E103" s="20" t="n">
        <x:v>3021</x:v>
      </x:c>
      <x:c r="F103" s="7" t="b">
        <x:v>0</x:v>
      </x:c>
      <x:c r="G103" s="2" t="str">
        <x:v>2023Q2</x:v>
      </x:c>
      <x:c r="H103" s="2" t="str">
        <x:v>https://api.bls.gov/publicAPI/v2/timeseries/data/</x:v>
      </x:c>
    </x:row>
    <x:row r="104" ht="38" customHeight="1">
      <x:c r="A104" s="28" t="n">
        <x:v>45078</x:v>
      </x:c>
      <x:c r="B104" s="2" t="str">
        <x:v>52</x:v>
      </x:c>
      <x:c r="C104" s="29" t="str">
        <x:v>Finance and insurance</x:v>
      </x:c>
      <x:c r="D104" s="2" t="str">
        <x:v>CES5552000001</x:v>
      </x:c>
      <x:c r="E104" s="20" t="n">
        <x:v>6727.8</x:v>
      </x:c>
      <x:c r="F104" s="7" t="b">
        <x:v>0</x:v>
      </x:c>
      <x:c r="G104" s="2" t="str">
        <x:v>2023Q2</x:v>
      </x:c>
      <x:c r="H104" s="2" t="str">
        <x:v>https://api.bls.gov/publicAPI/v2/timeseries/data/</x:v>
      </x:c>
    </x:row>
    <x:row r="105" ht="38" customHeight="1">
      <x:c r="A105" s="28" t="n">
        <x:v>45078</x:v>
      </x:c>
      <x:c r="B105" s="2" t="str">
        <x:v>53</x:v>
      </x:c>
      <x:c r="C105" s="29" t="str">
        <x:v>Real estate and rental and leasing</x:v>
      </x:c>
      <x:c r="D105" s="2" t="str">
        <x:v>CES5553000001</x:v>
      </x:c>
      <x:c r="E105" s="20" t="n">
        <x:v>2453.7</x:v>
      </x:c>
      <x:c r="F105" s="7" t="b">
        <x:v>0</x:v>
      </x:c>
      <x:c r="G105" s="2" t="str">
        <x:v>2023Q2</x:v>
      </x:c>
      <x:c r="H105" s="2" t="str">
        <x:v>https://api.bls.gov/publicAPI/v2/timeseries/data/</x:v>
      </x:c>
    </x:row>
    <x:row r="106" ht="38" customHeight="1">
      <x:c r="A106" s="28" t="n">
        <x:v>45078</x:v>
      </x:c>
      <x:c r="B106" s="2" t="str">
        <x:v>54</x:v>
      </x:c>
      <x:c r="C106" s="29" t="str">
        <x:v>Professional, scientific, and technical services</x:v>
      </x:c>
      <x:c r="D106" s="2" t="str">
        <x:v>CES6054000001</x:v>
      </x:c>
      <x:c r="E106" s="20" t="n">
        <x:v>10775.8</x:v>
      </x:c>
      <x:c r="F106" s="7" t="b">
        <x:v>0</x:v>
      </x:c>
      <x:c r="G106" s="2" t="str">
        <x:v>2023Q2</x:v>
      </x:c>
      <x:c r="H106" s="2" t="str">
        <x:v>https://api.bls.gov/publicAPI/v2/timeseries/data/</x:v>
      </x:c>
    </x:row>
    <x:row r="107" ht="38" customHeight="1">
      <x:c r="A107" s="28" t="n">
        <x:v>45078</x:v>
      </x:c>
      <x:c r="B107" s="2" t="str">
        <x:v>55</x:v>
      </x:c>
      <x:c r="C107" s="29" t="str">
        <x:v>Management of companies and enterprises</x:v>
      </x:c>
      <x:c r="D107" s="2" t="str">
        <x:v>CES6055000001</x:v>
      </x:c>
      <x:c r="E107" s="20" t="n">
        <x:v>2610.2</x:v>
      </x:c>
      <x:c r="F107" s="7" t="b">
        <x:v>0</x:v>
      </x:c>
      <x:c r="G107" s="2" t="str">
        <x:v>2023Q2</x:v>
      </x:c>
      <x:c r="H107" s="2" t="str">
        <x:v>https://api.bls.gov/publicAPI/v2/timeseries/data/</x:v>
      </x:c>
    </x:row>
    <x:row r="108" ht="38" customHeight="1">
      <x:c r="A108" s="28" t="n">
        <x:v>45078</x:v>
      </x:c>
      <x:c r="B108" s="2" t="str">
        <x:v>56</x:v>
      </x:c>
      <x:c r="C108" s="29" t="str">
        <x:v>Administrative, support, and waste services</x:v>
      </x:c>
      <x:c r="D108" s="2" t="str">
        <x:v>CES6056000001</x:v>
      </x:c>
      <x:c r="E108" s="20" t="n">
        <x:v>9439.6</x:v>
      </x:c>
      <x:c r="F108" s="7" t="b">
        <x:v>0</x:v>
      </x:c>
      <x:c r="G108" s="2" t="str">
        <x:v>2023Q2</x:v>
      </x:c>
      <x:c r="H108" s="2" t="str">
        <x:v>https://api.bls.gov/publicAPI/v2/timeseries/data/</x:v>
      </x:c>
    </x:row>
    <x:row r="109" ht="38" customHeight="1">
      <x:c r="A109" s="28" t="n">
        <x:v>45078</x:v>
      </x:c>
      <x:c r="B109" s="2" t="str">
        <x:v>61</x:v>
      </x:c>
      <x:c r="C109" s="29" t="str">
        <x:v>Private educational services</x:v>
      </x:c>
      <x:c r="D109" s="2" t="str">
        <x:v>CES6561000001</x:v>
      </x:c>
      <x:c r="E109" s="20" t="n">
        <x:v>3850.1</x:v>
      </x:c>
      <x:c r="F109" s="7" t="b">
        <x:v>0</x:v>
      </x:c>
      <x:c r="G109" s="2" t="str">
        <x:v>2023Q2</x:v>
      </x:c>
      <x:c r="H109" s="2" t="str">
        <x:v>https://api.bls.gov/publicAPI/v2/timeseries/data/</x:v>
      </x:c>
    </x:row>
    <x:row r="110" ht="38" customHeight="1">
      <x:c r="A110" s="28" t="n">
        <x:v>45078</x:v>
      </x:c>
      <x:c r="B110" s="2" t="str">
        <x:v>62</x:v>
      </x:c>
      <x:c r="C110" s="29" t="str">
        <x:v>Health care and social assistance</x:v>
      </x:c>
      <x:c r="D110" s="2" t="str">
        <x:v>CES6562000001</x:v>
      </x:c>
      <x:c r="E110" s="20" t="n">
        <x:v>21464.2</x:v>
      </x:c>
      <x:c r="F110" s="7" t="b">
        <x:v>0</x:v>
      </x:c>
      <x:c r="G110" s="2" t="str">
        <x:v>2023Q2</x:v>
      </x:c>
      <x:c r="H110" s="2" t="str">
        <x:v>https://api.bls.gov/publicAPI/v2/timeseries/data/</x:v>
      </x:c>
    </x:row>
    <x:row r="111" ht="38" customHeight="1">
      <x:c r="A111" s="28" t="n">
        <x:v>45078</x:v>
      </x:c>
      <x:c r="B111" s="2" t="str">
        <x:v>71</x:v>
      </x:c>
      <x:c r="C111" s="29" t="str">
        <x:v>Arts, entertainment, and recreation</x:v>
      </x:c>
      <x:c r="D111" s="2" t="str">
        <x:v>CES7071000001</x:v>
      </x:c>
      <x:c r="E111" s="20" t="n">
        <x:v>2517.4</x:v>
      </x:c>
      <x:c r="F111" s="7" t="b">
        <x:v>0</x:v>
      </x:c>
      <x:c r="G111" s="2" t="str">
        <x:v>2023Q2</x:v>
      </x:c>
      <x:c r="H111" s="2" t="str">
        <x:v>https://api.bls.gov/publicAPI/v2/timeseries/data/</x:v>
      </x:c>
    </x:row>
    <x:row r="112" ht="38" customHeight="1">
      <x:c r="A112" s="28" t="n">
        <x:v>45078</x:v>
      </x:c>
      <x:c r="B112" s="2" t="str">
        <x:v>72</x:v>
      </x:c>
      <x:c r="C112" s="29" t="str">
        <x:v>Accommodation and food services</x:v>
      </x:c>
      <x:c r="D112" s="2" t="str">
        <x:v>CES7072000001</x:v>
      </x:c>
      <x:c r="E112" s="20" t="n">
        <x:v>14076.7</x:v>
      </x:c>
      <x:c r="F112" s="7" t="b">
        <x:v>0</x:v>
      </x:c>
      <x:c r="G112" s="2" t="str">
        <x:v>2023Q2</x:v>
      </x:c>
      <x:c r="H112" s="2" t="str">
        <x:v>https://api.bls.gov/publicAPI/v2/timeseries/data/</x:v>
      </x:c>
    </x:row>
    <x:row r="113" ht="38" customHeight="1">
      <x:c r="A113" s="28" t="n">
        <x:v>45078</x:v>
      </x:c>
      <x:c r="B113" s="2" t="str">
        <x:v>81</x:v>
      </x:c>
      <x:c r="C113" s="29" t="str">
        <x:v>Other services, except government</x:v>
      </x:c>
      <x:c r="D113" s="2" t="str">
        <x:v>CES8000000001</x:v>
      </x:c>
      <x:c r="E113" s="20" t="n">
        <x:v>5831</x:v>
      </x:c>
      <x:c r="F113" s="7" t="b">
        <x:v>0</x:v>
      </x:c>
      <x:c r="G113" s="2" t="str">
        <x:v>2023Q2</x:v>
      </x:c>
      <x:c r="H113" s="2" t="str">
        <x:v>https://api.bls.gov/publicAPI/v2/timeseries/data/</x:v>
      </x:c>
    </x:row>
    <x:row r="114" ht="38" customHeight="1">
      <x:c r="A114" s="28" t="n">
        <x:v>45108</x:v>
      </x:c>
      <x:c r="B114" s="2" t="str">
        <x:v>21</x:v>
      </x:c>
      <x:c r="C114" s="29" t="str">
        <x:v>Mining, quarrying, and oil and gas extraction</x:v>
      </x:c>
      <x:c r="D114" s="2" t="str">
        <x:v>CES1021000001</x:v>
      </x:c>
      <x:c r="E114" s="20" t="n">
        <x:v>595.8</x:v>
      </x:c>
      <x:c r="F114" s="7" t="b">
        <x:v>0</x:v>
      </x:c>
      <x:c r="G114" s="2" t="str">
        <x:v>2023Q3</x:v>
      </x:c>
      <x:c r="H114" s="2" t="str">
        <x:v>https://api.bls.gov/publicAPI/v2/timeseries/data/</x:v>
      </x:c>
    </x:row>
    <x:row r="115" ht="38" customHeight="1">
      <x:c r="A115" s="28" t="n">
        <x:v>45108</x:v>
      </x:c>
      <x:c r="B115" s="2" t="str">
        <x:v>22</x:v>
      </x:c>
      <x:c r="C115" s="29" t="str">
        <x:v>Utilities</x:v>
      </x:c>
      <x:c r="D115" s="2" t="str">
        <x:v>CES4422000001</x:v>
      </x:c>
      <x:c r="E115" s="20" t="n">
        <x:v>574.1</x:v>
      </x:c>
      <x:c r="F115" s="7" t="b">
        <x:v>0</x:v>
      </x:c>
      <x:c r="G115" s="2" t="str">
        <x:v>2023Q3</x:v>
      </x:c>
      <x:c r="H115" s="2" t="str">
        <x:v>https://api.bls.gov/publicAPI/v2/timeseries/data/</x:v>
      </x:c>
    </x:row>
    <x:row r="116" ht="38" customHeight="1">
      <x:c r="A116" s="28" t="n">
        <x:v>45108</x:v>
      </x:c>
      <x:c r="B116" s="2" t="str">
        <x:v>23</x:v>
      </x:c>
      <x:c r="C116" s="29" t="str">
        <x:v>Construction</x:v>
      </x:c>
      <x:c r="D116" s="2" t="str">
        <x:v>CES2000000001</x:v>
      </x:c>
      <x:c r="E116" s="20" t="n">
        <x:v>8016</x:v>
      </x:c>
      <x:c r="F116" s="7" t="b">
        <x:v>0</x:v>
      </x:c>
      <x:c r="G116" s="2" t="str">
        <x:v>2023Q3</x:v>
      </x:c>
      <x:c r="H116" s="2" t="str">
        <x:v>https://api.bls.gov/publicAPI/v2/timeseries/data/</x:v>
      </x:c>
    </x:row>
    <x:row r="117" ht="38" customHeight="1">
      <x:c r="A117" s="28" t="n">
        <x:v>45108</x:v>
      </x:c>
      <x:c r="B117" s="2" t="str">
        <x:v>31-33</x:v>
      </x:c>
      <x:c r="C117" s="29" t="str">
        <x:v>Manufacturing</x:v>
      </x:c>
      <x:c r="D117" s="2" t="str">
        <x:v>CES3000000001</x:v>
      </x:c>
      <x:c r="E117" s="20" t="n">
        <x:v>12862</x:v>
      </x:c>
      <x:c r="F117" s="7" t="b">
        <x:v>0</x:v>
      </x:c>
      <x:c r="G117" s="2" t="str">
        <x:v>2023Q3</x:v>
      </x:c>
      <x:c r="H117" s="2" t="str">
        <x:v>https://api.bls.gov/publicAPI/v2/timeseries/data/</x:v>
      </x:c>
    </x:row>
    <x:row r="118" ht="38" customHeight="1">
      <x:c r="A118" s="28" t="n">
        <x:v>45108</x:v>
      </x:c>
      <x:c r="B118" s="2" t="str">
        <x:v>42</x:v>
      </x:c>
      <x:c r="C118" s="29" t="str">
        <x:v>Wholesale trade</x:v>
      </x:c>
      <x:c r="D118" s="2" t="str">
        <x:v>CES4142000001</x:v>
      </x:c>
      <x:c r="E118" s="20" t="n">
        <x:v>6112.5</x:v>
      </x:c>
      <x:c r="F118" s="7" t="b">
        <x:v>0</x:v>
      </x:c>
      <x:c r="G118" s="2" t="str">
        <x:v>2023Q3</x:v>
      </x:c>
      <x:c r="H118" s="2" t="str">
        <x:v>https://api.bls.gov/publicAPI/v2/timeseries/data/</x:v>
      </x:c>
    </x:row>
    <x:row r="119" ht="38" customHeight="1">
      <x:c r="A119" s="28" t="n">
        <x:v>45108</x:v>
      </x:c>
      <x:c r="B119" s="2" t="str">
        <x:v>44-45</x:v>
      </x:c>
      <x:c r="C119" s="29" t="str">
        <x:v>Retail trade</x:v>
      </x:c>
      <x:c r="D119" s="2" t="str">
        <x:v>CES4200000001</x:v>
      </x:c>
      <x:c r="E119" s="20" t="n">
        <x:v>15539.5</x:v>
      </x:c>
      <x:c r="F119" s="7" t="b">
        <x:v>0</x:v>
      </x:c>
      <x:c r="G119" s="2" t="str">
        <x:v>2023Q3</x:v>
      </x:c>
      <x:c r="H119" s="2" t="str">
        <x:v>https://api.bls.gov/publicAPI/v2/timeseries/data/</x:v>
      </x:c>
    </x:row>
    <x:row r="120" ht="38" customHeight="1">
      <x:c r="A120" s="28" t="n">
        <x:v>45108</x:v>
      </x:c>
      <x:c r="B120" s="2" t="str">
        <x:v>48-49</x:v>
      </x:c>
      <x:c r="C120" s="29" t="str">
        <x:v>Transportation and warehousing</x:v>
      </x:c>
      <x:c r="D120" s="2" t="str">
        <x:v>CES4300000001</x:v>
      </x:c>
      <x:c r="E120" s="20" t="n">
        <x:v>6589.4</x:v>
      </x:c>
      <x:c r="F120" s="7" t="b">
        <x:v>0</x:v>
      </x:c>
      <x:c r="G120" s="2" t="str">
        <x:v>2023Q3</x:v>
      </x:c>
      <x:c r="H120" s="2" t="str">
        <x:v>https://api.bls.gov/publicAPI/v2/timeseries/data/</x:v>
      </x:c>
    </x:row>
    <x:row r="121" ht="38" customHeight="1">
      <x:c r="A121" s="28" t="n">
        <x:v>45108</x:v>
      </x:c>
      <x:c r="B121" s="2" t="str">
        <x:v>51</x:v>
      </x:c>
      <x:c r="C121" s="29" t="str">
        <x:v>Information</x:v>
      </x:c>
      <x:c r="D121" s="2" t="str">
        <x:v>CES5000000001</x:v>
      </x:c>
      <x:c r="E121" s="20" t="n">
        <x:v>3001</x:v>
      </x:c>
      <x:c r="F121" s="7" t="b">
        <x:v>0</x:v>
      </x:c>
      <x:c r="G121" s="2" t="str">
        <x:v>2023Q3</x:v>
      </x:c>
      <x:c r="H121" s="2" t="str">
        <x:v>https://api.bls.gov/publicAPI/v2/timeseries/data/</x:v>
      </x:c>
    </x:row>
    <x:row r="122" ht="38" customHeight="1">
      <x:c r="A122" s="28" t="n">
        <x:v>45108</x:v>
      </x:c>
      <x:c r="B122" s="2" t="str">
        <x:v>52</x:v>
      </x:c>
      <x:c r="C122" s="29" t="str">
        <x:v>Finance and insurance</x:v>
      </x:c>
      <x:c r="D122" s="2" t="str">
        <x:v>CES5552000001</x:v>
      </x:c>
      <x:c r="E122" s="20" t="n">
        <x:v>6730.8</x:v>
      </x:c>
      <x:c r="F122" s="7" t="b">
        <x:v>0</x:v>
      </x:c>
      <x:c r="G122" s="2" t="str">
        <x:v>2023Q3</x:v>
      </x:c>
      <x:c r="H122" s="2" t="str">
        <x:v>https://api.bls.gov/publicAPI/v2/timeseries/data/</x:v>
      </x:c>
    </x:row>
    <x:row r="123" ht="38" customHeight="1">
      <x:c r="A123" s="28" t="n">
        <x:v>45108</x:v>
      </x:c>
      <x:c r="B123" s="2" t="str">
        <x:v>53</x:v>
      </x:c>
      <x:c r="C123" s="29" t="str">
        <x:v>Real estate and rental and leasing</x:v>
      </x:c>
      <x:c r="D123" s="2" t="str">
        <x:v>CES5553000001</x:v>
      </x:c>
      <x:c r="E123" s="20" t="n">
        <x:v>2461.9</x:v>
      </x:c>
      <x:c r="F123" s="7" t="b">
        <x:v>0</x:v>
      </x:c>
      <x:c r="G123" s="2" t="str">
        <x:v>2023Q3</x:v>
      </x:c>
      <x:c r="H123" s="2" t="str">
        <x:v>https://api.bls.gov/publicAPI/v2/timeseries/data/</x:v>
      </x:c>
    </x:row>
    <x:row r="124" ht="38" customHeight="1">
      <x:c r="A124" s="28" t="n">
        <x:v>45108</x:v>
      </x:c>
      <x:c r="B124" s="2" t="str">
        <x:v>54</x:v>
      </x:c>
      <x:c r="C124" s="29" t="str">
        <x:v>Professional, scientific, and technical services</x:v>
      </x:c>
      <x:c r="D124" s="2" t="str">
        <x:v>CES6054000001</x:v>
      </x:c>
      <x:c r="E124" s="20" t="n">
        <x:v>10786.9</x:v>
      </x:c>
      <x:c r="F124" s="7" t="b">
        <x:v>0</x:v>
      </x:c>
      <x:c r="G124" s="2" t="str">
        <x:v>2023Q3</x:v>
      </x:c>
      <x:c r="H124" s="2" t="str">
        <x:v>https://api.bls.gov/publicAPI/v2/timeseries/data/</x:v>
      </x:c>
    </x:row>
    <x:row r="125" ht="38" customHeight="1">
      <x:c r="A125" s="28" t="n">
        <x:v>45108</x:v>
      </x:c>
      <x:c r="B125" s="2" t="str">
        <x:v>55</x:v>
      </x:c>
      <x:c r="C125" s="29" t="str">
        <x:v>Management of companies and enterprises</x:v>
      </x:c>
      <x:c r="D125" s="2" t="str">
        <x:v>CES6055000001</x:v>
      </x:c>
      <x:c r="E125" s="20" t="n">
        <x:v>2602.3</x:v>
      </x:c>
      <x:c r="F125" s="7" t="b">
        <x:v>0</x:v>
      </x:c>
      <x:c r="G125" s="2" t="str">
        <x:v>2023Q3</x:v>
      </x:c>
      <x:c r="H125" s="2" t="str">
        <x:v>https://api.bls.gov/publicAPI/v2/timeseries/data/</x:v>
      </x:c>
    </x:row>
    <x:row r="126" ht="38" customHeight="1">
      <x:c r="A126" s="28" t="n">
        <x:v>45108</x:v>
      </x:c>
      <x:c r="B126" s="2" t="str">
        <x:v>56</x:v>
      </x:c>
      <x:c r="C126" s="29" t="str">
        <x:v>Administrative, support, and waste services</x:v>
      </x:c>
      <x:c r="D126" s="2" t="str">
        <x:v>CES6056000001</x:v>
      </x:c>
      <x:c r="E126" s="20" t="n">
        <x:v>9389.5</x:v>
      </x:c>
      <x:c r="F126" s="7" t="b">
        <x:v>0</x:v>
      </x:c>
      <x:c r="G126" s="2" t="str">
        <x:v>2023Q3</x:v>
      </x:c>
      <x:c r="H126" s="2" t="str">
        <x:v>https://api.bls.gov/publicAPI/v2/timeseries/data/</x:v>
      </x:c>
    </x:row>
    <x:row r="127" ht="38" customHeight="1">
      <x:c r="A127" s="28" t="n">
        <x:v>45108</x:v>
      </x:c>
      <x:c r="B127" s="2" t="str">
        <x:v>61</x:v>
      </x:c>
      <x:c r="C127" s="29" t="str">
        <x:v>Private educational services</x:v>
      </x:c>
      <x:c r="D127" s="2" t="str">
        <x:v>CES6561000001</x:v>
      </x:c>
      <x:c r="E127" s="20" t="n">
        <x:v>3858.7</x:v>
      </x:c>
      <x:c r="F127" s="7" t="b">
        <x:v>0</x:v>
      </x:c>
      <x:c r="G127" s="2" t="str">
        <x:v>2023Q3</x:v>
      </x:c>
      <x:c r="H127" s="2" t="str">
        <x:v>https://api.bls.gov/publicAPI/v2/timeseries/data/</x:v>
      </x:c>
    </x:row>
    <x:row r="128" ht="38" customHeight="1">
      <x:c r="A128" s="28" t="n">
        <x:v>45108</x:v>
      </x:c>
      <x:c r="B128" s="2" t="str">
        <x:v>62</x:v>
      </x:c>
      <x:c r="C128" s="29" t="str">
        <x:v>Health care and social assistance</x:v>
      </x:c>
      <x:c r="D128" s="2" t="str">
        <x:v>CES6562000001</x:v>
      </x:c>
      <x:c r="E128" s="20" t="n">
        <x:v>21576.6</x:v>
      </x:c>
      <x:c r="F128" s="7" t="b">
        <x:v>0</x:v>
      </x:c>
      <x:c r="G128" s="2" t="str">
        <x:v>2023Q3</x:v>
      </x:c>
      <x:c r="H128" s="2" t="str">
        <x:v>https://api.bls.gov/publicAPI/v2/timeseries/data/</x:v>
      </x:c>
    </x:row>
    <x:row r="129" ht="38" customHeight="1">
      <x:c r="A129" s="28" t="n">
        <x:v>45108</x:v>
      </x:c>
      <x:c r="B129" s="2" t="str">
        <x:v>71</x:v>
      </x:c>
      <x:c r="C129" s="29" t="str">
        <x:v>Arts, entertainment, and recreation</x:v>
      </x:c>
      <x:c r="D129" s="2" t="str">
        <x:v>CES7071000001</x:v>
      </x:c>
      <x:c r="E129" s="20" t="n">
        <x:v>2518.9</x:v>
      </x:c>
      <x:c r="F129" s="7" t="b">
        <x:v>0</x:v>
      </x:c>
      <x:c r="G129" s="2" t="str">
        <x:v>2023Q3</x:v>
      </x:c>
      <x:c r="H129" s="2" t="str">
        <x:v>https://api.bls.gov/publicAPI/v2/timeseries/data/</x:v>
      </x:c>
    </x:row>
    <x:row r="130" ht="38" customHeight="1">
      <x:c r="A130" s="28" t="n">
        <x:v>45108</x:v>
      </x:c>
      <x:c r="B130" s="2" t="str">
        <x:v>72</x:v>
      </x:c>
      <x:c r="C130" s="29" t="str">
        <x:v>Accommodation and food services</x:v>
      </x:c>
      <x:c r="D130" s="2" t="str">
        <x:v>CES7072000001</x:v>
      </x:c>
      <x:c r="E130" s="20" t="n">
        <x:v>14097.3</x:v>
      </x:c>
      <x:c r="F130" s="7" t="b">
        <x:v>0</x:v>
      </x:c>
      <x:c r="G130" s="2" t="str">
        <x:v>2023Q3</x:v>
      </x:c>
      <x:c r="H130" s="2" t="str">
        <x:v>https://api.bls.gov/publicAPI/v2/timeseries/data/</x:v>
      </x:c>
    </x:row>
    <x:row r="131" ht="38" customHeight="1">
      <x:c r="A131" s="28" t="n">
        <x:v>45108</x:v>
      </x:c>
      <x:c r="B131" s="2" t="str">
        <x:v>81</x:v>
      </x:c>
      <x:c r="C131" s="29" t="str">
        <x:v>Other services, except government</x:v>
      </x:c>
      <x:c r="D131" s="2" t="str">
        <x:v>CES8000000001</x:v>
      </x:c>
      <x:c r="E131" s="20" t="n">
        <x:v>5846</x:v>
      </x:c>
      <x:c r="F131" s="7" t="b">
        <x:v>0</x:v>
      </x:c>
      <x:c r="G131" s="2" t="str">
        <x:v>2023Q3</x:v>
      </x:c>
      <x:c r="H131" s="2" t="str">
        <x:v>https://api.bls.gov/publicAPI/v2/timeseries/data/</x:v>
      </x:c>
    </x:row>
    <x:row r="132" ht="38" customHeight="1">
      <x:c r="A132" s="28" t="n">
        <x:v>45139</x:v>
      </x:c>
      <x:c r="B132" s="2" t="str">
        <x:v>21</x:v>
      </x:c>
      <x:c r="C132" s="29" t="str">
        <x:v>Mining, quarrying, and oil and gas extraction</x:v>
      </x:c>
      <x:c r="D132" s="2" t="str">
        <x:v>CES1021000001</x:v>
      </x:c>
      <x:c r="E132" s="20" t="n">
        <x:v>595.8</x:v>
      </x:c>
      <x:c r="F132" s="7" t="b">
        <x:v>0</x:v>
      </x:c>
      <x:c r="G132" s="2" t="str">
        <x:v>2023Q3</x:v>
      </x:c>
      <x:c r="H132" s="2" t="str">
        <x:v>https://api.bls.gov/publicAPI/v2/timeseries/data/</x:v>
      </x:c>
    </x:row>
    <x:row r="133" ht="38" customHeight="1">
      <x:c r="A133" s="28" t="n">
        <x:v>45139</x:v>
      </x:c>
      <x:c r="B133" s="2" t="str">
        <x:v>22</x:v>
      </x:c>
      <x:c r="C133" s="29" t="str">
        <x:v>Utilities</x:v>
      </x:c>
      <x:c r="D133" s="2" t="str">
        <x:v>CES4422000001</x:v>
      </x:c>
      <x:c r="E133" s="20" t="n">
        <x:v>577</x:v>
      </x:c>
      <x:c r="F133" s="7" t="b">
        <x:v>0</x:v>
      </x:c>
      <x:c r="G133" s="2" t="str">
        <x:v>2023Q3</x:v>
      </x:c>
      <x:c r="H133" s="2" t="str">
        <x:v>https://api.bls.gov/publicAPI/v2/timeseries/data/</x:v>
      </x:c>
    </x:row>
    <x:row r="134" ht="38" customHeight="1">
      <x:c r="A134" s="28" t="n">
        <x:v>45139</x:v>
      </x:c>
      <x:c r="B134" s="2" t="str">
        <x:v>23</x:v>
      </x:c>
      <x:c r="C134" s="29" t="str">
        <x:v>Construction</x:v>
      </x:c>
      <x:c r="D134" s="2" t="str">
        <x:v>CES2000000001</x:v>
      </x:c>
      <x:c r="E134" s="20" t="n">
        <x:v>8042</x:v>
      </x:c>
      <x:c r="F134" s="7" t="b">
        <x:v>0</x:v>
      </x:c>
      <x:c r="G134" s="2" t="str">
        <x:v>2023Q3</x:v>
      </x:c>
      <x:c r="H134" s="2" t="str">
        <x:v>https://api.bls.gov/publicAPI/v2/timeseries/data/</x:v>
      </x:c>
    </x:row>
    <x:row r="135" ht="38" customHeight="1">
      <x:c r="A135" s="28" t="n">
        <x:v>45139</x:v>
      </x:c>
      <x:c r="B135" s="2" t="str">
        <x:v>31-33</x:v>
      </x:c>
      <x:c r="C135" s="29" t="str">
        <x:v>Manufacturing</x:v>
      </x:c>
      <x:c r="D135" s="2" t="str">
        <x:v>CES3000000001</x:v>
      </x:c>
      <x:c r="E135" s="20" t="n">
        <x:v>12861</x:v>
      </x:c>
      <x:c r="F135" s="7" t="b">
        <x:v>0</x:v>
      </x:c>
      <x:c r="G135" s="2" t="str">
        <x:v>2023Q3</x:v>
      </x:c>
      <x:c r="H135" s="2" t="str">
        <x:v>https://api.bls.gov/publicAPI/v2/timeseries/data/</x:v>
      </x:c>
    </x:row>
    <x:row r="136" ht="38" customHeight="1">
      <x:c r="A136" s="28" t="n">
        <x:v>45139</x:v>
      </x:c>
      <x:c r="B136" s="2" t="str">
        <x:v>42</x:v>
      </x:c>
      <x:c r="C136" s="29" t="str">
        <x:v>Wholesale trade</x:v>
      </x:c>
      <x:c r="D136" s="2" t="str">
        <x:v>CES4142000001</x:v>
      </x:c>
      <x:c r="E136" s="20" t="n">
        <x:v>6116.7</x:v>
      </x:c>
      <x:c r="F136" s="7" t="b">
        <x:v>0</x:v>
      </x:c>
      <x:c r="G136" s="2" t="str">
        <x:v>2023Q3</x:v>
      </x:c>
      <x:c r="H136" s="2" t="str">
        <x:v>https://api.bls.gov/publicAPI/v2/timeseries/data/</x:v>
      </x:c>
    </x:row>
    <x:row r="137" ht="38" customHeight="1">
      <x:c r="A137" s="28" t="n">
        <x:v>45139</x:v>
      </x:c>
      <x:c r="B137" s="2" t="str">
        <x:v>44-45</x:v>
      </x:c>
      <x:c r="C137" s="29" t="str">
        <x:v>Retail trade</x:v>
      </x:c>
      <x:c r="D137" s="2" t="str">
        <x:v>CES4200000001</x:v>
      </x:c>
      <x:c r="E137" s="20" t="n">
        <x:v>15531.2</x:v>
      </x:c>
      <x:c r="F137" s="7" t="b">
        <x:v>0</x:v>
      </x:c>
      <x:c r="G137" s="2" t="str">
        <x:v>2023Q3</x:v>
      </x:c>
      <x:c r="H137" s="2" t="str">
        <x:v>https://api.bls.gov/publicAPI/v2/timeseries/data/</x:v>
      </x:c>
    </x:row>
    <x:row r="138" ht="38" customHeight="1">
      <x:c r="A138" s="28" t="n">
        <x:v>45139</x:v>
      </x:c>
      <x:c r="B138" s="2" t="str">
        <x:v>48-49</x:v>
      </x:c>
      <x:c r="C138" s="29" t="str">
        <x:v>Transportation and warehousing</x:v>
      </x:c>
      <x:c r="D138" s="2" t="str">
        <x:v>CES4300000001</x:v>
      </x:c>
      <x:c r="E138" s="20" t="n">
        <x:v>6574.5</x:v>
      </x:c>
      <x:c r="F138" s="7" t="b">
        <x:v>0</x:v>
      </x:c>
      <x:c r="G138" s="2" t="str">
        <x:v>2023Q3</x:v>
      </x:c>
      <x:c r="H138" s="2" t="str">
        <x:v>https://api.bls.gov/publicAPI/v2/timeseries/data/</x:v>
      </x:c>
    </x:row>
    <x:row r="139" ht="38" customHeight="1">
      <x:c r="A139" s="28" t="n">
        <x:v>45139</x:v>
      </x:c>
      <x:c r="B139" s="2" t="str">
        <x:v>51</x:v>
      </x:c>
      <x:c r="C139" s="29" t="str">
        <x:v>Information</x:v>
      </x:c>
      <x:c r="D139" s="2" t="str">
        <x:v>CES5000000001</x:v>
      </x:c>
      <x:c r="E139" s="20" t="n">
        <x:v>2981</x:v>
      </x:c>
      <x:c r="F139" s="7" t="b">
        <x:v>0</x:v>
      </x:c>
      <x:c r="G139" s="2" t="str">
        <x:v>2023Q3</x:v>
      </x:c>
      <x:c r="H139" s="2" t="str">
        <x:v>https://api.bls.gov/publicAPI/v2/timeseries/data/</x:v>
      </x:c>
    </x:row>
    <x:row r="140" ht="38" customHeight="1">
      <x:c r="A140" s="28" t="n">
        <x:v>45139</x:v>
      </x:c>
      <x:c r="B140" s="2" t="str">
        <x:v>52</x:v>
      </x:c>
      <x:c r="C140" s="29" t="str">
        <x:v>Finance and insurance</x:v>
      </x:c>
      <x:c r="D140" s="2" t="str">
        <x:v>CES5552000001</x:v>
      </x:c>
      <x:c r="E140" s="20" t="n">
        <x:v>6729.8</x:v>
      </x:c>
      <x:c r="F140" s="7" t="b">
        <x:v>0</x:v>
      </x:c>
      <x:c r="G140" s="2" t="str">
        <x:v>2023Q3</x:v>
      </x:c>
      <x:c r="H140" s="2" t="str">
        <x:v>https://api.bls.gov/publicAPI/v2/timeseries/data/</x:v>
      </x:c>
    </x:row>
    <x:row r="141" ht="38" customHeight="1">
      <x:c r="A141" s="28" t="n">
        <x:v>45139</x:v>
      </x:c>
      <x:c r="B141" s="2" t="str">
        <x:v>53</x:v>
      </x:c>
      <x:c r="C141" s="29" t="str">
        <x:v>Real estate and rental and leasing</x:v>
      </x:c>
      <x:c r="D141" s="2" t="str">
        <x:v>CES5553000001</x:v>
      </x:c>
      <x:c r="E141" s="20" t="n">
        <x:v>2463.4</x:v>
      </x:c>
      <x:c r="F141" s="7" t="b">
        <x:v>0</x:v>
      </x:c>
      <x:c r="G141" s="2" t="str">
        <x:v>2023Q3</x:v>
      </x:c>
      <x:c r="H141" s="2" t="str">
        <x:v>https://api.bls.gov/publicAPI/v2/timeseries/data/</x:v>
      </x:c>
    </x:row>
    <x:row r="142" ht="38" customHeight="1">
      <x:c r="A142" s="28" t="n">
        <x:v>45139</x:v>
      </x:c>
      <x:c r="B142" s="2" t="str">
        <x:v>54</x:v>
      </x:c>
      <x:c r="C142" s="29" t="str">
        <x:v>Professional, scientific, and technical services</x:v>
      </x:c>
      <x:c r="D142" s="2" t="str">
        <x:v>CES6054000001</x:v>
      </x:c>
      <x:c r="E142" s="20" t="n">
        <x:v>10787.1</x:v>
      </x:c>
      <x:c r="F142" s="7" t="b">
        <x:v>0</x:v>
      </x:c>
      <x:c r="G142" s="2" t="str">
        <x:v>2023Q3</x:v>
      </x:c>
      <x:c r="H142" s="2" t="str">
        <x:v>https://api.bls.gov/publicAPI/v2/timeseries/data/</x:v>
      </x:c>
    </x:row>
    <x:row r="143" ht="38" customHeight="1">
      <x:c r="A143" s="28" t="n">
        <x:v>45139</x:v>
      </x:c>
      <x:c r="B143" s="2" t="str">
        <x:v>55</x:v>
      </x:c>
      <x:c r="C143" s="29" t="str">
        <x:v>Management of companies and enterprises</x:v>
      </x:c>
      <x:c r="D143" s="2" t="str">
        <x:v>CES6055000001</x:v>
      </x:c>
      <x:c r="E143" s="20" t="n">
        <x:v>2616.4</x:v>
      </x:c>
      <x:c r="F143" s="7" t="b">
        <x:v>0</x:v>
      </x:c>
      <x:c r="G143" s="2" t="str">
        <x:v>2023Q3</x:v>
      </x:c>
      <x:c r="H143" s="2" t="str">
        <x:v>https://api.bls.gov/publicAPI/v2/timeseries/data/</x:v>
      </x:c>
    </x:row>
    <x:row r="144" ht="38" customHeight="1">
      <x:c r="A144" s="28" t="n">
        <x:v>45139</x:v>
      </x:c>
      <x:c r="B144" s="2" t="str">
        <x:v>56</x:v>
      </x:c>
      <x:c r="C144" s="29" t="str">
        <x:v>Administrative, support, and waste services</x:v>
      </x:c>
      <x:c r="D144" s="2" t="str">
        <x:v>CES6056000001</x:v>
      </x:c>
      <x:c r="E144" s="20" t="n">
        <x:v>9364.1</x:v>
      </x:c>
      <x:c r="F144" s="7" t="b">
        <x:v>0</x:v>
      </x:c>
      <x:c r="G144" s="2" t="str">
        <x:v>2023Q3</x:v>
      </x:c>
      <x:c r="H144" s="2" t="str">
        <x:v>https://api.bls.gov/publicAPI/v2/timeseries/data/</x:v>
      </x:c>
    </x:row>
    <x:row r="145" ht="38" customHeight="1">
      <x:c r="A145" s="28" t="n">
        <x:v>45139</x:v>
      </x:c>
      <x:c r="B145" s="2" t="str">
        <x:v>61</x:v>
      </x:c>
      <x:c r="C145" s="29" t="str">
        <x:v>Private educational services</x:v>
      </x:c>
      <x:c r="D145" s="2" t="str">
        <x:v>CES6561000001</x:v>
      </x:c>
      <x:c r="E145" s="20" t="n">
        <x:v>3867.6</x:v>
      </x:c>
      <x:c r="F145" s="7" t="b">
        <x:v>0</x:v>
      </x:c>
      <x:c r="G145" s="2" t="str">
        <x:v>2023Q3</x:v>
      </x:c>
      <x:c r="H145" s="2" t="str">
        <x:v>https://api.bls.gov/publicAPI/v2/timeseries/data/</x:v>
      </x:c>
    </x:row>
    <x:row r="146" ht="38" customHeight="1">
      <x:c r="A146" s="28" t="n">
        <x:v>45139</x:v>
      </x:c>
      <x:c r="B146" s="2" t="str">
        <x:v>62</x:v>
      </x:c>
      <x:c r="C146" s="29" t="str">
        <x:v>Health care and social assistance</x:v>
      </x:c>
      <x:c r="D146" s="2" t="str">
        <x:v>CES6562000001</x:v>
      </x:c>
      <x:c r="E146" s="20" t="n">
        <x:v>21676.7</x:v>
      </x:c>
      <x:c r="F146" s="7" t="b">
        <x:v>0</x:v>
      </x:c>
      <x:c r="G146" s="2" t="str">
        <x:v>2023Q3</x:v>
      </x:c>
      <x:c r="H146" s="2" t="str">
        <x:v>https://api.bls.gov/publicAPI/v2/timeseries/data/</x:v>
      </x:c>
    </x:row>
    <x:row r="147" ht="38" customHeight="1">
      <x:c r="A147" s="28" t="n">
        <x:v>45139</x:v>
      </x:c>
      <x:c r="B147" s="2" t="str">
        <x:v>71</x:v>
      </x:c>
      <x:c r="C147" s="29" t="str">
        <x:v>Arts, entertainment, and recreation</x:v>
      </x:c>
      <x:c r="D147" s="2" t="str">
        <x:v>CES7071000001</x:v>
      </x:c>
      <x:c r="E147" s="20" t="n">
        <x:v>2526.1</x:v>
      </x:c>
      <x:c r="F147" s="7" t="b">
        <x:v>0</x:v>
      </x:c>
      <x:c r="G147" s="2" t="str">
        <x:v>2023Q3</x:v>
      </x:c>
      <x:c r="H147" s="2" t="str">
        <x:v>https://api.bls.gov/publicAPI/v2/timeseries/data/</x:v>
      </x:c>
    </x:row>
    <x:row r="148" ht="38" customHeight="1">
      <x:c r="A148" s="28" t="n">
        <x:v>45139</x:v>
      </x:c>
      <x:c r="B148" s="2" t="str">
        <x:v>72</x:v>
      </x:c>
      <x:c r="C148" s="29" t="str">
        <x:v>Accommodation and food services</x:v>
      </x:c>
      <x:c r="D148" s="2" t="str">
        <x:v>CES7072000001</x:v>
      </x:c>
      <x:c r="E148" s="20" t="n">
        <x:v>14124.4</x:v>
      </x:c>
      <x:c r="F148" s="7" t="b">
        <x:v>0</x:v>
      </x:c>
      <x:c r="G148" s="2" t="str">
        <x:v>2023Q3</x:v>
      </x:c>
      <x:c r="H148" s="2" t="str">
        <x:v>https://api.bls.gov/publicAPI/v2/timeseries/data/</x:v>
      </x:c>
    </x:row>
    <x:row r="149" ht="38" customHeight="1">
      <x:c r="A149" s="28" t="n">
        <x:v>45139</x:v>
      </x:c>
      <x:c r="B149" s="2" t="str">
        <x:v>81</x:v>
      </x:c>
      <x:c r="C149" s="29" t="str">
        <x:v>Other services, except government</x:v>
      </x:c>
      <x:c r="D149" s="2" t="str">
        <x:v>CES8000000001</x:v>
      </x:c>
      <x:c r="E149" s="20" t="n">
        <x:v>5874</x:v>
      </x:c>
      <x:c r="F149" s="7" t="b">
        <x:v>0</x:v>
      </x:c>
      <x:c r="G149" s="2" t="str">
        <x:v>2023Q3</x:v>
      </x:c>
      <x:c r="H149" s="2" t="str">
        <x:v>https://api.bls.gov/publicAPI/v2/timeseries/data/</x:v>
      </x:c>
    </x:row>
    <x:row r="150" ht="38" customHeight="1">
      <x:c r="A150" s="28" t="n">
        <x:v>45170</x:v>
      </x:c>
      <x:c r="B150" s="2" t="str">
        <x:v>21</x:v>
      </x:c>
      <x:c r="C150" s="29" t="str">
        <x:v>Mining, quarrying, and oil and gas extraction</x:v>
      </x:c>
      <x:c r="D150" s="2" t="str">
        <x:v>CES1021000001</x:v>
      </x:c>
      <x:c r="E150" s="20" t="n">
        <x:v>595</x:v>
      </x:c>
      <x:c r="F150" s="7" t="b">
        <x:v>0</x:v>
      </x:c>
      <x:c r="G150" s="2" t="str">
        <x:v>2023Q3</x:v>
      </x:c>
      <x:c r="H150" s="2" t="str">
        <x:v>https://api.bls.gov/publicAPI/v2/timeseries/data/</x:v>
      </x:c>
    </x:row>
    <x:row r="151" ht="38" customHeight="1">
      <x:c r="A151" s="28" t="n">
        <x:v>45170</x:v>
      </x:c>
      <x:c r="B151" s="2" t="str">
        <x:v>22</x:v>
      </x:c>
      <x:c r="C151" s="29" t="str">
        <x:v>Utilities</x:v>
      </x:c>
      <x:c r="D151" s="2" t="str">
        <x:v>CES4422000001</x:v>
      </x:c>
      <x:c r="E151" s="20" t="n">
        <x:v>579.5</x:v>
      </x:c>
      <x:c r="F151" s="7" t="b">
        <x:v>0</x:v>
      </x:c>
      <x:c r="G151" s="2" t="str">
        <x:v>2023Q3</x:v>
      </x:c>
      <x:c r="H151" s="2" t="str">
        <x:v>https://api.bls.gov/publicAPI/v2/timeseries/data/</x:v>
      </x:c>
    </x:row>
    <x:row r="152" ht="38" customHeight="1">
      <x:c r="A152" s="28" t="n">
        <x:v>45170</x:v>
      </x:c>
      <x:c r="B152" s="2" t="str">
        <x:v>23</x:v>
      </x:c>
      <x:c r="C152" s="29" t="str">
        <x:v>Construction</x:v>
      </x:c>
      <x:c r="D152" s="2" t="str">
        <x:v>CES2000000001</x:v>
      </x:c>
      <x:c r="E152" s="20" t="n">
        <x:v>8053</x:v>
      </x:c>
      <x:c r="F152" s="7" t="b">
        <x:v>0</x:v>
      </x:c>
      <x:c r="G152" s="2" t="str">
        <x:v>2023Q3</x:v>
      </x:c>
      <x:c r="H152" s="2" t="str">
        <x:v>https://api.bls.gov/publicAPI/v2/timeseries/data/</x:v>
      </x:c>
    </x:row>
    <x:row r="153" ht="38" customHeight="1">
      <x:c r="A153" s="28" t="n">
        <x:v>45170</x:v>
      </x:c>
      <x:c r="B153" s="2" t="str">
        <x:v>31-33</x:v>
      </x:c>
      <x:c r="C153" s="29" t="str">
        <x:v>Manufacturing</x:v>
      </x:c>
      <x:c r="D153" s="2" t="str">
        <x:v>CES3000000001</x:v>
      </x:c>
      <x:c r="E153" s="20" t="n">
        <x:v>12872</x:v>
      </x:c>
      <x:c r="F153" s="7" t="b">
        <x:v>0</x:v>
      </x:c>
      <x:c r="G153" s="2" t="str">
        <x:v>2023Q3</x:v>
      </x:c>
      <x:c r="H153" s="2" t="str">
        <x:v>https://api.bls.gov/publicAPI/v2/timeseries/data/</x:v>
      </x:c>
    </x:row>
    <x:row r="154" ht="38" customHeight="1">
      <x:c r="A154" s="28" t="n">
        <x:v>45170</x:v>
      </x:c>
      <x:c r="B154" s="2" t="str">
        <x:v>42</x:v>
      </x:c>
      <x:c r="C154" s="29" t="str">
        <x:v>Wholesale trade</x:v>
      </x:c>
      <x:c r="D154" s="2" t="str">
        <x:v>CES4142000001</x:v>
      </x:c>
      <x:c r="E154" s="20" t="n">
        <x:v>6125.9</x:v>
      </x:c>
      <x:c r="F154" s="7" t="b">
        <x:v>0</x:v>
      </x:c>
      <x:c r="G154" s="2" t="str">
        <x:v>2023Q3</x:v>
      </x:c>
      <x:c r="H154" s="2" t="str">
        <x:v>https://api.bls.gov/publicAPI/v2/timeseries/data/</x:v>
      </x:c>
    </x:row>
    <x:row r="155" ht="38" customHeight="1">
      <x:c r="A155" s="28" t="n">
        <x:v>45170</x:v>
      </x:c>
      <x:c r="B155" s="2" t="str">
        <x:v>44-45</x:v>
      </x:c>
      <x:c r="C155" s="29" t="str">
        <x:v>Retail trade</x:v>
      </x:c>
      <x:c r="D155" s="2" t="str">
        <x:v>CES4200000001</x:v>
      </x:c>
      <x:c r="E155" s="20" t="n">
        <x:v>15531.3</x:v>
      </x:c>
      <x:c r="F155" s="7" t="b">
        <x:v>0</x:v>
      </x:c>
      <x:c r="G155" s="2" t="str">
        <x:v>2023Q3</x:v>
      </x:c>
      <x:c r="H155" s="2" t="str">
        <x:v>https://api.bls.gov/publicAPI/v2/timeseries/data/</x:v>
      </x:c>
    </x:row>
    <x:row r="156" ht="38" customHeight="1">
      <x:c r="A156" s="28" t="n">
        <x:v>45170</x:v>
      </x:c>
      <x:c r="B156" s="2" t="str">
        <x:v>48-49</x:v>
      </x:c>
      <x:c r="C156" s="29" t="str">
        <x:v>Transportation and warehousing</x:v>
      </x:c>
      <x:c r="D156" s="2" t="str">
        <x:v>CES4300000001</x:v>
      </x:c>
      <x:c r="E156" s="20" t="n">
        <x:v>6595.3</x:v>
      </x:c>
      <x:c r="F156" s="7" t="b">
        <x:v>0</x:v>
      </x:c>
      <x:c r="G156" s="2" t="str">
        <x:v>2023Q3</x:v>
      </x:c>
      <x:c r="H156" s="2" t="str">
        <x:v>https://api.bls.gov/publicAPI/v2/timeseries/data/</x:v>
      </x:c>
    </x:row>
    <x:row r="157" ht="38" customHeight="1">
      <x:c r="A157" s="28" t="n">
        <x:v>45170</x:v>
      </x:c>
      <x:c r="B157" s="2" t="str">
        <x:v>51</x:v>
      </x:c>
      <x:c r="C157" s="29" t="str">
        <x:v>Information</x:v>
      </x:c>
      <x:c r="D157" s="2" t="str">
        <x:v>CES5000000001</x:v>
      </x:c>
      <x:c r="E157" s="20" t="n">
        <x:v>2975</x:v>
      </x:c>
      <x:c r="F157" s="7" t="b">
        <x:v>0</x:v>
      </x:c>
      <x:c r="G157" s="2" t="str">
        <x:v>2023Q3</x:v>
      </x:c>
      <x:c r="H157" s="2" t="str">
        <x:v>https://api.bls.gov/publicAPI/v2/timeseries/data/</x:v>
      </x:c>
    </x:row>
    <x:row r="158" ht="38" customHeight="1">
      <x:c r="A158" s="28" t="n">
        <x:v>45170</x:v>
      </x:c>
      <x:c r="B158" s="2" t="str">
        <x:v>52</x:v>
      </x:c>
      <x:c r="C158" s="29" t="str">
        <x:v>Finance and insurance</x:v>
      </x:c>
      <x:c r="D158" s="2" t="str">
        <x:v>CES5552000001</x:v>
      </x:c>
      <x:c r="E158" s="20" t="n">
        <x:v>6719.6</x:v>
      </x:c>
      <x:c r="F158" s="7" t="b">
        <x:v>0</x:v>
      </x:c>
      <x:c r="G158" s="2" t="str">
        <x:v>2023Q3</x:v>
      </x:c>
      <x:c r="H158" s="2" t="str">
        <x:v>https://api.bls.gov/publicAPI/v2/timeseries/data/</x:v>
      </x:c>
    </x:row>
    <x:row r="159" ht="38" customHeight="1">
      <x:c r="A159" s="28" t="n">
        <x:v>45170</x:v>
      </x:c>
      <x:c r="B159" s="2" t="str">
        <x:v>53</x:v>
      </x:c>
      <x:c r="C159" s="29" t="str">
        <x:v>Real estate and rental and leasing</x:v>
      </x:c>
      <x:c r="D159" s="2" t="str">
        <x:v>CES5553000001</x:v>
      </x:c>
      <x:c r="E159" s="20" t="n">
        <x:v>2466</x:v>
      </x:c>
      <x:c r="F159" s="7" t="b">
        <x:v>0</x:v>
      </x:c>
      <x:c r="G159" s="2" t="str">
        <x:v>2023Q3</x:v>
      </x:c>
      <x:c r="H159" s="2" t="str">
        <x:v>https://api.bls.gov/publicAPI/v2/timeseries/data/</x:v>
      </x:c>
    </x:row>
    <x:row r="160" ht="38" customHeight="1">
      <x:c r="A160" s="28" t="n">
        <x:v>45170</x:v>
      </x:c>
      <x:c r="B160" s="2" t="str">
        <x:v>54</x:v>
      </x:c>
      <x:c r="C160" s="29" t="str">
        <x:v>Professional, scientific, and technical services</x:v>
      </x:c>
      <x:c r="D160" s="2" t="str">
        <x:v>CES6054000001</x:v>
      </x:c>
      <x:c r="E160" s="20" t="n">
        <x:v>10784.4</x:v>
      </x:c>
      <x:c r="F160" s="7" t="b">
        <x:v>0</x:v>
      </x:c>
      <x:c r="G160" s="2" t="str">
        <x:v>2023Q3</x:v>
      </x:c>
      <x:c r="H160" s="2" t="str">
        <x:v>https://api.bls.gov/publicAPI/v2/timeseries/data/</x:v>
      </x:c>
    </x:row>
    <x:row r="161" ht="38" customHeight="1">
      <x:c r="A161" s="28" t="n">
        <x:v>45170</x:v>
      </x:c>
      <x:c r="B161" s="2" t="str">
        <x:v>55</x:v>
      </x:c>
      <x:c r="C161" s="29" t="str">
        <x:v>Management of companies and enterprises</x:v>
      </x:c>
      <x:c r="D161" s="2" t="str">
        <x:v>CES6055000001</x:v>
      </x:c>
      <x:c r="E161" s="20" t="n">
        <x:v>2617.2</x:v>
      </x:c>
      <x:c r="F161" s="7" t="b">
        <x:v>0</x:v>
      </x:c>
      <x:c r="G161" s="2" t="str">
        <x:v>2023Q3</x:v>
      </x:c>
      <x:c r="H161" s="2" t="str">
        <x:v>https://api.bls.gov/publicAPI/v2/timeseries/data/</x:v>
      </x:c>
    </x:row>
    <x:row r="162" ht="38" customHeight="1">
      <x:c r="A162" s="28" t="n">
        <x:v>45170</x:v>
      </x:c>
      <x:c r="B162" s="2" t="str">
        <x:v>56</x:v>
      </x:c>
      <x:c r="C162" s="29" t="str">
        <x:v>Administrative, support, and waste services</x:v>
      </x:c>
      <x:c r="D162" s="2" t="str">
        <x:v>CES6056000001</x:v>
      </x:c>
      <x:c r="E162" s="20" t="n">
        <x:v>9341.5</x:v>
      </x:c>
      <x:c r="F162" s="7" t="b">
        <x:v>0</x:v>
      </x:c>
      <x:c r="G162" s="2" t="str">
        <x:v>2023Q3</x:v>
      </x:c>
      <x:c r="H162" s="2" t="str">
        <x:v>https://api.bls.gov/publicAPI/v2/timeseries/data/</x:v>
      </x:c>
    </x:row>
    <x:row r="163" ht="38" customHeight="1">
      <x:c r="A163" s="28" t="n">
        <x:v>45170</x:v>
      </x:c>
      <x:c r="B163" s="2" t="str">
        <x:v>61</x:v>
      </x:c>
      <x:c r="C163" s="29" t="str">
        <x:v>Private educational services</x:v>
      </x:c>
      <x:c r="D163" s="2" t="str">
        <x:v>CES6561000001</x:v>
      </x:c>
      <x:c r="E163" s="20" t="n">
        <x:v>3879.2</x:v>
      </x:c>
      <x:c r="F163" s="7" t="b">
        <x:v>0</x:v>
      </x:c>
      <x:c r="G163" s="2" t="str">
        <x:v>2023Q3</x:v>
      </x:c>
      <x:c r="H163" s="2" t="str">
        <x:v>https://api.bls.gov/publicAPI/v2/timeseries/data/</x:v>
      </x:c>
    </x:row>
    <x:row r="164" ht="38" customHeight="1">
      <x:c r="A164" s="28" t="n">
        <x:v>45170</x:v>
      </x:c>
      <x:c r="B164" s="2" t="str">
        <x:v>62</x:v>
      </x:c>
      <x:c r="C164" s="29" t="str">
        <x:v>Health care and social assistance</x:v>
      </x:c>
      <x:c r="D164" s="2" t="str">
        <x:v>CES6562000001</x:v>
      </x:c>
      <x:c r="E164" s="20" t="n">
        <x:v>21761.7</x:v>
      </x:c>
      <x:c r="F164" s="7" t="b">
        <x:v>0</x:v>
      </x:c>
      <x:c r="G164" s="2" t="str">
        <x:v>2023Q3</x:v>
      </x:c>
      <x:c r="H164" s="2" t="str">
        <x:v>https://api.bls.gov/publicAPI/v2/timeseries/data/</x:v>
      </x:c>
    </x:row>
    <x:row r="165" ht="38" customHeight="1">
      <x:c r="A165" s="28" t="n">
        <x:v>45170</x:v>
      </x:c>
      <x:c r="B165" s="2" t="str">
        <x:v>71</x:v>
      </x:c>
      <x:c r="C165" s="29" t="str">
        <x:v>Arts, entertainment, and recreation</x:v>
      </x:c>
      <x:c r="D165" s="2" t="str">
        <x:v>CES7071000001</x:v>
      </x:c>
      <x:c r="E165" s="20" t="n">
        <x:v>2510.4</x:v>
      </x:c>
      <x:c r="F165" s="7" t="b">
        <x:v>0</x:v>
      </x:c>
      <x:c r="G165" s="2" t="str">
        <x:v>2023Q3</x:v>
      </x:c>
      <x:c r="H165" s="2" t="str">
        <x:v>https://api.bls.gov/publicAPI/v2/timeseries/data/</x:v>
      </x:c>
    </x:row>
    <x:row r="166" ht="38" customHeight="1">
      <x:c r="A166" s="28" t="n">
        <x:v>45170</x:v>
      </x:c>
      <x:c r="B166" s="2" t="str">
        <x:v>72</x:v>
      </x:c>
      <x:c r="C166" s="29" t="str">
        <x:v>Accommodation and food services</x:v>
      </x:c>
      <x:c r="D166" s="2" t="str">
        <x:v>CES7072000001</x:v>
      </x:c>
      <x:c r="E166" s="20" t="n">
        <x:v>14132.7</x:v>
      </x:c>
      <x:c r="F166" s="7" t="b">
        <x:v>0</x:v>
      </x:c>
      <x:c r="G166" s="2" t="str">
        <x:v>2023Q3</x:v>
      </x:c>
      <x:c r="H166" s="2" t="str">
        <x:v>https://api.bls.gov/publicAPI/v2/timeseries/data/</x:v>
      </x:c>
    </x:row>
    <x:row r="167" ht="38" customHeight="1">
      <x:c r="A167" s="28" t="n">
        <x:v>45170</x:v>
      </x:c>
      <x:c r="B167" s="2" t="str">
        <x:v>81</x:v>
      </x:c>
      <x:c r="C167" s="29" t="str">
        <x:v>Other services, except government</x:v>
      </x:c>
      <x:c r="D167" s="2" t="str">
        <x:v>CES8000000001</x:v>
      </x:c>
      <x:c r="E167" s="20" t="n">
        <x:v>5883</x:v>
      </x:c>
      <x:c r="F167" s="7" t="b">
        <x:v>0</x:v>
      </x:c>
      <x:c r="G167" s="2" t="str">
        <x:v>2023Q3</x:v>
      </x:c>
      <x:c r="H167" s="2" t="str">
        <x:v>https://api.bls.gov/publicAPI/v2/timeseries/data/</x:v>
      </x:c>
    </x:row>
    <x:row r="168" ht="38" customHeight="1">
      <x:c r="A168" s="28" t="n">
        <x:v>45200</x:v>
      </x:c>
      <x:c r="B168" s="2" t="str">
        <x:v>21</x:v>
      </x:c>
      <x:c r="C168" s="29" t="str">
        <x:v>Mining, quarrying, and oil and gas extraction</x:v>
      </x:c>
      <x:c r="D168" s="2" t="str">
        <x:v>CES1021000001</x:v>
      </x:c>
      <x:c r="E168" s="20" t="n">
        <x:v>593</x:v>
      </x:c>
      <x:c r="F168" s="7" t="b">
        <x:v>0</x:v>
      </x:c>
      <x:c r="G168" s="2" t="str">
        <x:v>2023Q4</x:v>
      </x:c>
      <x:c r="H168" s="2" t="str">
        <x:v>https://api.bls.gov/publicAPI/v2/timeseries/data/</x:v>
      </x:c>
    </x:row>
    <x:row r="169" ht="38" customHeight="1">
      <x:c r="A169" s="28" t="n">
        <x:v>45200</x:v>
      </x:c>
      <x:c r="B169" s="2" t="str">
        <x:v>22</x:v>
      </x:c>
      <x:c r="C169" s="29" t="str">
        <x:v>Utilities</x:v>
      </x:c>
      <x:c r="D169" s="2" t="str">
        <x:v>CES4422000001</x:v>
      </x:c>
      <x:c r="E169" s="20" t="n">
        <x:v>581.4</x:v>
      </x:c>
      <x:c r="F169" s="7" t="b">
        <x:v>0</x:v>
      </x:c>
      <x:c r="G169" s="2" t="str">
        <x:v>2023Q4</x:v>
      </x:c>
      <x:c r="H169" s="2" t="str">
        <x:v>https://api.bls.gov/publicAPI/v2/timeseries/data/</x:v>
      </x:c>
    </x:row>
    <x:row r="170" ht="38" customHeight="1">
      <x:c r="A170" s="28" t="n">
        <x:v>45200</x:v>
      </x:c>
      <x:c r="B170" s="2" t="str">
        <x:v>23</x:v>
      </x:c>
      <x:c r="C170" s="29" t="str">
        <x:v>Construction</x:v>
      </x:c>
      <x:c r="D170" s="2" t="str">
        <x:v>CES2000000001</x:v>
      </x:c>
      <x:c r="E170" s="20" t="n">
        <x:v>8080</x:v>
      </x:c>
      <x:c r="F170" s="7" t="b">
        <x:v>0</x:v>
      </x:c>
      <x:c r="G170" s="2" t="str">
        <x:v>2023Q4</x:v>
      </x:c>
      <x:c r="H170" s="2" t="str">
        <x:v>https://api.bls.gov/publicAPI/v2/timeseries/data/</x:v>
      </x:c>
    </x:row>
    <x:row r="171" ht="38" customHeight="1">
      <x:c r="A171" s="28" t="n">
        <x:v>45200</x:v>
      </x:c>
      <x:c r="B171" s="2" t="str">
        <x:v>31-33</x:v>
      </x:c>
      <x:c r="C171" s="29" t="str">
        <x:v>Manufacturing</x:v>
      </x:c>
      <x:c r="D171" s="2" t="str">
        <x:v>CES3000000001</x:v>
      </x:c>
      <x:c r="E171" s="20" t="n">
        <x:v>12837</x:v>
      </x:c>
      <x:c r="F171" s="7" t="b">
        <x:v>0</x:v>
      </x:c>
      <x:c r="G171" s="2" t="str">
        <x:v>2023Q4</x:v>
      </x:c>
      <x:c r="H171" s="2" t="str">
        <x:v>https://api.bls.gov/publicAPI/v2/timeseries/data/</x:v>
      </x:c>
    </x:row>
    <x:row r="172" ht="38" customHeight="1">
      <x:c r="A172" s="28" t="n">
        <x:v>45200</x:v>
      </x:c>
      <x:c r="B172" s="2" t="str">
        <x:v>42</x:v>
      </x:c>
      <x:c r="C172" s="29" t="str">
        <x:v>Wholesale trade</x:v>
      </x:c>
      <x:c r="D172" s="2" t="str">
        <x:v>CES4142000001</x:v>
      </x:c>
      <x:c r="E172" s="20" t="n">
        <x:v>6127.4</x:v>
      </x:c>
      <x:c r="F172" s="7" t="b">
        <x:v>0</x:v>
      </x:c>
      <x:c r="G172" s="2" t="str">
        <x:v>2023Q4</x:v>
      </x:c>
      <x:c r="H172" s="2" t="str">
        <x:v>https://api.bls.gov/publicAPI/v2/timeseries/data/</x:v>
      </x:c>
    </x:row>
    <x:row r="173" ht="38" customHeight="1">
      <x:c r="A173" s="28" t="n">
        <x:v>45200</x:v>
      </x:c>
      <x:c r="B173" s="2" t="str">
        <x:v>44-45</x:v>
      </x:c>
      <x:c r="C173" s="29" t="str">
        <x:v>Retail trade</x:v>
      </x:c>
      <x:c r="D173" s="2" t="str">
        <x:v>CES4200000001</x:v>
      </x:c>
      <x:c r="E173" s="20" t="n">
        <x:v>15543.9</x:v>
      </x:c>
      <x:c r="F173" s="7" t="b">
        <x:v>0</x:v>
      </x:c>
      <x:c r="G173" s="2" t="str">
        <x:v>2023Q4</x:v>
      </x:c>
      <x:c r="H173" s="2" t="str">
        <x:v>https://api.bls.gov/publicAPI/v2/timeseries/data/</x:v>
      </x:c>
    </x:row>
    <x:row r="174" ht="38" customHeight="1">
      <x:c r="A174" s="28" t="n">
        <x:v>45200</x:v>
      </x:c>
      <x:c r="B174" s="2" t="str">
        <x:v>48-49</x:v>
      </x:c>
      <x:c r="C174" s="29" t="str">
        <x:v>Transportation and warehousing</x:v>
      </x:c>
      <x:c r="D174" s="2" t="str">
        <x:v>CES4300000001</x:v>
      </x:c>
      <x:c r="E174" s="20" t="n">
        <x:v>6612.2</x:v>
      </x:c>
      <x:c r="F174" s="7" t="b">
        <x:v>0</x:v>
      </x:c>
      <x:c r="G174" s="2" t="str">
        <x:v>2023Q4</x:v>
      </x:c>
      <x:c r="H174" s="2" t="str">
        <x:v>https://api.bls.gov/publicAPI/v2/timeseries/data/</x:v>
      </x:c>
    </x:row>
    <x:row r="175" ht="38" customHeight="1">
      <x:c r="A175" s="28" t="n">
        <x:v>45200</x:v>
      </x:c>
      <x:c r="B175" s="2" t="str">
        <x:v>51</x:v>
      </x:c>
      <x:c r="C175" s="29" t="str">
        <x:v>Information</x:v>
      </x:c>
      <x:c r="D175" s="2" t="str">
        <x:v>CES5000000001</x:v>
      </x:c>
      <x:c r="E175" s="20" t="n">
        <x:v>2951</x:v>
      </x:c>
      <x:c r="F175" s="7" t="b">
        <x:v>0</x:v>
      </x:c>
      <x:c r="G175" s="2" t="str">
        <x:v>2023Q4</x:v>
      </x:c>
      <x:c r="H175" s="2" t="str">
        <x:v>https://api.bls.gov/publicAPI/v2/timeseries/data/</x:v>
      </x:c>
    </x:row>
    <x:row r="176" ht="38" customHeight="1">
      <x:c r="A176" s="28" t="n">
        <x:v>45200</x:v>
      </x:c>
      <x:c r="B176" s="2" t="str">
        <x:v>52</x:v>
      </x:c>
      <x:c r="C176" s="29" t="str">
        <x:v>Finance and insurance</x:v>
      </x:c>
      <x:c r="D176" s="2" t="str">
        <x:v>CES5552000001</x:v>
      </x:c>
      <x:c r="E176" s="20" t="n">
        <x:v>6713.4</x:v>
      </x:c>
      <x:c r="F176" s="7" t="b">
        <x:v>0</x:v>
      </x:c>
      <x:c r="G176" s="2" t="str">
        <x:v>2023Q4</x:v>
      </x:c>
      <x:c r="H176" s="2" t="str">
        <x:v>https://api.bls.gov/publicAPI/v2/timeseries/data/</x:v>
      </x:c>
    </x:row>
    <x:row r="177" ht="38" customHeight="1">
      <x:c r="A177" s="28" t="n">
        <x:v>45200</x:v>
      </x:c>
      <x:c r="B177" s="2" t="str">
        <x:v>53</x:v>
      </x:c>
      <x:c r="C177" s="29" t="str">
        <x:v>Real estate and rental and leasing</x:v>
      </x:c>
      <x:c r="D177" s="2" t="str">
        <x:v>CES5553000001</x:v>
      </x:c>
      <x:c r="E177" s="20" t="n">
        <x:v>2465.2</x:v>
      </x:c>
      <x:c r="F177" s="7" t="b">
        <x:v>0</x:v>
      </x:c>
      <x:c r="G177" s="2" t="str">
        <x:v>2023Q4</x:v>
      </x:c>
      <x:c r="H177" s="2" t="str">
        <x:v>https://api.bls.gov/publicAPI/v2/timeseries/data/</x:v>
      </x:c>
    </x:row>
    <x:row r="178" ht="38" customHeight="1">
      <x:c r="A178" s="28" t="n">
        <x:v>45200</x:v>
      </x:c>
      <x:c r="B178" s="2" t="str">
        <x:v>54</x:v>
      </x:c>
      <x:c r="C178" s="29" t="str">
        <x:v>Professional, scientific, and technical services</x:v>
      </x:c>
      <x:c r="D178" s="2" t="str">
        <x:v>CES6054000001</x:v>
      </x:c>
      <x:c r="E178" s="20" t="n">
        <x:v>10780.3</x:v>
      </x:c>
      <x:c r="F178" s="7" t="b">
        <x:v>0</x:v>
      </x:c>
      <x:c r="G178" s="2" t="str">
        <x:v>2023Q4</x:v>
      </x:c>
      <x:c r="H178" s="2" t="str">
        <x:v>https://api.bls.gov/publicAPI/v2/timeseries/data/</x:v>
      </x:c>
    </x:row>
    <x:row r="179" ht="38" customHeight="1">
      <x:c r="A179" s="28" t="n">
        <x:v>45200</x:v>
      </x:c>
      <x:c r="B179" s="2" t="str">
        <x:v>55</x:v>
      </x:c>
      <x:c r="C179" s="29" t="str">
        <x:v>Management of companies and enterprises</x:v>
      </x:c>
      <x:c r="D179" s="2" t="str">
        <x:v>CES6055000001</x:v>
      </x:c>
      <x:c r="E179" s="20" t="n">
        <x:v>2616.5</x:v>
      </x:c>
      <x:c r="F179" s="7" t="b">
        <x:v>0</x:v>
      </x:c>
      <x:c r="G179" s="2" t="str">
        <x:v>2023Q4</x:v>
      </x:c>
      <x:c r="H179" s="2" t="str">
        <x:v>https://api.bls.gov/publicAPI/v2/timeseries/data/</x:v>
      </x:c>
    </x:row>
    <x:row r="180" ht="38" customHeight="1">
      <x:c r="A180" s="28" t="n">
        <x:v>45200</x:v>
      </x:c>
      <x:c r="B180" s="2" t="str">
        <x:v>56</x:v>
      </x:c>
      <x:c r="C180" s="29" t="str">
        <x:v>Administrative, support, and waste services</x:v>
      </x:c>
      <x:c r="D180" s="2" t="str">
        <x:v>CES6056000001</x:v>
      </x:c>
      <x:c r="E180" s="20" t="n">
        <x:v>9318.2</x:v>
      </x:c>
      <x:c r="F180" s="7" t="b">
        <x:v>0</x:v>
      </x:c>
      <x:c r="G180" s="2" t="str">
        <x:v>2023Q4</x:v>
      </x:c>
      <x:c r="H180" s="2" t="str">
        <x:v>https://api.bls.gov/publicAPI/v2/timeseries/data/</x:v>
      </x:c>
    </x:row>
    <x:row r="181" ht="38" customHeight="1">
      <x:c r="A181" s="28" t="n">
        <x:v>45200</x:v>
      </x:c>
      <x:c r="B181" s="2" t="str">
        <x:v>61</x:v>
      </x:c>
      <x:c r="C181" s="29" t="str">
        <x:v>Private educational services</x:v>
      </x:c>
      <x:c r="D181" s="2" t="str">
        <x:v>CES6561000001</x:v>
      </x:c>
      <x:c r="E181" s="20" t="n">
        <x:v>3895.6</x:v>
      </x:c>
      <x:c r="F181" s="7" t="b">
        <x:v>0</x:v>
      </x:c>
      <x:c r="G181" s="2" t="str">
        <x:v>2023Q4</x:v>
      </x:c>
      <x:c r="H181" s="2" t="str">
        <x:v>https://api.bls.gov/publicAPI/v2/timeseries/data/</x:v>
      </x:c>
    </x:row>
    <x:row r="182" ht="38" customHeight="1">
      <x:c r="A182" s="28" t="n">
        <x:v>45200</x:v>
      </x:c>
      <x:c r="B182" s="2" t="str">
        <x:v>62</x:v>
      </x:c>
      <x:c r="C182" s="29" t="str">
        <x:v>Health care and social assistance</x:v>
      </x:c>
      <x:c r="D182" s="2" t="str">
        <x:v>CES6562000001</x:v>
      </x:c>
      <x:c r="E182" s="20" t="n">
        <x:v>21839.2</x:v>
      </x:c>
      <x:c r="F182" s="7" t="b">
        <x:v>0</x:v>
      </x:c>
      <x:c r="G182" s="2" t="str">
        <x:v>2023Q4</x:v>
      </x:c>
      <x:c r="H182" s="2" t="str">
        <x:v>https://api.bls.gov/publicAPI/v2/timeseries/data/</x:v>
      </x:c>
    </x:row>
    <x:row r="183" ht="38" customHeight="1">
      <x:c r="A183" s="28" t="n">
        <x:v>45200</x:v>
      </x:c>
      <x:c r="B183" s="2" t="str">
        <x:v>71</x:v>
      </x:c>
      <x:c r="C183" s="29" t="str">
        <x:v>Arts, entertainment, and recreation</x:v>
      </x:c>
      <x:c r="D183" s="2" t="str">
        <x:v>CES7071000001</x:v>
      </x:c>
      <x:c r="E183" s="20" t="n">
        <x:v>2556</x:v>
      </x:c>
      <x:c r="F183" s="7" t="b">
        <x:v>0</x:v>
      </x:c>
      <x:c r="G183" s="2" t="str">
        <x:v>2023Q4</x:v>
      </x:c>
      <x:c r="H183" s="2" t="str">
        <x:v>https://api.bls.gov/publicAPI/v2/timeseries/data/</x:v>
      </x:c>
    </x:row>
    <x:row r="184" ht="38" customHeight="1">
      <x:c r="A184" s="28" t="n">
        <x:v>45200</x:v>
      </x:c>
      <x:c r="B184" s="2" t="str">
        <x:v>72</x:v>
      </x:c>
      <x:c r="C184" s="29" t="str">
        <x:v>Accommodation and food services</x:v>
      </x:c>
      <x:c r="D184" s="2" t="str">
        <x:v>CES7072000001</x:v>
      </x:c>
      <x:c r="E184" s="20" t="n">
        <x:v>14133</x:v>
      </x:c>
      <x:c r="F184" s="7" t="b">
        <x:v>0</x:v>
      </x:c>
      <x:c r="G184" s="2" t="str">
        <x:v>2023Q4</x:v>
      </x:c>
      <x:c r="H184" s="2" t="str">
        <x:v>https://api.bls.gov/publicAPI/v2/timeseries/data/</x:v>
      </x:c>
    </x:row>
    <x:row r="185" ht="38" customHeight="1">
      <x:c r="A185" s="28" t="n">
        <x:v>45200</x:v>
      </x:c>
      <x:c r="B185" s="2" t="str">
        <x:v>81</x:v>
      </x:c>
      <x:c r="C185" s="29" t="str">
        <x:v>Other services, except government</x:v>
      </x:c>
      <x:c r="D185" s="2" t="str">
        <x:v>CES8000000001</x:v>
      </x:c>
      <x:c r="E185" s="20" t="n">
        <x:v>5893</x:v>
      </x:c>
      <x:c r="F185" s="7" t="b">
        <x:v>0</x:v>
      </x:c>
      <x:c r="G185" s="2" t="str">
        <x:v>2023Q4</x:v>
      </x:c>
      <x:c r="H185" s="2" t="str">
        <x:v>https://api.bls.gov/publicAPI/v2/timeseries/data/</x:v>
      </x:c>
    </x:row>
    <x:row r="186" ht="38" customHeight="1">
      <x:c r="A186" s="28" t="n">
        <x:v>45231</x:v>
      </x:c>
      <x:c r="B186" s="2" t="str">
        <x:v>21</x:v>
      </x:c>
      <x:c r="C186" s="29" t="str">
        <x:v>Mining, quarrying, and oil and gas extraction</x:v>
      </x:c>
      <x:c r="D186" s="2" t="str">
        <x:v>CES1021000001</x:v>
      </x:c>
      <x:c r="E186" s="20" t="n">
        <x:v>591.9</x:v>
      </x:c>
      <x:c r="F186" s="7" t="b">
        <x:v>0</x:v>
      </x:c>
      <x:c r="G186" s="2" t="str">
        <x:v>2023Q4</x:v>
      </x:c>
      <x:c r="H186" s="2" t="str">
        <x:v>https://api.bls.gov/publicAPI/v2/timeseries/data/</x:v>
      </x:c>
    </x:row>
    <x:row r="187" ht="38" customHeight="1">
      <x:c r="A187" s="28" t="n">
        <x:v>45231</x:v>
      </x:c>
      <x:c r="B187" s="2" t="str">
        <x:v>22</x:v>
      </x:c>
      <x:c r="C187" s="29" t="str">
        <x:v>Utilities</x:v>
      </x:c>
      <x:c r="D187" s="2" t="str">
        <x:v>CES4422000001</x:v>
      </x:c>
      <x:c r="E187" s="20" t="n">
        <x:v>582.3</x:v>
      </x:c>
      <x:c r="F187" s="7" t="b">
        <x:v>0</x:v>
      </x:c>
      <x:c r="G187" s="2" t="str">
        <x:v>2023Q4</x:v>
      </x:c>
      <x:c r="H187" s="2" t="str">
        <x:v>https://api.bls.gov/publicAPI/v2/timeseries/data/</x:v>
      </x:c>
    </x:row>
    <x:row r="188" ht="38" customHeight="1">
      <x:c r="A188" s="28" t="n">
        <x:v>45231</x:v>
      </x:c>
      <x:c r="B188" s="2" t="str">
        <x:v>23</x:v>
      </x:c>
      <x:c r="C188" s="29" t="str">
        <x:v>Construction</x:v>
      </x:c>
      <x:c r="D188" s="2" t="str">
        <x:v>CES2000000001</x:v>
      </x:c>
      <x:c r="E188" s="20" t="n">
        <x:v>8088</x:v>
      </x:c>
      <x:c r="F188" s="7" t="b">
        <x:v>0</x:v>
      </x:c>
      <x:c r="G188" s="2" t="str">
        <x:v>2023Q4</x:v>
      </x:c>
      <x:c r="H188" s="2" t="str">
        <x:v>https://api.bls.gov/publicAPI/v2/timeseries/data/</x:v>
      </x:c>
    </x:row>
    <x:row r="189" ht="38" customHeight="1">
      <x:c r="A189" s="28" t="n">
        <x:v>45231</x:v>
      </x:c>
      <x:c r="B189" s="2" t="str">
        <x:v>31-33</x:v>
      </x:c>
      <x:c r="C189" s="29" t="str">
        <x:v>Manufacturing</x:v>
      </x:c>
      <x:c r="D189" s="2" t="str">
        <x:v>CES3000000001</x:v>
      </x:c>
      <x:c r="E189" s="20" t="n">
        <x:v>12859</x:v>
      </x:c>
      <x:c r="F189" s="7" t="b">
        <x:v>0</x:v>
      </x:c>
      <x:c r="G189" s="2" t="str">
        <x:v>2023Q4</x:v>
      </x:c>
      <x:c r="H189" s="2" t="str">
        <x:v>https://api.bls.gov/publicAPI/v2/timeseries/data/</x:v>
      </x:c>
    </x:row>
    <x:row r="190" ht="38" customHeight="1">
      <x:c r="A190" s="28" t="n">
        <x:v>45231</x:v>
      </x:c>
      <x:c r="B190" s="2" t="str">
        <x:v>42</x:v>
      </x:c>
      <x:c r="C190" s="29" t="str">
        <x:v>Wholesale trade</x:v>
      </x:c>
      <x:c r="D190" s="2" t="str">
        <x:v>CES4142000001</x:v>
      </x:c>
      <x:c r="E190" s="20" t="n">
        <x:v>6132.3</x:v>
      </x:c>
      <x:c r="F190" s="7" t="b">
        <x:v>0</x:v>
      </x:c>
      <x:c r="G190" s="2" t="str">
        <x:v>2023Q4</x:v>
      </x:c>
      <x:c r="H190" s="2" t="str">
        <x:v>https://api.bls.gov/publicAPI/v2/timeseries/data/</x:v>
      </x:c>
    </x:row>
    <x:row r="191" ht="38" customHeight="1">
      <x:c r="A191" s="28" t="n">
        <x:v>45231</x:v>
      </x:c>
      <x:c r="B191" s="2" t="str">
        <x:v>44-45</x:v>
      </x:c>
      <x:c r="C191" s="29" t="str">
        <x:v>Retail trade</x:v>
      </x:c>
      <x:c r="D191" s="2" t="str">
        <x:v>CES4200000001</x:v>
      </x:c>
      <x:c r="E191" s="20" t="n">
        <x:v>15511.3</x:v>
      </x:c>
      <x:c r="F191" s="7" t="b">
        <x:v>0</x:v>
      </x:c>
      <x:c r="G191" s="2" t="str">
        <x:v>2023Q4</x:v>
      </x:c>
      <x:c r="H191" s="2" t="str">
        <x:v>https://api.bls.gov/publicAPI/v2/timeseries/data/</x:v>
      </x:c>
    </x:row>
    <x:row r="192" ht="38" customHeight="1">
      <x:c r="A192" s="28" t="n">
        <x:v>45231</x:v>
      </x:c>
      <x:c r="B192" s="2" t="str">
        <x:v>48-49</x:v>
      </x:c>
      <x:c r="C192" s="29" t="str">
        <x:v>Transportation and warehousing</x:v>
      </x:c>
      <x:c r="D192" s="2" t="str">
        <x:v>CES4300000001</x:v>
      </x:c>
      <x:c r="E192" s="20" t="n">
        <x:v>6611</x:v>
      </x:c>
      <x:c r="F192" s="7" t="b">
        <x:v>0</x:v>
      </x:c>
      <x:c r="G192" s="2" t="str">
        <x:v>2023Q4</x:v>
      </x:c>
      <x:c r="H192" s="2" t="str">
        <x:v>https://api.bls.gov/publicAPI/v2/timeseries/data/</x:v>
      </x:c>
    </x:row>
    <x:row r="193" ht="38" customHeight="1">
      <x:c r="A193" s="28" t="n">
        <x:v>45231</x:v>
      </x:c>
      <x:c r="B193" s="2" t="str">
        <x:v>51</x:v>
      </x:c>
      <x:c r="C193" s="29" t="str">
        <x:v>Information</x:v>
      </x:c>
      <x:c r="D193" s="2" t="str">
        <x:v>CES5000000001</x:v>
      </x:c>
      <x:c r="E193" s="20" t="n">
        <x:v>2962</x:v>
      </x:c>
      <x:c r="F193" s="7" t="b">
        <x:v>0</x:v>
      </x:c>
      <x:c r="G193" s="2" t="str">
        <x:v>2023Q4</x:v>
      </x:c>
      <x:c r="H193" s="2" t="str">
        <x:v>https://api.bls.gov/publicAPI/v2/timeseries/data/</x:v>
      </x:c>
    </x:row>
    <x:row r="194" ht="38" customHeight="1">
      <x:c r="A194" s="28" t="n">
        <x:v>45231</x:v>
      </x:c>
      <x:c r="B194" s="2" t="str">
        <x:v>52</x:v>
      </x:c>
      <x:c r="C194" s="29" t="str">
        <x:v>Finance and insurance</x:v>
      </x:c>
      <x:c r="D194" s="2" t="str">
        <x:v>CES5552000001</x:v>
      </x:c>
      <x:c r="E194" s="20" t="n">
        <x:v>6703.6</x:v>
      </x:c>
      <x:c r="F194" s="7" t="b">
        <x:v>0</x:v>
      </x:c>
      <x:c r="G194" s="2" t="str">
        <x:v>2023Q4</x:v>
      </x:c>
      <x:c r="H194" s="2" t="str">
        <x:v>https://api.bls.gov/publicAPI/v2/timeseries/data/</x:v>
      </x:c>
    </x:row>
    <x:row r="195" ht="38" customHeight="1">
      <x:c r="A195" s="28" t="n">
        <x:v>45231</x:v>
      </x:c>
      <x:c r="B195" s="2" t="str">
        <x:v>53</x:v>
      </x:c>
      <x:c r="C195" s="29" t="str">
        <x:v>Real estate and rental and leasing</x:v>
      </x:c>
      <x:c r="D195" s="2" t="str">
        <x:v>CES5553000001</x:v>
      </x:c>
      <x:c r="E195" s="20" t="n">
        <x:v>2468.5</x:v>
      </x:c>
      <x:c r="F195" s="7" t="b">
        <x:v>0</x:v>
      </x:c>
      <x:c r="G195" s="2" t="str">
        <x:v>2023Q4</x:v>
      </x:c>
      <x:c r="H195" s="2" t="str">
        <x:v>https://api.bls.gov/publicAPI/v2/timeseries/data/</x:v>
      </x:c>
    </x:row>
    <x:row r="196" ht="38" customHeight="1">
      <x:c r="A196" s="28" t="n">
        <x:v>45231</x:v>
      </x:c>
      <x:c r="B196" s="2" t="str">
        <x:v>54</x:v>
      </x:c>
      <x:c r="C196" s="29" t="str">
        <x:v>Professional, scientific, and technical services</x:v>
      </x:c>
      <x:c r="D196" s="2" t="str">
        <x:v>CES6054000001</x:v>
      </x:c>
      <x:c r="E196" s="20" t="n">
        <x:v>10778.1</x:v>
      </x:c>
      <x:c r="F196" s="7" t="b">
        <x:v>0</x:v>
      </x:c>
      <x:c r="G196" s="2" t="str">
        <x:v>2023Q4</x:v>
      </x:c>
      <x:c r="H196" s="2" t="str">
        <x:v>https://api.bls.gov/publicAPI/v2/timeseries/data/</x:v>
      </x:c>
    </x:row>
    <x:row r="197" ht="38" customHeight="1">
      <x:c r="A197" s="28" t="n">
        <x:v>45231</x:v>
      </x:c>
      <x:c r="B197" s="2" t="str">
        <x:v>55</x:v>
      </x:c>
      <x:c r="C197" s="29" t="str">
        <x:v>Management of companies and enterprises</x:v>
      </x:c>
      <x:c r="D197" s="2" t="str">
        <x:v>CES6055000001</x:v>
      </x:c>
      <x:c r="E197" s="20" t="n">
        <x:v>2615.9</x:v>
      </x:c>
      <x:c r="F197" s="7" t="b">
        <x:v>0</x:v>
      </x:c>
      <x:c r="G197" s="2" t="str">
        <x:v>2023Q4</x:v>
      </x:c>
      <x:c r="H197" s="2" t="str">
        <x:v>https://api.bls.gov/publicAPI/v2/timeseries/data/</x:v>
      </x:c>
    </x:row>
    <x:row r="198" ht="38" customHeight="1">
      <x:c r="A198" s="28" t="n">
        <x:v>45231</x:v>
      </x:c>
      <x:c r="B198" s="2" t="str">
        <x:v>56</x:v>
      </x:c>
      <x:c r="C198" s="29" t="str">
        <x:v>Administrative, support, and waste services</x:v>
      </x:c>
      <x:c r="D198" s="2" t="str">
        <x:v>CES6056000001</x:v>
      </x:c>
      <x:c r="E198" s="20" t="n">
        <x:v>9267.3</x:v>
      </x:c>
      <x:c r="F198" s="7" t="b">
        <x:v>0</x:v>
      </x:c>
      <x:c r="G198" s="2" t="str">
        <x:v>2023Q4</x:v>
      </x:c>
      <x:c r="H198" s="2" t="str">
        <x:v>https://api.bls.gov/publicAPI/v2/timeseries/data/</x:v>
      </x:c>
    </x:row>
    <x:row r="199" ht="38" customHeight="1">
      <x:c r="A199" s="28" t="n">
        <x:v>45231</x:v>
      </x:c>
      <x:c r="B199" s="2" t="str">
        <x:v>61</x:v>
      </x:c>
      <x:c r="C199" s="29" t="str">
        <x:v>Private educational services</x:v>
      </x:c>
      <x:c r="D199" s="2" t="str">
        <x:v>CES6561000001</x:v>
      </x:c>
      <x:c r="E199" s="20" t="n">
        <x:v>3907.3</x:v>
      </x:c>
      <x:c r="F199" s="7" t="b">
        <x:v>0</x:v>
      </x:c>
      <x:c r="G199" s="2" t="str">
        <x:v>2023Q4</x:v>
      </x:c>
      <x:c r="H199" s="2" t="str">
        <x:v>https://api.bls.gov/publicAPI/v2/timeseries/data/</x:v>
      </x:c>
    </x:row>
    <x:row r="200" ht="38" customHeight="1">
      <x:c r="A200" s="28" t="n">
        <x:v>45231</x:v>
      </x:c>
      <x:c r="B200" s="2" t="str">
        <x:v>62</x:v>
      </x:c>
      <x:c r="C200" s="29" t="str">
        <x:v>Health care and social assistance</x:v>
      </x:c>
      <x:c r="D200" s="2" t="str">
        <x:v>CES6562000001</x:v>
      </x:c>
      <x:c r="E200" s="20" t="n">
        <x:v>21945.4</x:v>
      </x:c>
      <x:c r="F200" s="7" t="b">
        <x:v>0</x:v>
      </x:c>
      <x:c r="G200" s="2" t="str">
        <x:v>2023Q4</x:v>
      </x:c>
      <x:c r="H200" s="2" t="str">
        <x:v>https://api.bls.gov/publicAPI/v2/timeseries/data/</x:v>
      </x:c>
    </x:row>
    <x:row r="201" ht="38" customHeight="1">
      <x:c r="A201" s="28" t="n">
        <x:v>45231</x:v>
      </x:c>
      <x:c r="B201" s="2" t="str">
        <x:v>71</x:v>
      </x:c>
      <x:c r="C201" s="29" t="str">
        <x:v>Arts, entertainment, and recreation</x:v>
      </x:c>
      <x:c r="D201" s="2" t="str">
        <x:v>CES7071000001</x:v>
      </x:c>
      <x:c r="E201" s="20" t="n">
        <x:v>2554.5</x:v>
      </x:c>
      <x:c r="F201" s="7" t="b">
        <x:v>0</x:v>
      </x:c>
      <x:c r="G201" s="2" t="str">
        <x:v>2023Q4</x:v>
      </x:c>
      <x:c r="H201" s="2" t="str">
        <x:v>https://api.bls.gov/publicAPI/v2/timeseries/data/</x:v>
      </x:c>
    </x:row>
    <x:row r="202" ht="38" customHeight="1">
      <x:c r="A202" s="28" t="n">
        <x:v>45231</x:v>
      </x:c>
      <x:c r="B202" s="2" t="str">
        <x:v>72</x:v>
      </x:c>
      <x:c r="C202" s="29" t="str">
        <x:v>Accommodation and food services</x:v>
      </x:c>
      <x:c r="D202" s="2" t="str">
        <x:v>CES7072000001</x:v>
      </x:c>
      <x:c r="E202" s="20" t="n">
        <x:v>14139.9</x:v>
      </x:c>
      <x:c r="F202" s="7" t="b">
        <x:v>0</x:v>
      </x:c>
      <x:c r="G202" s="2" t="str">
        <x:v>2023Q4</x:v>
      </x:c>
      <x:c r="H202" s="2" t="str">
        <x:v>https://api.bls.gov/publicAPI/v2/timeseries/data/</x:v>
      </x:c>
    </x:row>
    <x:row r="203" ht="38" customHeight="1">
      <x:c r="A203" s="28" t="n">
        <x:v>45231</x:v>
      </x:c>
      <x:c r="B203" s="2" t="str">
        <x:v>81</x:v>
      </x:c>
      <x:c r="C203" s="29" t="str">
        <x:v>Other services, except government</x:v>
      </x:c>
      <x:c r="D203" s="2" t="str">
        <x:v>CES8000000001</x:v>
      </x:c>
      <x:c r="E203" s="20" t="n">
        <x:v>5905</x:v>
      </x:c>
      <x:c r="F203" s="7" t="b">
        <x:v>0</x:v>
      </x:c>
      <x:c r="G203" s="2" t="str">
        <x:v>2023Q4</x:v>
      </x:c>
      <x:c r="H203" s="2" t="str">
        <x:v>https://api.bls.gov/publicAPI/v2/timeseries/data/</x:v>
      </x:c>
    </x:row>
    <x:row r="204" ht="38" customHeight="1">
      <x:c r="A204" s="28" t="n">
        <x:v>45261</x:v>
      </x:c>
      <x:c r="B204" s="2" t="str">
        <x:v>21</x:v>
      </x:c>
      <x:c r="C204" s="29" t="str">
        <x:v>Mining, quarrying, and oil and gas extraction</x:v>
      </x:c>
      <x:c r="D204" s="2" t="str">
        <x:v>CES1021000001</x:v>
      </x:c>
      <x:c r="E204" s="20" t="n">
        <x:v>594.6</x:v>
      </x:c>
      <x:c r="F204" s="7" t="b">
        <x:v>0</x:v>
      </x:c>
      <x:c r="G204" s="2" t="str">
        <x:v>2023Q4</x:v>
      </x:c>
      <x:c r="H204" s="2" t="str">
        <x:v>https://api.bls.gov/publicAPI/v2/timeseries/data/</x:v>
      </x:c>
    </x:row>
    <x:row r="205" ht="38" customHeight="1">
      <x:c r="A205" s="28" t="n">
        <x:v>45261</x:v>
      </x:c>
      <x:c r="B205" s="2" t="str">
        <x:v>22</x:v>
      </x:c>
      <x:c r="C205" s="29" t="str">
        <x:v>Utilities</x:v>
      </x:c>
      <x:c r="D205" s="2" t="str">
        <x:v>CES4422000001</x:v>
      </x:c>
      <x:c r="E205" s="20" t="n">
        <x:v>584.8</x:v>
      </x:c>
      <x:c r="F205" s="7" t="b">
        <x:v>0</x:v>
      </x:c>
      <x:c r="G205" s="2" t="str">
        <x:v>2023Q4</x:v>
      </x:c>
      <x:c r="H205" s="2" t="str">
        <x:v>https://api.bls.gov/publicAPI/v2/timeseries/data/</x:v>
      </x:c>
    </x:row>
    <x:row r="206" ht="38" customHeight="1">
      <x:c r="A206" s="28" t="n">
        <x:v>45261</x:v>
      </x:c>
      <x:c r="B206" s="2" t="str">
        <x:v>23</x:v>
      </x:c>
      <x:c r="C206" s="29" t="str">
        <x:v>Construction</x:v>
      </x:c>
      <x:c r="D206" s="2" t="str">
        <x:v>CES2000000001</x:v>
      </x:c>
      <x:c r="E206" s="20" t="n">
        <x:v>8100</x:v>
      </x:c>
      <x:c r="F206" s="7" t="b">
        <x:v>0</x:v>
      </x:c>
      <x:c r="G206" s="2" t="str">
        <x:v>2023Q4</x:v>
      </x:c>
      <x:c r="H206" s="2" t="str">
        <x:v>https://api.bls.gov/publicAPI/v2/timeseries/data/</x:v>
      </x:c>
    </x:row>
    <x:row r="207" ht="38" customHeight="1">
      <x:c r="A207" s="28" t="n">
        <x:v>45261</x:v>
      </x:c>
      <x:c r="B207" s="2" t="str">
        <x:v>31-33</x:v>
      </x:c>
      <x:c r="C207" s="29" t="str">
        <x:v>Manufacturing</x:v>
      </x:c>
      <x:c r="D207" s="2" t="str">
        <x:v>CES3000000001</x:v>
      </x:c>
      <x:c r="E207" s="20" t="n">
        <x:v>12872</x:v>
      </x:c>
      <x:c r="F207" s="7" t="b">
        <x:v>0</x:v>
      </x:c>
      <x:c r="G207" s="2" t="str">
        <x:v>2023Q4</x:v>
      </x:c>
      <x:c r="H207" s="2" t="str">
        <x:v>https://api.bls.gov/publicAPI/v2/timeseries/data/</x:v>
      </x:c>
    </x:row>
    <x:row r="208" ht="38" customHeight="1">
      <x:c r="A208" s="28" t="n">
        <x:v>45261</x:v>
      </x:c>
      <x:c r="B208" s="2" t="str">
        <x:v>42</x:v>
      </x:c>
      <x:c r="C208" s="29" t="str">
        <x:v>Wholesale trade</x:v>
      </x:c>
      <x:c r="D208" s="2" t="str">
        <x:v>CES4142000001</x:v>
      </x:c>
      <x:c r="E208" s="20" t="n">
        <x:v>6132.8</x:v>
      </x:c>
      <x:c r="F208" s="7" t="b">
        <x:v>0</x:v>
      </x:c>
      <x:c r="G208" s="2" t="str">
        <x:v>2023Q4</x:v>
      </x:c>
      <x:c r="H208" s="2" t="str">
        <x:v>https://api.bls.gov/publicAPI/v2/timeseries/data/</x:v>
      </x:c>
    </x:row>
    <x:row r="209" ht="38" customHeight="1">
      <x:c r="A209" s="28" t="n">
        <x:v>45261</x:v>
      </x:c>
      <x:c r="B209" s="2" t="str">
        <x:v>44-45</x:v>
      </x:c>
      <x:c r="C209" s="29" t="str">
        <x:v>Retail trade</x:v>
      </x:c>
      <x:c r="D209" s="2" t="str">
        <x:v>CES4200000001</x:v>
      </x:c>
      <x:c r="E209" s="20" t="n">
        <x:v>15550.9</x:v>
      </x:c>
      <x:c r="F209" s="7" t="b">
        <x:v>0</x:v>
      </x:c>
      <x:c r="G209" s="2" t="str">
        <x:v>2023Q4</x:v>
      </x:c>
      <x:c r="H209" s="2" t="str">
        <x:v>https://api.bls.gov/publicAPI/v2/timeseries/data/</x:v>
      </x:c>
    </x:row>
    <x:row r="210" ht="38" customHeight="1">
      <x:c r="A210" s="28" t="n">
        <x:v>45261</x:v>
      </x:c>
      <x:c r="B210" s="2" t="str">
        <x:v>48-49</x:v>
      </x:c>
      <x:c r="C210" s="29" t="str">
        <x:v>Transportation and warehousing</x:v>
      </x:c>
      <x:c r="D210" s="2" t="str">
        <x:v>CES4300000001</x:v>
      </x:c>
      <x:c r="E210" s="20" t="n">
        <x:v>6560.6</x:v>
      </x:c>
      <x:c r="F210" s="7" t="b">
        <x:v>0</x:v>
      </x:c>
      <x:c r="G210" s="2" t="str">
        <x:v>2023Q4</x:v>
      </x:c>
      <x:c r="H210" s="2" t="str">
        <x:v>https://api.bls.gov/publicAPI/v2/timeseries/data/</x:v>
      </x:c>
    </x:row>
    <x:row r="211" ht="38" customHeight="1">
      <x:c r="A211" s="28" t="n">
        <x:v>45261</x:v>
      </x:c>
      <x:c r="B211" s="2" t="str">
        <x:v>51</x:v>
      </x:c>
      <x:c r="C211" s="29" t="str">
        <x:v>Information</x:v>
      </x:c>
      <x:c r="D211" s="2" t="str">
        <x:v>CES5000000001</x:v>
      </x:c>
      <x:c r="E211" s="20" t="n">
        <x:v>2963</x:v>
      </x:c>
      <x:c r="F211" s="7" t="b">
        <x:v>0</x:v>
      </x:c>
      <x:c r="G211" s="2" t="str">
        <x:v>2023Q4</x:v>
      </x:c>
      <x:c r="H211" s="2" t="str">
        <x:v>https://api.bls.gov/publicAPI/v2/timeseries/data/</x:v>
      </x:c>
    </x:row>
    <x:row r="212" ht="38" customHeight="1">
      <x:c r="A212" s="28" t="n">
        <x:v>45261</x:v>
      </x:c>
      <x:c r="B212" s="2" t="str">
        <x:v>52</x:v>
      </x:c>
      <x:c r="C212" s="29" t="str">
        <x:v>Finance and insurance</x:v>
      </x:c>
      <x:c r="D212" s="2" t="str">
        <x:v>CES5552000001</x:v>
      </x:c>
      <x:c r="E212" s="20" t="n">
        <x:v>6703.9</x:v>
      </x:c>
      <x:c r="F212" s="7" t="b">
        <x:v>0</x:v>
      </x:c>
      <x:c r="G212" s="2" t="str">
        <x:v>2023Q4</x:v>
      </x:c>
      <x:c r="H212" s="2" t="str">
        <x:v>https://api.bls.gov/publicAPI/v2/timeseries/data/</x:v>
      </x:c>
    </x:row>
    <x:row r="213" ht="38" customHeight="1">
      <x:c r="A213" s="28" t="n">
        <x:v>45261</x:v>
      </x:c>
      <x:c r="B213" s="2" t="str">
        <x:v>53</x:v>
      </x:c>
      <x:c r="C213" s="29" t="str">
        <x:v>Real estate and rental and leasing</x:v>
      </x:c>
      <x:c r="D213" s="2" t="str">
        <x:v>CES5553000001</x:v>
      </x:c>
      <x:c r="E213" s="20" t="n">
        <x:v>2471.8</x:v>
      </x:c>
      <x:c r="F213" s="7" t="b">
        <x:v>0</x:v>
      </x:c>
      <x:c r="G213" s="2" t="str">
        <x:v>2023Q4</x:v>
      </x:c>
      <x:c r="H213" s="2" t="str">
        <x:v>https://api.bls.gov/publicAPI/v2/timeseries/data/</x:v>
      </x:c>
    </x:row>
    <x:row r="214" ht="38" customHeight="1">
      <x:c r="A214" s="28" t="n">
        <x:v>45261</x:v>
      </x:c>
      <x:c r="B214" s="2" t="str">
        <x:v>54</x:v>
      </x:c>
      <x:c r="C214" s="29" t="str">
        <x:v>Professional, scientific, and technical services</x:v>
      </x:c>
      <x:c r="D214" s="2" t="str">
        <x:v>CES6054000001</x:v>
      </x:c>
      <x:c r="E214" s="20" t="n">
        <x:v>10800.1</x:v>
      </x:c>
      <x:c r="F214" s="7" t="b">
        <x:v>0</x:v>
      </x:c>
      <x:c r="G214" s="2" t="str">
        <x:v>2023Q4</x:v>
      </x:c>
      <x:c r="H214" s="2" t="str">
        <x:v>https://api.bls.gov/publicAPI/v2/timeseries/data/</x:v>
      </x:c>
    </x:row>
    <x:row r="215" ht="38" customHeight="1">
      <x:c r="A215" s="28" t="n">
        <x:v>45261</x:v>
      </x:c>
      <x:c r="B215" s="2" t="str">
        <x:v>55</x:v>
      </x:c>
      <x:c r="C215" s="29" t="str">
        <x:v>Management of companies and enterprises</x:v>
      </x:c>
      <x:c r="D215" s="2" t="str">
        <x:v>CES6055000001</x:v>
      </x:c>
      <x:c r="E215" s="20" t="n">
        <x:v>2614.6</x:v>
      </x:c>
      <x:c r="F215" s="7" t="b">
        <x:v>0</x:v>
      </x:c>
      <x:c r="G215" s="2" t="str">
        <x:v>2023Q4</x:v>
      </x:c>
      <x:c r="H215" s="2" t="str">
        <x:v>https://api.bls.gov/publicAPI/v2/timeseries/data/</x:v>
      </x:c>
    </x:row>
    <x:row r="216" ht="38" customHeight="1">
      <x:c r="A216" s="28" t="n">
        <x:v>45261</x:v>
      </x:c>
      <x:c r="B216" s="2" t="str">
        <x:v>56</x:v>
      </x:c>
      <x:c r="C216" s="29" t="str">
        <x:v>Administrative, support, and waste services</x:v>
      </x:c>
      <x:c r="D216" s="2" t="str">
        <x:v>CES6056000001</x:v>
      </x:c>
      <x:c r="E216" s="20" t="n">
        <x:v>9228.4</x:v>
      </x:c>
      <x:c r="F216" s="7" t="b">
        <x:v>0</x:v>
      </x:c>
      <x:c r="G216" s="2" t="str">
        <x:v>2023Q4</x:v>
      </x:c>
      <x:c r="H216" s="2" t="str">
        <x:v>https://api.bls.gov/publicAPI/v2/timeseries/data/</x:v>
      </x:c>
    </x:row>
    <x:row r="217" ht="38" customHeight="1">
      <x:c r="A217" s="28" t="n">
        <x:v>45261</x:v>
      </x:c>
      <x:c r="B217" s="2" t="str">
        <x:v>61</x:v>
      </x:c>
      <x:c r="C217" s="29" t="str">
        <x:v>Private educational services</x:v>
      </x:c>
      <x:c r="D217" s="2" t="str">
        <x:v>CES6561000001</x:v>
      </x:c>
      <x:c r="E217" s="20" t="n">
        <x:v>3916.1</x:v>
      </x:c>
      <x:c r="F217" s="7" t="b">
        <x:v>0</x:v>
      </x:c>
      <x:c r="G217" s="2" t="str">
        <x:v>2023Q4</x:v>
      </x:c>
      <x:c r="H217" s="2" t="str">
        <x:v>https://api.bls.gov/publicAPI/v2/timeseries/data/</x:v>
      </x:c>
    </x:row>
    <x:row r="218" ht="38" customHeight="1">
      <x:c r="A218" s="28" t="n">
        <x:v>45261</x:v>
      </x:c>
      <x:c r="B218" s="2" t="str">
        <x:v>62</x:v>
      </x:c>
      <x:c r="C218" s="29" t="str">
        <x:v>Health care and social assistance</x:v>
      </x:c>
      <x:c r="D218" s="2" t="str">
        <x:v>CES6562000001</x:v>
      </x:c>
      <x:c r="E218" s="20" t="n">
        <x:v>22018.7</x:v>
      </x:c>
      <x:c r="F218" s="7" t="b">
        <x:v>0</x:v>
      </x:c>
      <x:c r="G218" s="2" t="str">
        <x:v>2023Q4</x:v>
      </x:c>
      <x:c r="H218" s="2" t="str">
        <x:v>https://api.bls.gov/publicAPI/v2/timeseries/data/</x:v>
      </x:c>
    </x:row>
    <x:row r="219" ht="38" customHeight="1">
      <x:c r="A219" s="28" t="n">
        <x:v>45261</x:v>
      </x:c>
      <x:c r="B219" s="2" t="str">
        <x:v>71</x:v>
      </x:c>
      <x:c r="C219" s="29" t="str">
        <x:v>Arts, entertainment, and recreation</x:v>
      </x:c>
      <x:c r="D219" s="2" t="str">
        <x:v>CES7071000001</x:v>
      </x:c>
      <x:c r="E219" s="20" t="n">
        <x:v>2569.2</x:v>
      </x:c>
      <x:c r="F219" s="7" t="b">
        <x:v>0</x:v>
      </x:c>
      <x:c r="G219" s="2" t="str">
        <x:v>2023Q4</x:v>
      </x:c>
      <x:c r="H219" s="2" t="str">
        <x:v>https://api.bls.gov/publicAPI/v2/timeseries/data/</x:v>
      </x:c>
    </x:row>
    <x:row r="220" ht="38" customHeight="1">
      <x:c r="A220" s="28" t="n">
        <x:v>45261</x:v>
      </x:c>
      <x:c r="B220" s="2" t="str">
        <x:v>72</x:v>
      </x:c>
      <x:c r="C220" s="29" t="str">
        <x:v>Accommodation and food services</x:v>
      </x:c>
      <x:c r="D220" s="2" t="str">
        <x:v>CES7072000001</x:v>
      </x:c>
      <x:c r="E220" s="20" t="n">
        <x:v>14135</x:v>
      </x:c>
      <x:c r="F220" s="7" t="b">
        <x:v>0</x:v>
      </x:c>
      <x:c r="G220" s="2" t="str">
        <x:v>2023Q4</x:v>
      </x:c>
      <x:c r="H220" s="2" t="str">
        <x:v>https://api.bls.gov/publicAPI/v2/timeseries/data/</x:v>
      </x:c>
    </x:row>
    <x:row r="221" ht="38" customHeight="1">
      <x:c r="A221" s="28" t="n">
        <x:v>45261</x:v>
      </x:c>
      <x:c r="B221" s="2" t="str">
        <x:v>81</x:v>
      </x:c>
      <x:c r="C221" s="29" t="str">
        <x:v>Other services, except government</x:v>
      </x:c>
      <x:c r="D221" s="2" t="str">
        <x:v>CES8000000001</x:v>
      </x:c>
      <x:c r="E221" s="20" t="n">
        <x:v>5906</x:v>
      </x:c>
      <x:c r="F221" s="7" t="b">
        <x:v>0</x:v>
      </x:c>
      <x:c r="G221" s="2" t="str">
        <x:v>2023Q4</x:v>
      </x:c>
      <x:c r="H221" s="2" t="str">
        <x:v>https://api.bls.gov/publicAPI/v2/timeseries/data/</x:v>
      </x:c>
    </x:row>
    <x:row r="222" ht="38" customHeight="1">
      <x:c r="A222" s="28" t="n">
        <x:v>45292</x:v>
      </x:c>
      <x:c r="B222" s="2" t="str">
        <x:v>21</x:v>
      </x:c>
      <x:c r="C222" s="29" t="str">
        <x:v>Mining, quarrying, and oil and gas extraction</x:v>
      </x:c>
      <x:c r="D222" s="2" t="str">
        <x:v>CES1021000001</x:v>
      </x:c>
      <x:c r="E222" s="20" t="n">
        <x:v>590.3</x:v>
      </x:c>
      <x:c r="F222" s="7" t="b">
        <x:v>0</x:v>
      </x:c>
      <x:c r="G222" s="2" t="str">
        <x:v>2024Q1</x:v>
      </x:c>
      <x:c r="H222" s="2" t="str">
        <x:v>https://api.bls.gov/publicAPI/v2/timeseries/data/</x:v>
      </x:c>
    </x:row>
    <x:row r="223" ht="38" customHeight="1">
      <x:c r="A223" s="28" t="n">
        <x:v>45292</x:v>
      </x:c>
      <x:c r="B223" s="2" t="str">
        <x:v>22</x:v>
      </x:c>
      <x:c r="C223" s="29" t="str">
        <x:v>Utilities</x:v>
      </x:c>
      <x:c r="D223" s="2" t="str">
        <x:v>CES4422000001</x:v>
      </x:c>
      <x:c r="E223" s="20" t="n">
        <x:v>586.4</x:v>
      </x:c>
      <x:c r="F223" s="7" t="b">
        <x:v>0</x:v>
      </x:c>
      <x:c r="G223" s="2" t="str">
        <x:v>2024Q1</x:v>
      </x:c>
      <x:c r="H223" s="2" t="str">
        <x:v>https://api.bls.gov/publicAPI/v2/timeseries/data/</x:v>
      </x:c>
    </x:row>
    <x:row r="224" ht="38" customHeight="1">
      <x:c r="A224" s="28" t="n">
        <x:v>45292</x:v>
      </x:c>
      <x:c r="B224" s="2" t="str">
        <x:v>23</x:v>
      </x:c>
      <x:c r="C224" s="29" t="str">
        <x:v>Construction</x:v>
      </x:c>
      <x:c r="D224" s="2" t="str">
        <x:v>CES2000000001</x:v>
      </x:c>
      <x:c r="E224" s="20" t="n">
        <x:v>8123</x:v>
      </x:c>
      <x:c r="F224" s="7" t="b">
        <x:v>0</x:v>
      </x:c>
      <x:c r="G224" s="2" t="str">
        <x:v>2024Q1</x:v>
      </x:c>
      <x:c r="H224" s="2" t="str">
        <x:v>https://api.bls.gov/publicAPI/v2/timeseries/data/</x:v>
      </x:c>
    </x:row>
    <x:row r="225" ht="38" customHeight="1">
      <x:c r="A225" s="28" t="n">
        <x:v>45292</x:v>
      </x:c>
      <x:c r="B225" s="2" t="str">
        <x:v>31-33</x:v>
      </x:c>
      <x:c r="C225" s="29" t="str">
        <x:v>Manufacturing</x:v>
      </x:c>
      <x:c r="D225" s="2" t="str">
        <x:v>CES3000000001</x:v>
      </x:c>
      <x:c r="E225" s="20" t="n">
        <x:v>12875</x:v>
      </x:c>
      <x:c r="F225" s="7" t="b">
        <x:v>0</x:v>
      </x:c>
      <x:c r="G225" s="2" t="str">
        <x:v>2024Q1</x:v>
      </x:c>
      <x:c r="H225" s="2" t="str">
        <x:v>https://api.bls.gov/publicAPI/v2/timeseries/data/</x:v>
      </x:c>
    </x:row>
    <x:row r="226" ht="38" customHeight="1">
      <x:c r="A226" s="28" t="n">
        <x:v>45292</x:v>
      </x:c>
      <x:c r="B226" s="2" t="str">
        <x:v>42</x:v>
      </x:c>
      <x:c r="C226" s="29" t="str">
        <x:v>Wholesale trade</x:v>
      </x:c>
      <x:c r="D226" s="2" t="str">
        <x:v>CES4142000001</x:v>
      </x:c>
      <x:c r="E226" s="20" t="n">
        <x:v>6126</x:v>
      </x:c>
      <x:c r="F226" s="7" t="b">
        <x:v>0</x:v>
      </x:c>
      <x:c r="G226" s="2" t="str">
        <x:v>2024Q1</x:v>
      </x:c>
      <x:c r="H226" s="2" t="str">
        <x:v>https://api.bls.gov/publicAPI/v2/timeseries/data/</x:v>
      </x:c>
    </x:row>
    <x:row r="227" ht="38" customHeight="1">
      <x:c r="A227" s="28" t="n">
        <x:v>45292</x:v>
      </x:c>
      <x:c r="B227" s="2" t="str">
        <x:v>44-45</x:v>
      </x:c>
      <x:c r="C227" s="29" t="str">
        <x:v>Retail trade</x:v>
      </x:c>
      <x:c r="D227" s="2" t="str">
        <x:v>CES4200000001</x:v>
      </x:c>
      <x:c r="E227" s="20" t="n">
        <x:v>15524</x:v>
      </x:c>
      <x:c r="F227" s="7" t="b">
        <x:v>0</x:v>
      </x:c>
      <x:c r="G227" s="2" t="str">
        <x:v>2024Q1</x:v>
      </x:c>
      <x:c r="H227" s="2" t="str">
        <x:v>https://api.bls.gov/publicAPI/v2/timeseries/data/</x:v>
      </x:c>
    </x:row>
    <x:row r="228" ht="38" customHeight="1">
      <x:c r="A228" s="28" t="n">
        <x:v>45292</x:v>
      </x:c>
      <x:c r="B228" s="2" t="str">
        <x:v>48-49</x:v>
      </x:c>
      <x:c r="C228" s="29" t="str">
        <x:v>Transportation and warehousing</x:v>
      </x:c>
      <x:c r="D228" s="2" t="str">
        <x:v>CES4300000001</x:v>
      </x:c>
      <x:c r="E228" s="20" t="n">
        <x:v>6562.5</x:v>
      </x:c>
      <x:c r="F228" s="7" t="b">
        <x:v>0</x:v>
      </x:c>
      <x:c r="G228" s="2" t="str">
        <x:v>2024Q1</x:v>
      </x:c>
      <x:c r="H228" s="2" t="str">
        <x:v>https://api.bls.gov/publicAPI/v2/timeseries/data/</x:v>
      </x:c>
    </x:row>
    <x:row r="229" ht="38" customHeight="1">
      <x:c r="A229" s="28" t="n">
        <x:v>45292</x:v>
      </x:c>
      <x:c r="B229" s="2" t="str">
        <x:v>51</x:v>
      </x:c>
      <x:c r="C229" s="29" t="str">
        <x:v>Information</x:v>
      </x:c>
      <x:c r="D229" s="2" t="str">
        <x:v>CES5000000001</x:v>
      </x:c>
      <x:c r="E229" s="20" t="n">
        <x:v>2963</x:v>
      </x:c>
      <x:c r="F229" s="7" t="b">
        <x:v>0</x:v>
      </x:c>
      <x:c r="G229" s="2" t="str">
        <x:v>2024Q1</x:v>
      </x:c>
      <x:c r="H229" s="2" t="str">
        <x:v>https://api.bls.gov/publicAPI/v2/timeseries/data/</x:v>
      </x:c>
    </x:row>
    <x:row r="230" ht="38" customHeight="1">
      <x:c r="A230" s="28" t="n">
        <x:v>45292</x:v>
      </x:c>
      <x:c r="B230" s="2" t="str">
        <x:v>52</x:v>
      </x:c>
      <x:c r="C230" s="29" t="str">
        <x:v>Finance and insurance</x:v>
      </x:c>
      <x:c r="D230" s="2" t="str">
        <x:v>CES5552000001</x:v>
      </x:c>
      <x:c r="E230" s="20" t="n">
        <x:v>6697.7</x:v>
      </x:c>
      <x:c r="F230" s="7" t="b">
        <x:v>0</x:v>
      </x:c>
      <x:c r="G230" s="2" t="str">
        <x:v>2024Q1</x:v>
      </x:c>
      <x:c r="H230" s="2" t="str">
        <x:v>https://api.bls.gov/publicAPI/v2/timeseries/data/</x:v>
      </x:c>
    </x:row>
    <x:row r="231" ht="38" customHeight="1">
      <x:c r="A231" s="28" t="n">
        <x:v>45292</x:v>
      </x:c>
      <x:c r="B231" s="2" t="str">
        <x:v>53</x:v>
      </x:c>
      <x:c r="C231" s="29" t="str">
        <x:v>Real estate and rental and leasing</x:v>
      </x:c>
      <x:c r="D231" s="2" t="str">
        <x:v>CES5553000001</x:v>
      </x:c>
      <x:c r="E231" s="20" t="n">
        <x:v>2466.9</x:v>
      </x:c>
      <x:c r="F231" s="7" t="b">
        <x:v>0</x:v>
      </x:c>
      <x:c r="G231" s="2" t="str">
        <x:v>2024Q1</x:v>
      </x:c>
      <x:c r="H231" s="2" t="str">
        <x:v>https://api.bls.gov/publicAPI/v2/timeseries/data/</x:v>
      </x:c>
    </x:row>
    <x:row r="232" ht="38" customHeight="1">
      <x:c r="A232" s="28" t="n">
        <x:v>45292</x:v>
      </x:c>
      <x:c r="B232" s="2" t="str">
        <x:v>54</x:v>
      </x:c>
      <x:c r="C232" s="29" t="str">
        <x:v>Professional, scientific, and technical services</x:v>
      </x:c>
      <x:c r="D232" s="2" t="str">
        <x:v>CES6054000001</x:v>
      </x:c>
      <x:c r="E232" s="20" t="n">
        <x:v>10807</x:v>
      </x:c>
      <x:c r="F232" s="7" t="b">
        <x:v>0</x:v>
      </x:c>
      <x:c r="G232" s="2" t="str">
        <x:v>2024Q1</x:v>
      </x:c>
      <x:c r="H232" s="2" t="str">
        <x:v>https://api.bls.gov/publicAPI/v2/timeseries/data/</x:v>
      </x:c>
    </x:row>
    <x:row r="233" ht="38" customHeight="1">
      <x:c r="A233" s="28" t="n">
        <x:v>45292</x:v>
      </x:c>
      <x:c r="B233" s="2" t="str">
        <x:v>55</x:v>
      </x:c>
      <x:c r="C233" s="29" t="str">
        <x:v>Management of companies and enterprises</x:v>
      </x:c>
      <x:c r="D233" s="2" t="str">
        <x:v>CES6055000001</x:v>
      </x:c>
      <x:c r="E233" s="20" t="n">
        <x:v>2615.9</x:v>
      </x:c>
      <x:c r="F233" s="7" t="b">
        <x:v>0</x:v>
      </x:c>
      <x:c r="G233" s="2" t="str">
        <x:v>2024Q1</x:v>
      </x:c>
      <x:c r="H233" s="2" t="str">
        <x:v>https://api.bls.gov/publicAPI/v2/timeseries/data/</x:v>
      </x:c>
    </x:row>
    <x:row r="234" ht="38" customHeight="1">
      <x:c r="A234" s="28" t="n">
        <x:v>45292</x:v>
      </x:c>
      <x:c r="B234" s="2" t="str">
        <x:v>56</x:v>
      </x:c>
      <x:c r="C234" s="29" t="str">
        <x:v>Administrative, support, and waste services</x:v>
      </x:c>
      <x:c r="D234" s="2" t="str">
        <x:v>CES6056000001</x:v>
      </x:c>
      <x:c r="E234" s="20" t="n">
        <x:v>9244.9</x:v>
      </x:c>
      <x:c r="F234" s="7" t="b">
        <x:v>0</x:v>
      </x:c>
      <x:c r="G234" s="2" t="str">
        <x:v>2024Q1</x:v>
      </x:c>
      <x:c r="H234" s="2" t="str">
        <x:v>https://api.bls.gov/publicAPI/v2/timeseries/data/</x:v>
      </x:c>
    </x:row>
    <x:row r="235" ht="38" customHeight="1">
      <x:c r="A235" s="28" t="n">
        <x:v>45292</x:v>
      </x:c>
      <x:c r="B235" s="2" t="str">
        <x:v>61</x:v>
      </x:c>
      <x:c r="C235" s="29" t="str">
        <x:v>Private educational services</x:v>
      </x:c>
      <x:c r="D235" s="2" t="str">
        <x:v>CES6561000001</x:v>
      </x:c>
      <x:c r="E235" s="20" t="n">
        <x:v>3937.6</x:v>
      </x:c>
      <x:c r="F235" s="7" t="b">
        <x:v>0</x:v>
      </x:c>
      <x:c r="G235" s="2" t="str">
        <x:v>2024Q1</x:v>
      </x:c>
      <x:c r="H235" s="2" t="str">
        <x:v>https://api.bls.gov/publicAPI/v2/timeseries/data/</x:v>
      </x:c>
    </x:row>
    <x:row r="236" ht="38" customHeight="1">
      <x:c r="A236" s="28" t="n">
        <x:v>45292</x:v>
      </x:c>
      <x:c r="B236" s="2" t="str">
        <x:v>62</x:v>
      </x:c>
      <x:c r="C236" s="29" t="str">
        <x:v>Health care and social assistance</x:v>
      </x:c>
      <x:c r="D236" s="2" t="str">
        <x:v>CES6562000001</x:v>
      </x:c>
      <x:c r="E236" s="20" t="n">
        <x:v>22095.6</x:v>
      </x:c>
      <x:c r="F236" s="7" t="b">
        <x:v>0</x:v>
      </x:c>
      <x:c r="G236" s="2" t="str">
        <x:v>2024Q1</x:v>
      </x:c>
      <x:c r="H236" s="2" t="str">
        <x:v>https://api.bls.gov/publicAPI/v2/timeseries/data/</x:v>
      </x:c>
    </x:row>
    <x:row r="237" ht="38" customHeight="1">
      <x:c r="A237" s="28" t="n">
        <x:v>45292</x:v>
      </x:c>
      <x:c r="B237" s="2" t="str">
        <x:v>71</x:v>
      </x:c>
      <x:c r="C237" s="29" t="str">
        <x:v>Arts, entertainment, and recreation</x:v>
      </x:c>
      <x:c r="D237" s="2" t="str">
        <x:v>CES7071000001</x:v>
      </x:c>
      <x:c r="E237" s="20" t="n">
        <x:v>2588.6</x:v>
      </x:c>
      <x:c r="F237" s="7" t="b">
        <x:v>0</x:v>
      </x:c>
      <x:c r="G237" s="2" t="str">
        <x:v>2024Q1</x:v>
      </x:c>
      <x:c r="H237" s="2" t="str">
        <x:v>https://api.bls.gov/publicAPI/v2/timeseries/data/</x:v>
      </x:c>
    </x:row>
    <x:row r="238" ht="38" customHeight="1">
      <x:c r="A238" s="28" t="n">
        <x:v>45292</x:v>
      </x:c>
      <x:c r="B238" s="2" t="str">
        <x:v>72</x:v>
      </x:c>
      <x:c r="C238" s="29" t="str">
        <x:v>Accommodation and food services</x:v>
      </x:c>
      <x:c r="D238" s="2" t="str">
        <x:v>CES7072000001</x:v>
      </x:c>
      <x:c r="E238" s="20" t="n">
        <x:v>14127.3</x:v>
      </x:c>
      <x:c r="F238" s="7" t="b">
        <x:v>0</x:v>
      </x:c>
      <x:c r="G238" s="2" t="str">
        <x:v>2024Q1</x:v>
      </x:c>
      <x:c r="H238" s="2" t="str">
        <x:v>https://api.bls.gov/publicAPI/v2/timeseries/data/</x:v>
      </x:c>
    </x:row>
    <x:row r="239" ht="38" customHeight="1">
      <x:c r="A239" s="28" t="n">
        <x:v>45292</x:v>
      </x:c>
      <x:c r="B239" s="2" t="str">
        <x:v>81</x:v>
      </x:c>
      <x:c r="C239" s="29" t="str">
        <x:v>Other services, except government</x:v>
      </x:c>
      <x:c r="D239" s="2" t="str">
        <x:v>CES8000000001</x:v>
      </x:c>
      <x:c r="E239" s="20" t="n">
        <x:v>5917</x:v>
      </x:c>
      <x:c r="F239" s="7" t="b">
        <x:v>0</x:v>
      </x:c>
      <x:c r="G239" s="2" t="str">
        <x:v>2024Q1</x:v>
      </x:c>
      <x:c r="H239" s="2" t="str">
        <x:v>https://api.bls.gov/publicAPI/v2/timeseries/data/</x:v>
      </x:c>
    </x:row>
    <x:row r="240" ht="38" customHeight="1">
      <x:c r="A240" s="28" t="n">
        <x:v>45323</x:v>
      </x:c>
      <x:c r="B240" s="2" t="str">
        <x:v>21</x:v>
      </x:c>
      <x:c r="C240" s="29" t="str">
        <x:v>Mining, quarrying, and oil and gas extraction</x:v>
      </x:c>
      <x:c r="D240" s="2" t="str">
        <x:v>CES1021000001</x:v>
      </x:c>
      <x:c r="E240" s="20" t="n">
        <x:v>590.5</x:v>
      </x:c>
      <x:c r="F240" s="7" t="b">
        <x:v>0</x:v>
      </x:c>
      <x:c r="G240" s="2" t="str">
        <x:v>2024Q1</x:v>
      </x:c>
      <x:c r="H240" s="2" t="str">
        <x:v>https://api.bls.gov/publicAPI/v2/timeseries/data/</x:v>
      </x:c>
    </x:row>
    <x:row r="241" ht="38" customHeight="1">
      <x:c r="A241" s="28" t="n">
        <x:v>45323</x:v>
      </x:c>
      <x:c r="B241" s="2" t="str">
        <x:v>22</x:v>
      </x:c>
      <x:c r="C241" s="29" t="str">
        <x:v>Utilities</x:v>
      </x:c>
      <x:c r="D241" s="2" t="str">
        <x:v>CES4422000001</x:v>
      </x:c>
      <x:c r="E241" s="20" t="n">
        <x:v>589.9</x:v>
      </x:c>
      <x:c r="F241" s="7" t="b">
        <x:v>0</x:v>
      </x:c>
      <x:c r="G241" s="2" t="str">
        <x:v>2024Q1</x:v>
      </x:c>
      <x:c r="H241" s="2" t="str">
        <x:v>https://api.bls.gov/publicAPI/v2/timeseries/data/</x:v>
      </x:c>
    </x:row>
    <x:row r="242" ht="38" customHeight="1">
      <x:c r="A242" s="28" t="n">
        <x:v>45323</x:v>
      </x:c>
      <x:c r="B242" s="2" t="str">
        <x:v>23</x:v>
      </x:c>
      <x:c r="C242" s="29" t="str">
        <x:v>Construction</x:v>
      </x:c>
      <x:c r="D242" s="2" t="str">
        <x:v>CES2000000001</x:v>
      </x:c>
      <x:c r="E242" s="20" t="n">
        <x:v>8132</x:v>
      </x:c>
      <x:c r="F242" s="7" t="b">
        <x:v>0</x:v>
      </x:c>
      <x:c r="G242" s="2" t="str">
        <x:v>2024Q1</x:v>
      </x:c>
      <x:c r="H242" s="2" t="str">
        <x:v>https://api.bls.gov/publicAPI/v2/timeseries/data/</x:v>
      </x:c>
    </x:row>
    <x:row r="243" ht="38" customHeight="1">
      <x:c r="A243" s="28" t="n">
        <x:v>45323</x:v>
      </x:c>
      <x:c r="B243" s="2" t="str">
        <x:v>31-33</x:v>
      </x:c>
      <x:c r="C243" s="29" t="str">
        <x:v>Manufacturing</x:v>
      </x:c>
      <x:c r="D243" s="2" t="str">
        <x:v>CES3000000001</x:v>
      </x:c>
      <x:c r="E243" s="20" t="n">
        <x:v>12852</x:v>
      </x:c>
      <x:c r="F243" s="7" t="b">
        <x:v>0</x:v>
      </x:c>
      <x:c r="G243" s="2" t="str">
        <x:v>2024Q1</x:v>
      </x:c>
      <x:c r="H243" s="2" t="str">
        <x:v>https://api.bls.gov/publicAPI/v2/timeseries/data/</x:v>
      </x:c>
    </x:row>
    <x:row r="244" ht="38" customHeight="1">
      <x:c r="A244" s="28" t="n">
        <x:v>45323</x:v>
      </x:c>
      <x:c r="B244" s="2" t="str">
        <x:v>42</x:v>
      </x:c>
      <x:c r="C244" s="29" t="str">
        <x:v>Wholesale trade</x:v>
      </x:c>
      <x:c r="D244" s="2" t="str">
        <x:v>CES4142000001</x:v>
      </x:c>
      <x:c r="E244" s="20" t="n">
        <x:v>6120.5</x:v>
      </x:c>
      <x:c r="F244" s="7" t="b">
        <x:v>0</x:v>
      </x:c>
      <x:c r="G244" s="2" t="str">
        <x:v>2024Q1</x:v>
      </x:c>
      <x:c r="H244" s="2" t="str">
        <x:v>https://api.bls.gov/publicAPI/v2/timeseries/data/</x:v>
      </x:c>
    </x:row>
    <x:row r="245" ht="38" customHeight="1">
      <x:c r="A245" s="28" t="n">
        <x:v>45323</x:v>
      </x:c>
      <x:c r="B245" s="2" t="str">
        <x:v>44-45</x:v>
      </x:c>
      <x:c r="C245" s="29" t="str">
        <x:v>Retail trade</x:v>
      </x:c>
      <x:c r="D245" s="2" t="str">
        <x:v>CES4200000001</x:v>
      </x:c>
      <x:c r="E245" s="20" t="n">
        <x:v>15528.5</x:v>
      </x:c>
      <x:c r="F245" s="7" t="b">
        <x:v>0</x:v>
      </x:c>
      <x:c r="G245" s="2" t="str">
        <x:v>2024Q1</x:v>
      </x:c>
      <x:c r="H245" s="2" t="str">
        <x:v>https://api.bls.gov/publicAPI/v2/timeseries/data/</x:v>
      </x:c>
    </x:row>
    <x:row r="246" ht="38" customHeight="1">
      <x:c r="A246" s="28" t="n">
        <x:v>45323</x:v>
      </x:c>
      <x:c r="B246" s="2" t="str">
        <x:v>48-49</x:v>
      </x:c>
      <x:c r="C246" s="29" t="str">
        <x:v>Transportation and warehousing</x:v>
      </x:c>
      <x:c r="D246" s="2" t="str">
        <x:v>CES4300000001</x:v>
      </x:c>
      <x:c r="E246" s="20" t="n">
        <x:v>6600.3</x:v>
      </x:c>
      <x:c r="F246" s="7" t="b">
        <x:v>0</x:v>
      </x:c>
      <x:c r="G246" s="2" t="str">
        <x:v>2024Q1</x:v>
      </x:c>
      <x:c r="H246" s="2" t="str">
        <x:v>https://api.bls.gov/publicAPI/v2/timeseries/data/</x:v>
      </x:c>
    </x:row>
    <x:row r="247" ht="38" customHeight="1">
      <x:c r="A247" s="28" t="n">
        <x:v>45323</x:v>
      </x:c>
      <x:c r="B247" s="2" t="str">
        <x:v>51</x:v>
      </x:c>
      <x:c r="C247" s="29" t="str">
        <x:v>Information</x:v>
      </x:c>
      <x:c r="D247" s="2" t="str">
        <x:v>CES5000000001</x:v>
      </x:c>
      <x:c r="E247" s="20" t="n">
        <x:v>2958</x:v>
      </x:c>
      <x:c r="F247" s="7" t="b">
        <x:v>0</x:v>
      </x:c>
      <x:c r="G247" s="2" t="str">
        <x:v>2024Q1</x:v>
      </x:c>
      <x:c r="H247" s="2" t="str">
        <x:v>https://api.bls.gov/publicAPI/v2/timeseries/data/</x:v>
      </x:c>
    </x:row>
    <x:row r="248" ht="38" customHeight="1">
      <x:c r="A248" s="28" t="n">
        <x:v>45323</x:v>
      </x:c>
      <x:c r="B248" s="2" t="str">
        <x:v>52</x:v>
      </x:c>
      <x:c r="C248" s="29" t="str">
        <x:v>Finance and insurance</x:v>
      </x:c>
      <x:c r="D248" s="2" t="str">
        <x:v>CES5552000001</x:v>
      </x:c>
      <x:c r="E248" s="20" t="n">
        <x:v>6687.2</x:v>
      </x:c>
      <x:c r="F248" s="7" t="b">
        <x:v>0</x:v>
      </x:c>
      <x:c r="G248" s="2" t="str">
        <x:v>2024Q1</x:v>
      </x:c>
      <x:c r="H248" s="2" t="str">
        <x:v>https://api.bls.gov/publicAPI/v2/timeseries/data/</x:v>
      </x:c>
    </x:row>
    <x:row r="249" ht="38" customHeight="1">
      <x:c r="A249" s="28" t="n">
        <x:v>45323</x:v>
      </x:c>
      <x:c r="B249" s="2" t="str">
        <x:v>53</x:v>
      </x:c>
      <x:c r="C249" s="29" t="str">
        <x:v>Real estate and rental and leasing</x:v>
      </x:c>
      <x:c r="D249" s="2" t="str">
        <x:v>CES5553000001</x:v>
      </x:c>
      <x:c r="E249" s="20" t="n">
        <x:v>2463.8</x:v>
      </x:c>
      <x:c r="F249" s="7" t="b">
        <x:v>0</x:v>
      </x:c>
      <x:c r="G249" s="2" t="str">
        <x:v>2024Q1</x:v>
      </x:c>
      <x:c r="H249" s="2" t="str">
        <x:v>https://api.bls.gov/publicAPI/v2/timeseries/data/</x:v>
      </x:c>
    </x:row>
    <x:row r="250" ht="38" customHeight="1">
      <x:c r="A250" s="28" t="n">
        <x:v>45323</x:v>
      </x:c>
      <x:c r="B250" s="2" t="str">
        <x:v>54</x:v>
      </x:c>
      <x:c r="C250" s="29" t="str">
        <x:v>Professional, scientific, and technical services</x:v>
      </x:c>
      <x:c r="D250" s="2" t="str">
        <x:v>CES6054000001</x:v>
      </x:c>
      <x:c r="E250" s="20" t="n">
        <x:v>10809.2</x:v>
      </x:c>
      <x:c r="F250" s="7" t="b">
        <x:v>0</x:v>
      </x:c>
      <x:c r="G250" s="2" t="str">
        <x:v>2024Q1</x:v>
      </x:c>
      <x:c r="H250" s="2" t="str">
        <x:v>https://api.bls.gov/publicAPI/v2/timeseries/data/</x:v>
      </x:c>
    </x:row>
    <x:row r="251" ht="38" customHeight="1">
      <x:c r="A251" s="28" t="n">
        <x:v>45323</x:v>
      </x:c>
      <x:c r="B251" s="2" t="str">
        <x:v>55</x:v>
      </x:c>
      <x:c r="C251" s="29" t="str">
        <x:v>Management of companies and enterprises</x:v>
      </x:c>
      <x:c r="D251" s="2" t="str">
        <x:v>CES6055000001</x:v>
      </x:c>
      <x:c r="E251" s="20" t="n">
        <x:v>2621.3</x:v>
      </x:c>
      <x:c r="F251" s="7" t="b">
        <x:v>0</x:v>
      </x:c>
      <x:c r="G251" s="2" t="str">
        <x:v>2024Q1</x:v>
      </x:c>
      <x:c r="H251" s="2" t="str">
        <x:v>https://api.bls.gov/publicAPI/v2/timeseries/data/</x:v>
      </x:c>
    </x:row>
    <x:row r="252" ht="38" customHeight="1">
      <x:c r="A252" s="28" t="n">
        <x:v>45323</x:v>
      </x:c>
      <x:c r="B252" s="2" t="str">
        <x:v>56</x:v>
      </x:c>
      <x:c r="C252" s="29" t="str">
        <x:v>Administrative, support, and waste services</x:v>
      </x:c>
      <x:c r="D252" s="2" t="str">
        <x:v>CES6056000001</x:v>
      </x:c>
      <x:c r="E252" s="20" t="n">
        <x:v>9227.5</x:v>
      </x:c>
      <x:c r="F252" s="7" t="b">
        <x:v>0</x:v>
      </x:c>
      <x:c r="G252" s="2" t="str">
        <x:v>2024Q1</x:v>
      </x:c>
      <x:c r="H252" s="2" t="str">
        <x:v>https://api.bls.gov/publicAPI/v2/timeseries/data/</x:v>
      </x:c>
    </x:row>
    <x:row r="253" ht="38" customHeight="1">
      <x:c r="A253" s="28" t="n">
        <x:v>45323</x:v>
      </x:c>
      <x:c r="B253" s="2" t="str">
        <x:v>61</x:v>
      </x:c>
      <x:c r="C253" s="29" t="str">
        <x:v>Private educational services</x:v>
      </x:c>
      <x:c r="D253" s="2" t="str">
        <x:v>CES6561000001</x:v>
      </x:c>
      <x:c r="E253" s="20" t="n">
        <x:v>3938.9</x:v>
      </x:c>
      <x:c r="F253" s="7" t="b">
        <x:v>0</x:v>
      </x:c>
      <x:c r="G253" s="2" t="str">
        <x:v>2024Q1</x:v>
      </x:c>
      <x:c r="H253" s="2" t="str">
        <x:v>https://api.bls.gov/publicAPI/v2/timeseries/data/</x:v>
      </x:c>
    </x:row>
    <x:row r="254" ht="38" customHeight="1">
      <x:c r="A254" s="28" t="n">
        <x:v>45323</x:v>
      </x:c>
      <x:c r="B254" s="2" t="str">
        <x:v>62</x:v>
      </x:c>
      <x:c r="C254" s="29" t="str">
        <x:v>Health care and social assistance</x:v>
      </x:c>
      <x:c r="D254" s="2" t="str">
        <x:v>CES6562000001</x:v>
      </x:c>
      <x:c r="E254" s="20" t="n">
        <x:v>22191.2</x:v>
      </x:c>
      <x:c r="F254" s="7" t="b">
        <x:v>0</x:v>
      </x:c>
      <x:c r="G254" s="2" t="str">
        <x:v>2024Q1</x:v>
      </x:c>
      <x:c r="H254" s="2" t="str">
        <x:v>https://api.bls.gov/publicAPI/v2/timeseries/data/</x:v>
      </x:c>
    </x:row>
    <x:row r="255" ht="38" customHeight="1">
      <x:c r="A255" s="28" t="n">
        <x:v>45323</x:v>
      </x:c>
      <x:c r="B255" s="2" t="str">
        <x:v>71</x:v>
      </x:c>
      <x:c r="C255" s="29" t="str">
        <x:v>Arts, entertainment, and recreation</x:v>
      </x:c>
      <x:c r="D255" s="2" t="str">
        <x:v>CES7071000001</x:v>
      </x:c>
      <x:c r="E255" s="20" t="n">
        <x:v>2588.6</x:v>
      </x:c>
      <x:c r="F255" s="7" t="b">
        <x:v>0</x:v>
      </x:c>
      <x:c r="G255" s="2" t="str">
        <x:v>2024Q1</x:v>
      </x:c>
      <x:c r="H255" s="2" t="str">
        <x:v>https://api.bls.gov/publicAPI/v2/timeseries/data/</x:v>
      </x:c>
    </x:row>
    <x:row r="256" ht="38" customHeight="1">
      <x:c r="A256" s="28" t="n">
        <x:v>45323</x:v>
      </x:c>
      <x:c r="B256" s="2" t="str">
        <x:v>72</x:v>
      </x:c>
      <x:c r="C256" s="29" t="str">
        <x:v>Accommodation and food services</x:v>
      </x:c>
      <x:c r="D256" s="2" t="str">
        <x:v>CES7072000001</x:v>
      </x:c>
      <x:c r="E256" s="20" t="n">
        <x:v>14154.9</x:v>
      </x:c>
      <x:c r="F256" s="7" t="b">
        <x:v>0</x:v>
      </x:c>
      <x:c r="G256" s="2" t="str">
        <x:v>2024Q1</x:v>
      </x:c>
      <x:c r="H256" s="2" t="str">
        <x:v>https://api.bls.gov/publicAPI/v2/timeseries/data/</x:v>
      </x:c>
    </x:row>
    <x:row r="257" ht="38" customHeight="1">
      <x:c r="A257" s="28" t="n">
        <x:v>45323</x:v>
      </x:c>
      <x:c r="B257" s="2" t="str">
        <x:v>81</x:v>
      </x:c>
      <x:c r="C257" s="29" t="str">
        <x:v>Other services, except government</x:v>
      </x:c>
      <x:c r="D257" s="2" t="str">
        <x:v>CES8000000001</x:v>
      </x:c>
      <x:c r="E257" s="20" t="n">
        <x:v>5930</x:v>
      </x:c>
      <x:c r="F257" s="7" t="b">
        <x:v>0</x:v>
      </x:c>
      <x:c r="G257" s="2" t="str">
        <x:v>2024Q1</x:v>
      </x:c>
      <x:c r="H257" s="2" t="str">
        <x:v>https://api.bls.gov/publicAPI/v2/timeseries/data/</x:v>
      </x:c>
    </x:row>
    <x:row r="258" ht="38" customHeight="1">
      <x:c r="A258" s="28" t="n">
        <x:v>45352</x:v>
      </x:c>
      <x:c r="B258" s="2" t="str">
        <x:v>21</x:v>
      </x:c>
      <x:c r="C258" s="29" t="str">
        <x:v>Mining, quarrying, and oil and gas extraction</x:v>
      </x:c>
      <x:c r="D258" s="2" t="str">
        <x:v>CES1021000001</x:v>
      </x:c>
      <x:c r="E258" s="20" t="n">
        <x:v>593.2</x:v>
      </x:c>
      <x:c r="F258" s="7" t="b">
        <x:v>0</x:v>
      </x:c>
      <x:c r="G258" s="2" t="str">
        <x:v>2024Q1</x:v>
      </x:c>
      <x:c r="H258" s="2" t="str">
        <x:v>https://api.bls.gov/publicAPI/v2/timeseries/data/</x:v>
      </x:c>
    </x:row>
    <x:row r="259" ht="38" customHeight="1">
      <x:c r="A259" s="28" t="n">
        <x:v>45352</x:v>
      </x:c>
      <x:c r="B259" s="2" t="str">
        <x:v>22</x:v>
      </x:c>
      <x:c r="C259" s="29" t="str">
        <x:v>Utilities</x:v>
      </x:c>
      <x:c r="D259" s="2" t="str">
        <x:v>CES4422000001</x:v>
      </x:c>
      <x:c r="E259" s="20" t="n">
        <x:v>588.8</x:v>
      </x:c>
      <x:c r="F259" s="7" t="b">
        <x:v>0</x:v>
      </x:c>
      <x:c r="G259" s="2" t="str">
        <x:v>2024Q1</x:v>
      </x:c>
      <x:c r="H259" s="2" t="str">
        <x:v>https://api.bls.gov/publicAPI/v2/timeseries/data/</x:v>
      </x:c>
    </x:row>
    <x:row r="260" ht="38" customHeight="1">
      <x:c r="A260" s="28" t="n">
        <x:v>45352</x:v>
      </x:c>
      <x:c r="B260" s="2" t="str">
        <x:v>23</x:v>
      </x:c>
      <x:c r="C260" s="29" t="str">
        <x:v>Construction</x:v>
      </x:c>
      <x:c r="D260" s="2" t="str">
        <x:v>CES2000000001</x:v>
      </x:c>
      <x:c r="E260" s="20" t="n">
        <x:v>8164</x:v>
      </x:c>
      <x:c r="F260" s="7" t="b">
        <x:v>0</x:v>
      </x:c>
      <x:c r="G260" s="2" t="str">
        <x:v>2024Q1</x:v>
      </x:c>
      <x:c r="H260" s="2" t="str">
        <x:v>https://api.bls.gov/publicAPI/v2/timeseries/data/</x:v>
      </x:c>
    </x:row>
    <x:row r="261" ht="38" customHeight="1">
      <x:c r="A261" s="28" t="n">
        <x:v>45352</x:v>
      </x:c>
      <x:c r="B261" s="2" t="str">
        <x:v>31-33</x:v>
      </x:c>
      <x:c r="C261" s="29" t="str">
        <x:v>Manufacturing</x:v>
      </x:c>
      <x:c r="D261" s="2" t="str">
        <x:v>CES3000000001</x:v>
      </x:c>
      <x:c r="E261" s="20" t="n">
        <x:v>12836</x:v>
      </x:c>
      <x:c r="F261" s="7" t="b">
        <x:v>0</x:v>
      </x:c>
      <x:c r="G261" s="2" t="str">
        <x:v>2024Q1</x:v>
      </x:c>
      <x:c r="H261" s="2" t="str">
        <x:v>https://api.bls.gov/publicAPI/v2/timeseries/data/</x:v>
      </x:c>
    </x:row>
    <x:row r="262" ht="38" customHeight="1">
      <x:c r="A262" s="28" t="n">
        <x:v>45352</x:v>
      </x:c>
      <x:c r="B262" s="2" t="str">
        <x:v>42</x:v>
      </x:c>
      <x:c r="C262" s="29" t="str">
        <x:v>Wholesale trade</x:v>
      </x:c>
      <x:c r="D262" s="2" t="str">
        <x:v>CES4142000001</x:v>
      </x:c>
      <x:c r="E262" s="20" t="n">
        <x:v>6127.2</x:v>
      </x:c>
      <x:c r="F262" s="7" t="b">
        <x:v>0</x:v>
      </x:c>
      <x:c r="G262" s="2" t="str">
        <x:v>2024Q1</x:v>
      </x:c>
      <x:c r="H262" s="2" t="str">
        <x:v>https://api.bls.gov/publicAPI/v2/timeseries/data/</x:v>
      </x:c>
    </x:row>
    <x:row r="263" ht="38" customHeight="1">
      <x:c r="A263" s="28" t="n">
        <x:v>45352</x:v>
      </x:c>
      <x:c r="B263" s="2" t="str">
        <x:v>44-45</x:v>
      </x:c>
      <x:c r="C263" s="29" t="str">
        <x:v>Retail trade</x:v>
      </x:c>
      <x:c r="D263" s="2" t="str">
        <x:v>CES4200000001</x:v>
      </x:c>
      <x:c r="E263" s="20" t="n">
        <x:v>15529.3</x:v>
      </x:c>
      <x:c r="F263" s="7" t="b">
        <x:v>0</x:v>
      </x:c>
      <x:c r="G263" s="2" t="str">
        <x:v>2024Q1</x:v>
      </x:c>
      <x:c r="H263" s="2" t="str">
        <x:v>https://api.bls.gov/publicAPI/v2/timeseries/data/</x:v>
      </x:c>
    </x:row>
    <x:row r="264" ht="38" customHeight="1">
      <x:c r="A264" s="28" t="n">
        <x:v>45352</x:v>
      </x:c>
      <x:c r="B264" s="2" t="str">
        <x:v>48-49</x:v>
      </x:c>
      <x:c r="C264" s="29" t="str">
        <x:v>Transportation and warehousing</x:v>
      </x:c>
      <x:c r="D264" s="2" t="str">
        <x:v>CES4300000001</x:v>
      </x:c>
      <x:c r="E264" s="20" t="n">
        <x:v>6610.1</x:v>
      </x:c>
      <x:c r="F264" s="7" t="b">
        <x:v>0</x:v>
      </x:c>
      <x:c r="G264" s="2" t="str">
        <x:v>2024Q1</x:v>
      </x:c>
      <x:c r="H264" s="2" t="str">
        <x:v>https://api.bls.gov/publicAPI/v2/timeseries/data/</x:v>
      </x:c>
    </x:row>
    <x:row r="265" ht="38" customHeight="1">
      <x:c r="A265" s="28" t="n">
        <x:v>45352</x:v>
      </x:c>
      <x:c r="B265" s="2" t="str">
        <x:v>51</x:v>
      </x:c>
      <x:c r="C265" s="29" t="str">
        <x:v>Information</x:v>
      </x:c>
      <x:c r="D265" s="2" t="str">
        <x:v>CES5000000001</x:v>
      </x:c>
      <x:c r="E265" s="20" t="n">
        <x:v>2951</x:v>
      </x:c>
      <x:c r="F265" s="7" t="b">
        <x:v>0</x:v>
      </x:c>
      <x:c r="G265" s="2" t="str">
        <x:v>2024Q1</x:v>
      </x:c>
      <x:c r="H265" s="2" t="str">
        <x:v>https://api.bls.gov/publicAPI/v2/timeseries/data/</x:v>
      </x:c>
    </x:row>
    <x:row r="266" ht="38" customHeight="1">
      <x:c r="A266" s="28" t="n">
        <x:v>45352</x:v>
      </x:c>
      <x:c r="B266" s="2" t="str">
        <x:v>52</x:v>
      </x:c>
      <x:c r="C266" s="29" t="str">
        <x:v>Finance and insurance</x:v>
      </x:c>
      <x:c r="D266" s="2" t="str">
        <x:v>CES5552000001</x:v>
      </x:c>
      <x:c r="E266" s="20" t="n">
        <x:v>6686.5</x:v>
      </x:c>
      <x:c r="F266" s="7" t="b">
        <x:v>0</x:v>
      </x:c>
      <x:c r="G266" s="2" t="str">
        <x:v>2024Q1</x:v>
      </x:c>
      <x:c r="H266" s="2" t="str">
        <x:v>https://api.bls.gov/publicAPI/v2/timeseries/data/</x:v>
      </x:c>
    </x:row>
    <x:row r="267" ht="38" customHeight="1">
      <x:c r="A267" s="28" t="n">
        <x:v>45352</x:v>
      </x:c>
      <x:c r="B267" s="2" t="str">
        <x:v>53</x:v>
      </x:c>
      <x:c r="C267" s="29" t="str">
        <x:v>Real estate and rental and leasing</x:v>
      </x:c>
      <x:c r="D267" s="2" t="str">
        <x:v>CES5553000001</x:v>
      </x:c>
      <x:c r="E267" s="20" t="n">
        <x:v>2462.7</x:v>
      </x:c>
      <x:c r="F267" s="7" t="b">
        <x:v>0</x:v>
      </x:c>
      <x:c r="G267" s="2" t="str">
        <x:v>2024Q1</x:v>
      </x:c>
      <x:c r="H267" s="2" t="str">
        <x:v>https://api.bls.gov/publicAPI/v2/timeseries/data/</x:v>
      </x:c>
    </x:row>
    <x:row r="268" ht="38" customHeight="1">
      <x:c r="A268" s="28" t="n">
        <x:v>45352</x:v>
      </x:c>
      <x:c r="B268" s="2" t="str">
        <x:v>54</x:v>
      </x:c>
      <x:c r="C268" s="29" t="str">
        <x:v>Professional, scientific, and technical services</x:v>
      </x:c>
      <x:c r="D268" s="2" t="str">
        <x:v>CES6054000001</x:v>
      </x:c>
      <x:c r="E268" s="20" t="n">
        <x:v>10790.1</x:v>
      </x:c>
      <x:c r="F268" s="7" t="b">
        <x:v>0</x:v>
      </x:c>
      <x:c r="G268" s="2" t="str">
        <x:v>2024Q1</x:v>
      </x:c>
      <x:c r="H268" s="2" t="str">
        <x:v>https://api.bls.gov/publicAPI/v2/timeseries/data/</x:v>
      </x:c>
    </x:row>
    <x:row r="269" ht="38" customHeight="1">
      <x:c r="A269" s="28" t="n">
        <x:v>45352</x:v>
      </x:c>
      <x:c r="B269" s="2" t="str">
        <x:v>55</x:v>
      </x:c>
      <x:c r="C269" s="29" t="str">
        <x:v>Management of companies and enterprises</x:v>
      </x:c>
      <x:c r="D269" s="2" t="str">
        <x:v>CES6055000001</x:v>
      </x:c>
      <x:c r="E269" s="20" t="n">
        <x:v>2615.8</x:v>
      </x:c>
      <x:c r="F269" s="7" t="b">
        <x:v>0</x:v>
      </x:c>
      <x:c r="G269" s="2" t="str">
        <x:v>2024Q1</x:v>
      </x:c>
      <x:c r="H269" s="2" t="str">
        <x:v>https://api.bls.gov/publicAPI/v2/timeseries/data/</x:v>
      </x:c>
    </x:row>
    <x:row r="270" ht="38" customHeight="1">
      <x:c r="A270" s="28" t="n">
        <x:v>45352</x:v>
      </x:c>
      <x:c r="B270" s="2" t="str">
        <x:v>56</x:v>
      </x:c>
      <x:c r="C270" s="29" t="str">
        <x:v>Administrative, support, and waste services</x:v>
      </x:c>
      <x:c r="D270" s="2" t="str">
        <x:v>CES6056000001</x:v>
      </x:c>
      <x:c r="E270" s="20" t="n">
        <x:v>9224.6</x:v>
      </x:c>
      <x:c r="F270" s="7" t="b">
        <x:v>0</x:v>
      </x:c>
      <x:c r="G270" s="2" t="str">
        <x:v>2024Q1</x:v>
      </x:c>
      <x:c r="H270" s="2" t="str">
        <x:v>https://api.bls.gov/publicAPI/v2/timeseries/data/</x:v>
      </x:c>
    </x:row>
    <x:row r="271" ht="38" customHeight="1">
      <x:c r="A271" s="28" t="n">
        <x:v>45352</x:v>
      </x:c>
      <x:c r="B271" s="2" t="str">
        <x:v>61</x:v>
      </x:c>
      <x:c r="C271" s="29" t="str">
        <x:v>Private educational services</x:v>
      </x:c>
      <x:c r="D271" s="2" t="str">
        <x:v>CES6561000001</x:v>
      </x:c>
      <x:c r="E271" s="20" t="n">
        <x:v>3948.8</x:v>
      </x:c>
      <x:c r="F271" s="7" t="b">
        <x:v>0</x:v>
      </x:c>
      <x:c r="G271" s="2" t="str">
        <x:v>2024Q1</x:v>
      </x:c>
      <x:c r="H271" s="2" t="str">
        <x:v>https://api.bls.gov/publicAPI/v2/timeseries/data/</x:v>
      </x:c>
    </x:row>
    <x:row r="272" ht="38" customHeight="1">
      <x:c r="A272" s="28" t="n">
        <x:v>45352</x:v>
      </x:c>
      <x:c r="B272" s="2" t="str">
        <x:v>62</x:v>
      </x:c>
      <x:c r="C272" s="29" t="str">
        <x:v>Health care and social assistance</x:v>
      </x:c>
      <x:c r="D272" s="2" t="str">
        <x:v>CES6562000001</x:v>
      </x:c>
      <x:c r="E272" s="20" t="n">
        <x:v>22276.6</x:v>
      </x:c>
      <x:c r="F272" s="7" t="b">
        <x:v>0</x:v>
      </x:c>
      <x:c r="G272" s="2" t="str">
        <x:v>2024Q1</x:v>
      </x:c>
      <x:c r="H272" s="2" t="str">
        <x:v>https://api.bls.gov/publicAPI/v2/timeseries/data/</x:v>
      </x:c>
    </x:row>
    <x:row r="273" ht="38" customHeight="1">
      <x:c r="A273" s="28" t="n">
        <x:v>45352</x:v>
      </x:c>
      <x:c r="B273" s="2" t="str">
        <x:v>71</x:v>
      </x:c>
      <x:c r="C273" s="29" t="str">
        <x:v>Arts, entertainment, and recreation</x:v>
      </x:c>
      <x:c r="D273" s="2" t="str">
        <x:v>CES7071000001</x:v>
      </x:c>
      <x:c r="E273" s="20" t="n">
        <x:v>2606.2</x:v>
      </x:c>
      <x:c r="F273" s="7" t="b">
        <x:v>0</x:v>
      </x:c>
      <x:c r="G273" s="2" t="str">
        <x:v>2024Q1</x:v>
      </x:c>
      <x:c r="H273" s="2" t="str">
        <x:v>https://api.bls.gov/publicAPI/v2/timeseries/data/</x:v>
      </x:c>
    </x:row>
    <x:row r="274" ht="38" customHeight="1">
      <x:c r="A274" s="28" t="n">
        <x:v>45352</x:v>
      </x:c>
      <x:c r="B274" s="2" t="str">
        <x:v>72</x:v>
      </x:c>
      <x:c r="C274" s="29" t="str">
        <x:v>Accommodation and food services</x:v>
      </x:c>
      <x:c r="D274" s="2" t="str">
        <x:v>CES7072000001</x:v>
      </x:c>
      <x:c r="E274" s="20" t="n">
        <x:v>14174.1</x:v>
      </x:c>
      <x:c r="F274" s="7" t="b">
        <x:v>0</x:v>
      </x:c>
      <x:c r="G274" s="2" t="str">
        <x:v>2024Q1</x:v>
      </x:c>
      <x:c r="H274" s="2" t="str">
        <x:v>https://api.bls.gov/publicAPI/v2/timeseries/data/</x:v>
      </x:c>
    </x:row>
    <x:row r="275" ht="38" customHeight="1">
      <x:c r="A275" s="28" t="n">
        <x:v>45352</x:v>
      </x:c>
      <x:c r="B275" s="2" t="str">
        <x:v>81</x:v>
      </x:c>
      <x:c r="C275" s="29" t="str">
        <x:v>Other services, except government</x:v>
      </x:c>
      <x:c r="D275" s="2" t="str">
        <x:v>CES8000000001</x:v>
      </x:c>
      <x:c r="E275" s="20" t="n">
        <x:v>5943</x:v>
      </x:c>
      <x:c r="F275" s="7" t="b">
        <x:v>0</x:v>
      </x:c>
      <x:c r="G275" s="2" t="str">
        <x:v>2024Q1</x:v>
      </x:c>
      <x:c r="H275" s="2" t="str">
        <x:v>https://api.bls.gov/publicAPI/v2/timeseries/data/</x:v>
      </x:c>
    </x:row>
    <x:row r="276" ht="38" customHeight="1">
      <x:c r="A276" s="28" t="n">
        <x:v>45383</x:v>
      </x:c>
      <x:c r="B276" s="2" t="str">
        <x:v>21</x:v>
      </x:c>
      <x:c r="C276" s="29" t="str">
        <x:v>Mining, quarrying, and oil and gas extraction</x:v>
      </x:c>
      <x:c r="D276" s="2" t="str">
        <x:v>CES1021000001</x:v>
      </x:c>
      <x:c r="E276" s="20" t="n">
        <x:v>586.6</x:v>
      </x:c>
      <x:c r="F276" s="7" t="b">
        <x:v>0</x:v>
      </x:c>
      <x:c r="G276" s="2" t="str">
        <x:v>2024Q2</x:v>
      </x:c>
      <x:c r="H276" s="2" t="str">
        <x:v>https://api.bls.gov/publicAPI/v2/timeseries/data/</x:v>
      </x:c>
    </x:row>
    <x:row r="277" ht="38" customHeight="1">
      <x:c r="A277" s="28" t="n">
        <x:v>45383</x:v>
      </x:c>
      <x:c r="B277" s="2" t="str">
        <x:v>22</x:v>
      </x:c>
      <x:c r="C277" s="29" t="str">
        <x:v>Utilities</x:v>
      </x:c>
      <x:c r="D277" s="2" t="str">
        <x:v>CES4422000001</x:v>
      </x:c>
      <x:c r="E277" s="20" t="n">
        <x:v>589.4</x:v>
      </x:c>
      <x:c r="F277" s="7" t="b">
        <x:v>0</x:v>
      </x:c>
      <x:c r="G277" s="2" t="str">
        <x:v>2024Q2</x:v>
      </x:c>
      <x:c r="H277" s="2" t="str">
        <x:v>https://api.bls.gov/publicAPI/v2/timeseries/data/</x:v>
      </x:c>
    </x:row>
    <x:row r="278" ht="38" customHeight="1">
      <x:c r="A278" s="28" t="n">
        <x:v>45383</x:v>
      </x:c>
      <x:c r="B278" s="2" t="str">
        <x:v>23</x:v>
      </x:c>
      <x:c r="C278" s="29" t="str">
        <x:v>Construction</x:v>
      </x:c>
      <x:c r="D278" s="2" t="str">
        <x:v>CES2000000001</x:v>
      </x:c>
      <x:c r="E278" s="20" t="n">
        <x:v>8170</x:v>
      </x:c>
      <x:c r="F278" s="7" t="b">
        <x:v>0</x:v>
      </x:c>
      <x:c r="G278" s="2" t="str">
        <x:v>2024Q2</x:v>
      </x:c>
      <x:c r="H278" s="2" t="str">
        <x:v>https://api.bls.gov/publicAPI/v2/timeseries/data/</x:v>
      </x:c>
    </x:row>
    <x:row r="279" ht="38" customHeight="1">
      <x:c r="A279" s="28" t="n">
        <x:v>45383</x:v>
      </x:c>
      <x:c r="B279" s="2" t="str">
        <x:v>31-33</x:v>
      </x:c>
      <x:c r="C279" s="29" t="str">
        <x:v>Manufacturing</x:v>
      </x:c>
      <x:c r="D279" s="2" t="str">
        <x:v>CES3000000001</x:v>
      </x:c>
      <x:c r="E279" s="20" t="n">
        <x:v>12833</x:v>
      </x:c>
      <x:c r="F279" s="7" t="b">
        <x:v>0</x:v>
      </x:c>
      <x:c r="G279" s="2" t="str">
        <x:v>2024Q2</x:v>
      </x:c>
      <x:c r="H279" s="2" t="str">
        <x:v>https://api.bls.gov/publicAPI/v2/timeseries/data/</x:v>
      </x:c>
    </x:row>
    <x:row r="280" ht="38" customHeight="1">
      <x:c r="A280" s="28" t="n">
        <x:v>45383</x:v>
      </x:c>
      <x:c r="B280" s="2" t="str">
        <x:v>42</x:v>
      </x:c>
      <x:c r="C280" s="29" t="str">
        <x:v>Wholesale trade</x:v>
      </x:c>
      <x:c r="D280" s="2" t="str">
        <x:v>CES4142000001</x:v>
      </x:c>
      <x:c r="E280" s="20" t="n">
        <x:v>6127.5</x:v>
      </x:c>
      <x:c r="F280" s="7" t="b">
        <x:v>0</x:v>
      </x:c>
      <x:c r="G280" s="2" t="str">
        <x:v>2024Q2</x:v>
      </x:c>
      <x:c r="H280" s="2" t="str">
        <x:v>https://api.bls.gov/publicAPI/v2/timeseries/data/</x:v>
      </x:c>
    </x:row>
    <x:row r="281" ht="38" customHeight="1">
      <x:c r="A281" s="28" t="n">
        <x:v>45383</x:v>
      </x:c>
      <x:c r="B281" s="2" t="str">
        <x:v>44-45</x:v>
      </x:c>
      <x:c r="C281" s="29" t="str">
        <x:v>Retail trade</x:v>
      </x:c>
      <x:c r="D281" s="2" t="str">
        <x:v>CES4200000001</x:v>
      </x:c>
      <x:c r="E281" s="20" t="n">
        <x:v>15531.2</x:v>
      </x:c>
      <x:c r="F281" s="7" t="b">
        <x:v>0</x:v>
      </x:c>
      <x:c r="G281" s="2" t="str">
        <x:v>2024Q2</x:v>
      </x:c>
      <x:c r="H281" s="2" t="str">
        <x:v>https://api.bls.gov/publicAPI/v2/timeseries/data/</x:v>
      </x:c>
    </x:row>
    <x:row r="282" ht="38" customHeight="1">
      <x:c r="A282" s="28" t="n">
        <x:v>45383</x:v>
      </x:c>
      <x:c r="B282" s="2" t="str">
        <x:v>48-49</x:v>
      </x:c>
      <x:c r="C282" s="29" t="str">
        <x:v>Transportation and warehousing</x:v>
      </x:c>
      <x:c r="D282" s="2" t="str">
        <x:v>CES4300000001</x:v>
      </x:c>
      <x:c r="E282" s="20" t="n">
        <x:v>6631.4</x:v>
      </x:c>
      <x:c r="F282" s="7" t="b">
        <x:v>0</x:v>
      </x:c>
      <x:c r="G282" s="2" t="str">
        <x:v>2024Q2</x:v>
      </x:c>
      <x:c r="H282" s="2" t="str">
        <x:v>https://api.bls.gov/publicAPI/v2/timeseries/data/</x:v>
      </x:c>
    </x:row>
    <x:row r="283" ht="38" customHeight="1">
      <x:c r="A283" s="28" t="n">
        <x:v>45383</x:v>
      </x:c>
      <x:c r="B283" s="2" t="str">
        <x:v>51</x:v>
      </x:c>
      <x:c r="C283" s="29" t="str">
        <x:v>Information</x:v>
      </x:c>
      <x:c r="D283" s="2" t="str">
        <x:v>CES5000000001</x:v>
      </x:c>
      <x:c r="E283" s="20" t="n">
        <x:v>2940</x:v>
      </x:c>
      <x:c r="F283" s="7" t="b">
        <x:v>0</x:v>
      </x:c>
      <x:c r="G283" s="2" t="str">
        <x:v>2024Q2</x:v>
      </x:c>
      <x:c r="H283" s="2" t="str">
        <x:v>https://api.bls.gov/publicAPI/v2/timeseries/data/</x:v>
      </x:c>
    </x:row>
    <x:row r="284" ht="38" customHeight="1">
      <x:c r="A284" s="28" t="n">
        <x:v>45383</x:v>
      </x:c>
      <x:c r="B284" s="2" t="str">
        <x:v>52</x:v>
      </x:c>
      <x:c r="C284" s="29" t="str">
        <x:v>Finance and insurance</x:v>
      </x:c>
      <x:c r="D284" s="2" t="str">
        <x:v>CES5552000001</x:v>
      </x:c>
      <x:c r="E284" s="20" t="n">
        <x:v>6690.6</x:v>
      </x:c>
      <x:c r="F284" s="7" t="b">
        <x:v>0</x:v>
      </x:c>
      <x:c r="G284" s="2" t="str">
        <x:v>2024Q2</x:v>
      </x:c>
      <x:c r="H284" s="2" t="str">
        <x:v>https://api.bls.gov/publicAPI/v2/timeseries/data/</x:v>
      </x:c>
    </x:row>
    <x:row r="285" ht="38" customHeight="1">
      <x:c r="A285" s="28" t="n">
        <x:v>45383</x:v>
      </x:c>
      <x:c r="B285" s="2" t="str">
        <x:v>53</x:v>
      </x:c>
      <x:c r="C285" s="29" t="str">
        <x:v>Real estate and rental and leasing</x:v>
      </x:c>
      <x:c r="D285" s="2" t="str">
        <x:v>CES5553000001</x:v>
      </x:c>
      <x:c r="E285" s="20" t="n">
        <x:v>2453.4</x:v>
      </x:c>
      <x:c r="F285" s="7" t="b">
        <x:v>0</x:v>
      </x:c>
      <x:c r="G285" s="2" t="str">
        <x:v>2024Q2</x:v>
      </x:c>
      <x:c r="H285" s="2" t="str">
        <x:v>https://api.bls.gov/publicAPI/v2/timeseries/data/</x:v>
      </x:c>
    </x:row>
    <x:row r="286" ht="38" customHeight="1">
      <x:c r="A286" s="28" t="n">
        <x:v>45383</x:v>
      </x:c>
      <x:c r="B286" s="2" t="str">
        <x:v>54</x:v>
      </x:c>
      <x:c r="C286" s="29" t="str">
        <x:v>Professional, scientific, and technical services</x:v>
      </x:c>
      <x:c r="D286" s="2" t="str">
        <x:v>CES6054000001</x:v>
      </x:c>
      <x:c r="E286" s="20" t="n">
        <x:v>10793.3</x:v>
      </x:c>
      <x:c r="F286" s="7" t="b">
        <x:v>0</x:v>
      </x:c>
      <x:c r="G286" s="2" t="str">
        <x:v>2024Q2</x:v>
      </x:c>
      <x:c r="H286" s="2" t="str">
        <x:v>https://api.bls.gov/publicAPI/v2/timeseries/data/</x:v>
      </x:c>
    </x:row>
    <x:row r="287" ht="38" customHeight="1">
      <x:c r="A287" s="28" t="n">
        <x:v>45383</x:v>
      </x:c>
      <x:c r="B287" s="2" t="str">
        <x:v>55</x:v>
      </x:c>
      <x:c r="C287" s="29" t="str">
        <x:v>Management of companies and enterprises</x:v>
      </x:c>
      <x:c r="D287" s="2" t="str">
        <x:v>CES6055000001</x:v>
      </x:c>
      <x:c r="E287" s="20" t="n">
        <x:v>2613.2</x:v>
      </x:c>
      <x:c r="F287" s="7" t="b">
        <x:v>0</x:v>
      </x:c>
      <x:c r="G287" s="2" t="str">
        <x:v>2024Q2</x:v>
      </x:c>
      <x:c r="H287" s="2" t="str">
        <x:v>https://api.bls.gov/publicAPI/v2/timeseries/data/</x:v>
      </x:c>
    </x:row>
    <x:row r="288" ht="38" customHeight="1">
      <x:c r="A288" s="28" t="n">
        <x:v>45383</x:v>
      </x:c>
      <x:c r="B288" s="2" t="str">
        <x:v>56</x:v>
      </x:c>
      <x:c r="C288" s="29" t="str">
        <x:v>Administrative, support, and waste services</x:v>
      </x:c>
      <x:c r="D288" s="2" t="str">
        <x:v>CES6056000001</x:v>
      </x:c>
      <x:c r="E288" s="20" t="n">
        <x:v>9209.6</x:v>
      </x:c>
      <x:c r="F288" s="7" t="b">
        <x:v>0</x:v>
      </x:c>
      <x:c r="G288" s="2" t="str">
        <x:v>2024Q2</x:v>
      </x:c>
      <x:c r="H288" s="2" t="str">
        <x:v>https://api.bls.gov/publicAPI/v2/timeseries/data/</x:v>
      </x:c>
    </x:row>
    <x:row r="289" ht="38" customHeight="1">
      <x:c r="A289" s="28" t="n">
        <x:v>45383</x:v>
      </x:c>
      <x:c r="B289" s="2" t="str">
        <x:v>61</x:v>
      </x:c>
      <x:c r="C289" s="29" t="str">
        <x:v>Private educational services</x:v>
      </x:c>
      <x:c r="D289" s="2" t="str">
        <x:v>CES6561000001</x:v>
      </x:c>
      <x:c r="E289" s="20" t="n">
        <x:v>3954.1</x:v>
      </x:c>
      <x:c r="F289" s="7" t="b">
        <x:v>0</x:v>
      </x:c>
      <x:c r="G289" s="2" t="str">
        <x:v>2024Q2</x:v>
      </x:c>
      <x:c r="H289" s="2" t="str">
        <x:v>https://api.bls.gov/publicAPI/v2/timeseries/data/</x:v>
      </x:c>
    </x:row>
    <x:row r="290" ht="38" customHeight="1">
      <x:c r="A290" s="28" t="n">
        <x:v>45383</x:v>
      </x:c>
      <x:c r="B290" s="2" t="str">
        <x:v>62</x:v>
      </x:c>
      <x:c r="C290" s="29" t="str">
        <x:v>Health care and social assistance</x:v>
      </x:c>
      <x:c r="D290" s="2" t="str">
        <x:v>CES6562000001</x:v>
      </x:c>
      <x:c r="E290" s="20" t="n">
        <x:v>22359.2</x:v>
      </x:c>
      <x:c r="F290" s="7" t="b">
        <x:v>0</x:v>
      </x:c>
      <x:c r="G290" s="2" t="str">
        <x:v>2024Q2</x:v>
      </x:c>
      <x:c r="H290" s="2" t="str">
        <x:v>https://api.bls.gov/publicAPI/v2/timeseries/data/</x:v>
      </x:c>
    </x:row>
    <x:row r="291" ht="38" customHeight="1">
      <x:c r="A291" s="28" t="n">
        <x:v>45383</x:v>
      </x:c>
      <x:c r="B291" s="2" t="str">
        <x:v>71</x:v>
      </x:c>
      <x:c r="C291" s="29" t="str">
        <x:v>Arts, entertainment, and recreation</x:v>
      </x:c>
      <x:c r="D291" s="2" t="str">
        <x:v>CES7071000001</x:v>
      </x:c>
      <x:c r="E291" s="20" t="n">
        <x:v>2606.4</x:v>
      </x:c>
      <x:c r="F291" s="7" t="b">
        <x:v>0</x:v>
      </x:c>
      <x:c r="G291" s="2" t="str">
        <x:v>2024Q2</x:v>
      </x:c>
      <x:c r="H291" s="2" t="str">
        <x:v>https://api.bls.gov/publicAPI/v2/timeseries/data/</x:v>
      </x:c>
    </x:row>
    <x:row r="292" ht="38" customHeight="1">
      <x:c r="A292" s="28" t="n">
        <x:v>45383</x:v>
      </x:c>
      <x:c r="B292" s="2" t="str">
        <x:v>72</x:v>
      </x:c>
      <x:c r="C292" s="29" t="str">
        <x:v>Accommodation and food services</x:v>
      </x:c>
      <x:c r="D292" s="2" t="str">
        <x:v>CES7072000001</x:v>
      </x:c>
      <x:c r="E292" s="20" t="n">
        <x:v>14156</x:v>
      </x:c>
      <x:c r="F292" s="7" t="b">
        <x:v>0</x:v>
      </x:c>
      <x:c r="G292" s="2" t="str">
        <x:v>2024Q2</x:v>
      </x:c>
      <x:c r="H292" s="2" t="str">
        <x:v>https://api.bls.gov/publicAPI/v2/timeseries/data/</x:v>
      </x:c>
    </x:row>
    <x:row r="293" ht="38" customHeight="1">
      <x:c r="A293" s="28" t="n">
        <x:v>45383</x:v>
      </x:c>
      <x:c r="B293" s="2" t="str">
        <x:v>81</x:v>
      </x:c>
      <x:c r="C293" s="29" t="str">
        <x:v>Other services, except government</x:v>
      </x:c>
      <x:c r="D293" s="2" t="str">
        <x:v>CES8000000001</x:v>
      </x:c>
      <x:c r="E293" s="20" t="n">
        <x:v>5947</x:v>
      </x:c>
      <x:c r="F293" s="7" t="b">
        <x:v>0</x:v>
      </x:c>
      <x:c r="G293" s="2" t="str">
        <x:v>2024Q2</x:v>
      </x:c>
      <x:c r="H293" s="2" t="str">
        <x:v>https://api.bls.gov/publicAPI/v2/timeseries/data/</x:v>
      </x:c>
    </x:row>
    <x:row r="294" ht="38" customHeight="1">
      <x:c r="A294" s="28" t="n">
        <x:v>45413</x:v>
      </x:c>
      <x:c r="B294" s="2" t="str">
        <x:v>21</x:v>
      </x:c>
      <x:c r="C294" s="29" t="str">
        <x:v>Mining, quarrying, and oil and gas extraction</x:v>
      </x:c>
      <x:c r="D294" s="2" t="str">
        <x:v>CES1021000001</x:v>
      </x:c>
      <x:c r="E294" s="20" t="n">
        <x:v>583.9</x:v>
      </x:c>
      <x:c r="F294" s="7" t="b">
        <x:v>0</x:v>
      </x:c>
      <x:c r="G294" s="2" t="str">
        <x:v>2024Q2</x:v>
      </x:c>
      <x:c r="H294" s="2" t="str">
        <x:v>https://api.bls.gov/publicAPI/v2/timeseries/data/</x:v>
      </x:c>
    </x:row>
    <x:row r="295" ht="38" customHeight="1">
      <x:c r="A295" s="28" t="n">
        <x:v>45413</x:v>
      </x:c>
      <x:c r="B295" s="2" t="str">
        <x:v>22</x:v>
      </x:c>
      <x:c r="C295" s="29" t="str">
        <x:v>Utilities</x:v>
      </x:c>
      <x:c r="D295" s="2" t="str">
        <x:v>CES4422000001</x:v>
      </x:c>
      <x:c r="E295" s="20" t="n">
        <x:v>590.6</x:v>
      </x:c>
      <x:c r="F295" s="7" t="b">
        <x:v>0</x:v>
      </x:c>
      <x:c r="G295" s="2" t="str">
        <x:v>2024Q2</x:v>
      </x:c>
      <x:c r="H295" s="2" t="str">
        <x:v>https://api.bls.gov/publicAPI/v2/timeseries/data/</x:v>
      </x:c>
    </x:row>
    <x:row r="296" ht="38" customHeight="1">
      <x:c r="A296" s="28" t="n">
        <x:v>45413</x:v>
      </x:c>
      <x:c r="B296" s="2" t="str">
        <x:v>23</x:v>
      </x:c>
      <x:c r="C296" s="29" t="str">
        <x:v>Construction</x:v>
      </x:c>
      <x:c r="D296" s="2" t="str">
        <x:v>CES2000000001</x:v>
      </x:c>
      <x:c r="E296" s="20" t="n">
        <x:v>8176</x:v>
      </x:c>
      <x:c r="F296" s="7" t="b">
        <x:v>0</x:v>
      </x:c>
      <x:c r="G296" s="2" t="str">
        <x:v>2024Q2</x:v>
      </x:c>
      <x:c r="H296" s="2" t="str">
        <x:v>https://api.bls.gov/publicAPI/v2/timeseries/data/</x:v>
      </x:c>
    </x:row>
    <x:row r="297" ht="38" customHeight="1">
      <x:c r="A297" s="28" t="n">
        <x:v>45413</x:v>
      </x:c>
      <x:c r="B297" s="2" t="str">
        <x:v>31-33</x:v>
      </x:c>
      <x:c r="C297" s="29" t="str">
        <x:v>Manufacturing</x:v>
      </x:c>
      <x:c r="D297" s="2" t="str">
        <x:v>CES3000000001</x:v>
      </x:c>
      <x:c r="E297" s="20" t="n">
        <x:v>12825</x:v>
      </x:c>
      <x:c r="F297" s="7" t="b">
        <x:v>0</x:v>
      </x:c>
      <x:c r="G297" s="2" t="str">
        <x:v>2024Q2</x:v>
      </x:c>
      <x:c r="H297" s="2" t="str">
        <x:v>https://api.bls.gov/publicAPI/v2/timeseries/data/</x:v>
      </x:c>
    </x:row>
    <x:row r="298" ht="38" customHeight="1">
      <x:c r="A298" s="28" t="n">
        <x:v>45413</x:v>
      </x:c>
      <x:c r="B298" s="2" t="str">
        <x:v>42</x:v>
      </x:c>
      <x:c r="C298" s="29" t="str">
        <x:v>Wholesale trade</x:v>
      </x:c>
      <x:c r="D298" s="2" t="str">
        <x:v>CES4142000001</x:v>
      </x:c>
      <x:c r="E298" s="20" t="n">
        <x:v>6109.1</x:v>
      </x:c>
      <x:c r="F298" s="7" t="b">
        <x:v>0</x:v>
      </x:c>
      <x:c r="G298" s="2" t="str">
        <x:v>2024Q2</x:v>
      </x:c>
      <x:c r="H298" s="2" t="str">
        <x:v>https://api.bls.gov/publicAPI/v2/timeseries/data/</x:v>
      </x:c>
    </x:row>
    <x:row r="299" ht="38" customHeight="1">
      <x:c r="A299" s="28" t="n">
        <x:v>45413</x:v>
      </x:c>
      <x:c r="B299" s="2" t="str">
        <x:v>44-45</x:v>
      </x:c>
      <x:c r="C299" s="29" t="str">
        <x:v>Retail trade</x:v>
      </x:c>
      <x:c r="D299" s="2" t="str">
        <x:v>CES4200000001</x:v>
      </x:c>
      <x:c r="E299" s="20" t="n">
        <x:v>15536</x:v>
      </x:c>
      <x:c r="F299" s="7" t="b">
        <x:v>0</x:v>
      </x:c>
      <x:c r="G299" s="2" t="str">
        <x:v>2024Q2</x:v>
      </x:c>
      <x:c r="H299" s="2" t="str">
        <x:v>https://api.bls.gov/publicAPI/v2/timeseries/data/</x:v>
      </x:c>
    </x:row>
    <x:row r="300" ht="38" customHeight="1">
      <x:c r="A300" s="28" t="n">
        <x:v>45413</x:v>
      </x:c>
      <x:c r="B300" s="2" t="str">
        <x:v>48-49</x:v>
      </x:c>
      <x:c r="C300" s="29" t="str">
        <x:v>Transportation and warehousing</x:v>
      </x:c>
      <x:c r="D300" s="2" t="str">
        <x:v>CES4300000001</x:v>
      </x:c>
      <x:c r="E300" s="20" t="n">
        <x:v>6644.6</x:v>
      </x:c>
      <x:c r="F300" s="7" t="b">
        <x:v>0</x:v>
      </x:c>
      <x:c r="G300" s="2" t="str">
        <x:v>2024Q2</x:v>
      </x:c>
      <x:c r="H300" s="2" t="str">
        <x:v>https://api.bls.gov/publicAPI/v2/timeseries/data/</x:v>
      </x:c>
    </x:row>
    <x:row r="301" ht="38" customHeight="1">
      <x:c r="A301" s="28" t="n">
        <x:v>45413</x:v>
      </x:c>
      <x:c r="B301" s="2" t="str">
        <x:v>51</x:v>
      </x:c>
      <x:c r="C301" s="29" t="str">
        <x:v>Information</x:v>
      </x:c>
      <x:c r="D301" s="2" t="str">
        <x:v>CES5000000001</x:v>
      </x:c>
      <x:c r="E301" s="20" t="n">
        <x:v>2930</x:v>
      </x:c>
      <x:c r="F301" s="7" t="b">
        <x:v>0</x:v>
      </x:c>
      <x:c r="G301" s="2" t="str">
        <x:v>2024Q2</x:v>
      </x:c>
      <x:c r="H301" s="2" t="str">
        <x:v>https://api.bls.gov/publicAPI/v2/timeseries/data/</x:v>
      </x:c>
    </x:row>
    <x:row r="302" ht="38" customHeight="1">
      <x:c r="A302" s="28" t="n">
        <x:v>45413</x:v>
      </x:c>
      <x:c r="B302" s="2" t="str">
        <x:v>52</x:v>
      </x:c>
      <x:c r="C302" s="29" t="str">
        <x:v>Finance and insurance</x:v>
      </x:c>
      <x:c r="D302" s="2" t="str">
        <x:v>CES5552000001</x:v>
      </x:c>
      <x:c r="E302" s="20" t="n">
        <x:v>6696</x:v>
      </x:c>
      <x:c r="F302" s="7" t="b">
        <x:v>0</x:v>
      </x:c>
      <x:c r="G302" s="2" t="str">
        <x:v>2024Q2</x:v>
      </x:c>
      <x:c r="H302" s="2" t="str">
        <x:v>https://api.bls.gov/publicAPI/v2/timeseries/data/</x:v>
      </x:c>
    </x:row>
    <x:row r="303" ht="38" customHeight="1">
      <x:c r="A303" s="28" t="n">
        <x:v>45413</x:v>
      </x:c>
      <x:c r="B303" s="2" t="str">
        <x:v>53</x:v>
      </x:c>
      <x:c r="C303" s="29" t="str">
        <x:v>Real estate and rental and leasing</x:v>
      </x:c>
      <x:c r="D303" s="2" t="str">
        <x:v>CES5553000001</x:v>
      </x:c>
      <x:c r="E303" s="20" t="n">
        <x:v>2450.6</x:v>
      </x:c>
      <x:c r="F303" s="7" t="b">
        <x:v>0</x:v>
      </x:c>
      <x:c r="G303" s="2" t="str">
        <x:v>2024Q2</x:v>
      </x:c>
      <x:c r="H303" s="2" t="str">
        <x:v>https://api.bls.gov/publicAPI/v2/timeseries/data/</x:v>
      </x:c>
    </x:row>
    <x:row r="304" ht="38" customHeight="1">
      <x:c r="A304" s="28" t="n">
        <x:v>45413</x:v>
      </x:c>
      <x:c r="B304" s="2" t="str">
        <x:v>54</x:v>
      </x:c>
      <x:c r="C304" s="29" t="str">
        <x:v>Professional, scientific, and technical services</x:v>
      </x:c>
      <x:c r="D304" s="2" t="str">
        <x:v>CES6054000001</x:v>
      </x:c>
      <x:c r="E304" s="20" t="n">
        <x:v>10817.6</x:v>
      </x:c>
      <x:c r="F304" s="7" t="b">
        <x:v>0</x:v>
      </x:c>
      <x:c r="G304" s="2" t="str">
        <x:v>2024Q2</x:v>
      </x:c>
      <x:c r="H304" s="2" t="str">
        <x:v>https://api.bls.gov/publicAPI/v2/timeseries/data/</x:v>
      </x:c>
    </x:row>
    <x:row r="305" ht="38" customHeight="1">
      <x:c r="A305" s="28" t="n">
        <x:v>45413</x:v>
      </x:c>
      <x:c r="B305" s="2" t="str">
        <x:v>55</x:v>
      </x:c>
      <x:c r="C305" s="29" t="str">
        <x:v>Management of companies and enterprises</x:v>
      </x:c>
      <x:c r="D305" s="2" t="str">
        <x:v>CES6055000001</x:v>
      </x:c>
      <x:c r="E305" s="20" t="n">
        <x:v>2610.5</x:v>
      </x:c>
      <x:c r="F305" s="7" t="b">
        <x:v>0</x:v>
      </x:c>
      <x:c r="G305" s="2" t="str">
        <x:v>2024Q2</x:v>
      </x:c>
      <x:c r="H305" s="2" t="str">
        <x:v>https://api.bls.gov/publicAPI/v2/timeseries/data/</x:v>
      </x:c>
    </x:row>
    <x:row r="306" ht="38" customHeight="1">
      <x:c r="A306" s="28" t="n">
        <x:v>45413</x:v>
      </x:c>
      <x:c r="B306" s="2" t="str">
        <x:v>56</x:v>
      </x:c>
      <x:c r="C306" s="29" t="str">
        <x:v>Administrative, support, and waste services</x:v>
      </x:c>
      <x:c r="D306" s="2" t="str">
        <x:v>CES6056000001</x:v>
      </x:c>
      <x:c r="E306" s="20" t="n">
        <x:v>9205.1</x:v>
      </x:c>
      <x:c r="F306" s="7" t="b">
        <x:v>0</x:v>
      </x:c>
      <x:c r="G306" s="2" t="str">
        <x:v>2024Q2</x:v>
      </x:c>
      <x:c r="H306" s="2" t="str">
        <x:v>https://api.bls.gov/publicAPI/v2/timeseries/data/</x:v>
      </x:c>
    </x:row>
    <x:row r="307" ht="38" customHeight="1">
      <x:c r="A307" s="28" t="n">
        <x:v>45413</x:v>
      </x:c>
      <x:c r="B307" s="2" t="str">
        <x:v>61</x:v>
      </x:c>
      <x:c r="C307" s="29" t="str">
        <x:v>Private educational services</x:v>
      </x:c>
      <x:c r="D307" s="2" t="str">
        <x:v>CES6561000001</x:v>
      </x:c>
      <x:c r="E307" s="20" t="n">
        <x:v>3958.8</x:v>
      </x:c>
      <x:c r="F307" s="7" t="b">
        <x:v>0</x:v>
      </x:c>
      <x:c r="G307" s="2" t="str">
        <x:v>2024Q2</x:v>
      </x:c>
      <x:c r="H307" s="2" t="str">
        <x:v>https://api.bls.gov/publicAPI/v2/timeseries/data/</x:v>
      </x:c>
    </x:row>
    <x:row r="308" ht="38" customHeight="1">
      <x:c r="A308" s="28" t="n">
        <x:v>45413</x:v>
      </x:c>
      <x:c r="B308" s="2" t="str">
        <x:v>62</x:v>
      </x:c>
      <x:c r="C308" s="29" t="str">
        <x:v>Health care and social assistance</x:v>
      </x:c>
      <x:c r="D308" s="2" t="str">
        <x:v>CES6562000001</x:v>
      </x:c>
      <x:c r="E308" s="20" t="n">
        <x:v>22424.6</x:v>
      </x:c>
      <x:c r="F308" s="7" t="b">
        <x:v>0</x:v>
      </x:c>
      <x:c r="G308" s="2" t="str">
        <x:v>2024Q2</x:v>
      </x:c>
      <x:c r="H308" s="2" t="str">
        <x:v>https://api.bls.gov/publicAPI/v2/timeseries/data/</x:v>
      </x:c>
    </x:row>
    <x:row r="309" ht="38" customHeight="1">
      <x:c r="A309" s="28" t="n">
        <x:v>45413</x:v>
      </x:c>
      <x:c r="B309" s="2" t="str">
        <x:v>71</x:v>
      </x:c>
      <x:c r="C309" s="29" t="str">
        <x:v>Arts, entertainment, and recreation</x:v>
      </x:c>
      <x:c r="D309" s="2" t="str">
        <x:v>CES7071000001</x:v>
      </x:c>
      <x:c r="E309" s="20" t="n">
        <x:v>2611.5</x:v>
      </x:c>
      <x:c r="F309" s="7" t="b">
        <x:v>0</x:v>
      </x:c>
      <x:c r="G309" s="2" t="str">
        <x:v>2024Q2</x:v>
      </x:c>
      <x:c r="H309" s="2" t="str">
        <x:v>https://api.bls.gov/publicAPI/v2/timeseries/data/</x:v>
      </x:c>
    </x:row>
    <x:row r="310" ht="38" customHeight="1">
      <x:c r="A310" s="28" t="n">
        <x:v>45413</x:v>
      </x:c>
      <x:c r="B310" s="2" t="str">
        <x:v>72</x:v>
      </x:c>
      <x:c r="C310" s="29" t="str">
        <x:v>Accommodation and food services</x:v>
      </x:c>
      <x:c r="D310" s="2" t="str">
        <x:v>CES7072000001</x:v>
      </x:c>
      <x:c r="E310" s="20" t="n">
        <x:v>14119.6</x:v>
      </x:c>
      <x:c r="F310" s="7" t="b">
        <x:v>0</x:v>
      </x:c>
      <x:c r="G310" s="2" t="str">
        <x:v>2024Q2</x:v>
      </x:c>
      <x:c r="H310" s="2" t="str">
        <x:v>https://api.bls.gov/publicAPI/v2/timeseries/data/</x:v>
      </x:c>
    </x:row>
    <x:row r="311" ht="38" customHeight="1">
      <x:c r="A311" s="28" t="n">
        <x:v>45413</x:v>
      </x:c>
      <x:c r="B311" s="2" t="str">
        <x:v>81</x:v>
      </x:c>
      <x:c r="C311" s="29" t="str">
        <x:v>Other services, except government</x:v>
      </x:c>
      <x:c r="D311" s="2" t="str">
        <x:v>CES8000000001</x:v>
      </x:c>
      <x:c r="E311" s="20" t="n">
        <x:v>5949</x:v>
      </x:c>
      <x:c r="F311" s="7" t="b">
        <x:v>0</x:v>
      </x:c>
      <x:c r="G311" s="2" t="str">
        <x:v>2024Q2</x:v>
      </x:c>
      <x:c r="H311" s="2" t="str">
        <x:v>https://api.bls.gov/publicAPI/v2/timeseries/data/</x:v>
      </x:c>
    </x:row>
    <x:row r="312" ht="38" customHeight="1">
      <x:c r="A312" s="28" t="n">
        <x:v>45444</x:v>
      </x:c>
      <x:c r="B312" s="2" t="str">
        <x:v>21</x:v>
      </x:c>
      <x:c r="C312" s="29" t="str">
        <x:v>Mining, quarrying, and oil and gas extraction</x:v>
      </x:c>
      <x:c r="D312" s="2" t="str">
        <x:v>CES1021000001</x:v>
      </x:c>
      <x:c r="E312" s="20" t="n">
        <x:v>581</x:v>
      </x:c>
      <x:c r="F312" s="7" t="b">
        <x:v>0</x:v>
      </x:c>
      <x:c r="G312" s="2" t="str">
        <x:v>2024Q2</x:v>
      </x:c>
      <x:c r="H312" s="2" t="str">
        <x:v>https://api.bls.gov/publicAPI/v2/timeseries/data/</x:v>
      </x:c>
    </x:row>
    <x:row r="313" ht="38" customHeight="1">
      <x:c r="A313" s="28" t="n">
        <x:v>45444</x:v>
      </x:c>
      <x:c r="B313" s="2" t="str">
        <x:v>22</x:v>
      </x:c>
      <x:c r="C313" s="29" t="str">
        <x:v>Utilities</x:v>
      </x:c>
      <x:c r="D313" s="2" t="str">
        <x:v>CES4422000001</x:v>
      </x:c>
      <x:c r="E313" s="20" t="n">
        <x:v>592.4</x:v>
      </x:c>
      <x:c r="F313" s="7" t="b">
        <x:v>0</x:v>
      </x:c>
      <x:c r="G313" s="2" t="str">
        <x:v>2024Q2</x:v>
      </x:c>
      <x:c r="H313" s="2" t="str">
        <x:v>https://api.bls.gov/publicAPI/v2/timeseries/data/</x:v>
      </x:c>
    </x:row>
    <x:row r="314" ht="38" customHeight="1">
      <x:c r="A314" s="28" t="n">
        <x:v>45444</x:v>
      </x:c>
      <x:c r="B314" s="2" t="str">
        <x:v>23</x:v>
      </x:c>
      <x:c r="C314" s="29" t="str">
        <x:v>Construction</x:v>
      </x:c>
      <x:c r="D314" s="2" t="str">
        <x:v>CES2000000001</x:v>
      </x:c>
      <x:c r="E314" s="20" t="n">
        <x:v>8196</x:v>
      </x:c>
      <x:c r="F314" s="7" t="b">
        <x:v>0</x:v>
      </x:c>
      <x:c r="G314" s="2" t="str">
        <x:v>2024Q2</x:v>
      </x:c>
      <x:c r="H314" s="2" t="str">
        <x:v>https://api.bls.gov/publicAPI/v2/timeseries/data/</x:v>
      </x:c>
    </x:row>
    <x:row r="315" ht="38" customHeight="1">
      <x:c r="A315" s="28" t="n">
        <x:v>45444</x:v>
      </x:c>
      <x:c r="B315" s="2" t="str">
        <x:v>31-33</x:v>
      </x:c>
      <x:c r="C315" s="29" t="str">
        <x:v>Manufacturing</x:v>
      </x:c>
      <x:c r="D315" s="2" t="str">
        <x:v>CES3000000001</x:v>
      </x:c>
      <x:c r="E315" s="20" t="n">
        <x:v>12814</x:v>
      </x:c>
      <x:c r="F315" s="7" t="b">
        <x:v>0</x:v>
      </x:c>
      <x:c r="G315" s="2" t="str">
        <x:v>2024Q2</x:v>
      </x:c>
      <x:c r="H315" s="2" t="str">
        <x:v>https://api.bls.gov/publicAPI/v2/timeseries/data/</x:v>
      </x:c>
    </x:row>
    <x:row r="316" ht="38" customHeight="1">
      <x:c r="A316" s="28" t="n">
        <x:v>45444</x:v>
      </x:c>
      <x:c r="B316" s="2" t="str">
        <x:v>42</x:v>
      </x:c>
      <x:c r="C316" s="29" t="str">
        <x:v>Wholesale trade</x:v>
      </x:c>
      <x:c r="D316" s="2" t="str">
        <x:v>CES4142000001</x:v>
      </x:c>
      <x:c r="E316" s="20" t="n">
        <x:v>6111.9</x:v>
      </x:c>
      <x:c r="F316" s="7" t="b">
        <x:v>0</x:v>
      </x:c>
      <x:c r="G316" s="2" t="str">
        <x:v>2024Q2</x:v>
      </x:c>
      <x:c r="H316" s="2" t="str">
        <x:v>https://api.bls.gov/publicAPI/v2/timeseries/data/</x:v>
      </x:c>
    </x:row>
    <x:row r="317" ht="38" customHeight="1">
      <x:c r="A317" s="28" t="n">
        <x:v>45444</x:v>
      </x:c>
      <x:c r="B317" s="2" t="str">
        <x:v>44-45</x:v>
      </x:c>
      <x:c r="C317" s="29" t="str">
        <x:v>Retail trade</x:v>
      </x:c>
      <x:c r="D317" s="2" t="str">
        <x:v>CES4200000001</x:v>
      </x:c>
      <x:c r="E317" s="20" t="n">
        <x:v>15499.9</x:v>
      </x:c>
      <x:c r="F317" s="7" t="b">
        <x:v>0</x:v>
      </x:c>
      <x:c r="G317" s="2" t="str">
        <x:v>2024Q2</x:v>
      </x:c>
      <x:c r="H317" s="2" t="str">
        <x:v>https://api.bls.gov/publicAPI/v2/timeseries/data/</x:v>
      </x:c>
    </x:row>
    <x:row r="318" ht="38" customHeight="1">
      <x:c r="A318" s="28" t="n">
        <x:v>45444</x:v>
      </x:c>
      <x:c r="B318" s="2" t="str">
        <x:v>48-49</x:v>
      </x:c>
      <x:c r="C318" s="29" t="str">
        <x:v>Transportation and warehousing</x:v>
      </x:c>
      <x:c r="D318" s="2" t="str">
        <x:v>CES4300000001</x:v>
      </x:c>
      <x:c r="E318" s="20" t="n">
        <x:v>6647.2</x:v>
      </x:c>
      <x:c r="F318" s="7" t="b">
        <x:v>0</x:v>
      </x:c>
      <x:c r="G318" s="2" t="str">
        <x:v>2024Q2</x:v>
      </x:c>
      <x:c r="H318" s="2" t="str">
        <x:v>https://api.bls.gov/publicAPI/v2/timeseries/data/</x:v>
      </x:c>
    </x:row>
    <x:row r="319" ht="38" customHeight="1">
      <x:c r="A319" s="28" t="n">
        <x:v>45444</x:v>
      </x:c>
      <x:c r="B319" s="2" t="str">
        <x:v>51</x:v>
      </x:c>
      <x:c r="C319" s="29" t="str">
        <x:v>Information</x:v>
      </x:c>
      <x:c r="D319" s="2" t="str">
        <x:v>CES5000000001</x:v>
      </x:c>
      <x:c r="E319" s="20" t="n">
        <x:v>2930</x:v>
      </x:c>
      <x:c r="F319" s="7" t="b">
        <x:v>0</x:v>
      </x:c>
      <x:c r="G319" s="2" t="str">
        <x:v>2024Q2</x:v>
      </x:c>
      <x:c r="H319" s="2" t="str">
        <x:v>https://api.bls.gov/publicAPI/v2/timeseries/data/</x:v>
      </x:c>
    </x:row>
    <x:row r="320" ht="38" customHeight="1">
      <x:c r="A320" s="28" t="n">
        <x:v>45444</x:v>
      </x:c>
      <x:c r="B320" s="2" t="str">
        <x:v>52</x:v>
      </x:c>
      <x:c r="C320" s="29" t="str">
        <x:v>Finance and insurance</x:v>
      </x:c>
      <x:c r="D320" s="2" t="str">
        <x:v>CES5552000001</x:v>
      </x:c>
      <x:c r="E320" s="20" t="n">
        <x:v>6709.8</x:v>
      </x:c>
      <x:c r="F320" s="7" t="b">
        <x:v>0</x:v>
      </x:c>
      <x:c r="G320" s="2" t="str">
        <x:v>2024Q2</x:v>
      </x:c>
      <x:c r="H320" s="2" t="str">
        <x:v>https://api.bls.gov/publicAPI/v2/timeseries/data/</x:v>
      </x:c>
    </x:row>
    <x:row r="321" ht="38" customHeight="1">
      <x:c r="A321" s="28" t="n">
        <x:v>45444</x:v>
      </x:c>
      <x:c r="B321" s="2" t="str">
        <x:v>53</x:v>
      </x:c>
      <x:c r="C321" s="29" t="str">
        <x:v>Real estate and rental and leasing</x:v>
      </x:c>
      <x:c r="D321" s="2" t="str">
        <x:v>CES5553000001</x:v>
      </x:c>
      <x:c r="E321" s="20" t="n">
        <x:v>2449.4</x:v>
      </x:c>
      <x:c r="F321" s="7" t="b">
        <x:v>0</x:v>
      </x:c>
      <x:c r="G321" s="2" t="str">
        <x:v>2024Q2</x:v>
      </x:c>
      <x:c r="H321" s="2" t="str">
        <x:v>https://api.bls.gov/publicAPI/v2/timeseries/data/</x:v>
      </x:c>
    </x:row>
    <x:row r="322" ht="38" customHeight="1">
      <x:c r="A322" s="28" t="n">
        <x:v>45444</x:v>
      </x:c>
      <x:c r="B322" s="2" t="str">
        <x:v>54</x:v>
      </x:c>
      <x:c r="C322" s="29" t="str">
        <x:v>Professional, scientific, and technical services</x:v>
      </x:c>
      <x:c r="D322" s="2" t="str">
        <x:v>CES6054000001</x:v>
      </x:c>
      <x:c r="E322" s="20" t="n">
        <x:v>10820.6</x:v>
      </x:c>
      <x:c r="F322" s="7" t="b">
        <x:v>0</x:v>
      </x:c>
      <x:c r="G322" s="2" t="str">
        <x:v>2024Q2</x:v>
      </x:c>
      <x:c r="H322" s="2" t="str">
        <x:v>https://api.bls.gov/publicAPI/v2/timeseries/data/</x:v>
      </x:c>
    </x:row>
    <x:row r="323" ht="38" customHeight="1">
      <x:c r="A323" s="28" t="n">
        <x:v>45444</x:v>
      </x:c>
      <x:c r="B323" s="2" t="str">
        <x:v>55</x:v>
      </x:c>
      <x:c r="C323" s="29" t="str">
        <x:v>Management of companies and enterprises</x:v>
      </x:c>
      <x:c r="D323" s="2" t="str">
        <x:v>CES6055000001</x:v>
      </x:c>
      <x:c r="E323" s="20" t="n">
        <x:v>2613.1</x:v>
      </x:c>
      <x:c r="F323" s="7" t="b">
        <x:v>0</x:v>
      </x:c>
      <x:c r="G323" s="2" t="str">
        <x:v>2024Q2</x:v>
      </x:c>
      <x:c r="H323" s="2" t="str">
        <x:v>https://api.bls.gov/publicAPI/v2/timeseries/data/</x:v>
      </x:c>
    </x:row>
    <x:row r="324" ht="38" customHeight="1">
      <x:c r="A324" s="28" t="n">
        <x:v>45444</x:v>
      </x:c>
      <x:c r="B324" s="2" t="str">
        <x:v>56</x:v>
      </x:c>
      <x:c r="C324" s="29" t="str">
        <x:v>Administrative, support, and waste services</x:v>
      </x:c>
      <x:c r="D324" s="2" t="str">
        <x:v>CES6056000001</x:v>
      </x:c>
      <x:c r="E324" s="20" t="n">
        <x:v>9172.6</x:v>
      </x:c>
      <x:c r="F324" s="7" t="b">
        <x:v>0</x:v>
      </x:c>
      <x:c r="G324" s="2" t="str">
        <x:v>2024Q2</x:v>
      </x:c>
      <x:c r="H324" s="2" t="str">
        <x:v>https://api.bls.gov/publicAPI/v2/timeseries/data/</x:v>
      </x:c>
    </x:row>
    <x:row r="325" ht="38" customHeight="1">
      <x:c r="A325" s="28" t="n">
        <x:v>45444</x:v>
      </x:c>
      <x:c r="B325" s="2" t="str">
        <x:v>61</x:v>
      </x:c>
      <x:c r="C325" s="29" t="str">
        <x:v>Private educational services</x:v>
      </x:c>
      <x:c r="D325" s="2" t="str">
        <x:v>CES6561000001</x:v>
      </x:c>
      <x:c r="E325" s="20" t="n">
        <x:v>3979.9</x:v>
      </x:c>
      <x:c r="F325" s="7" t="b">
        <x:v>0</x:v>
      </x:c>
      <x:c r="G325" s="2" t="str">
        <x:v>2024Q2</x:v>
      </x:c>
      <x:c r="H325" s="2" t="str">
        <x:v>https://api.bls.gov/publicAPI/v2/timeseries/data/</x:v>
      </x:c>
    </x:row>
    <x:row r="326" ht="38" customHeight="1">
      <x:c r="A326" s="28" t="n">
        <x:v>45444</x:v>
      </x:c>
      <x:c r="B326" s="2" t="str">
        <x:v>62</x:v>
      </x:c>
      <x:c r="C326" s="29" t="str">
        <x:v>Health care and social assistance</x:v>
      </x:c>
      <x:c r="D326" s="2" t="str">
        <x:v>CES6562000001</x:v>
      </x:c>
      <x:c r="E326" s="20" t="n">
        <x:v>22493.7</x:v>
      </x:c>
      <x:c r="F326" s="7" t="b">
        <x:v>0</x:v>
      </x:c>
      <x:c r="G326" s="2" t="str">
        <x:v>2024Q2</x:v>
      </x:c>
      <x:c r="H326" s="2" t="str">
        <x:v>https://api.bls.gov/publicAPI/v2/timeseries/data/</x:v>
      </x:c>
    </x:row>
    <x:row r="327" ht="38" customHeight="1">
      <x:c r="A327" s="28" t="n">
        <x:v>45444</x:v>
      </x:c>
      <x:c r="B327" s="2" t="str">
        <x:v>71</x:v>
      </x:c>
      <x:c r="C327" s="29" t="str">
        <x:v>Arts, entertainment, and recreation</x:v>
      </x:c>
      <x:c r="D327" s="2" t="str">
        <x:v>CES7071000001</x:v>
      </x:c>
      <x:c r="E327" s="20" t="n">
        <x:v>2617.4</x:v>
      </x:c>
      <x:c r="F327" s="7" t="b">
        <x:v>0</x:v>
      </x:c>
      <x:c r="G327" s="2" t="str">
        <x:v>2024Q2</x:v>
      </x:c>
      <x:c r="H327" s="2" t="str">
        <x:v>https://api.bls.gov/publicAPI/v2/timeseries/data/</x:v>
      </x:c>
    </x:row>
    <x:row r="328" ht="38" customHeight="1">
      <x:c r="A328" s="28" t="n">
        <x:v>45444</x:v>
      </x:c>
      <x:c r="B328" s="2" t="str">
        <x:v>72</x:v>
      </x:c>
      <x:c r="C328" s="29" t="str">
        <x:v>Accommodation and food services</x:v>
      </x:c>
      <x:c r="D328" s="2" t="str">
        <x:v>CES7072000001</x:v>
      </x:c>
      <x:c r="E328" s="20" t="n">
        <x:v>14126.3</x:v>
      </x:c>
      <x:c r="F328" s="7" t="b">
        <x:v>0</x:v>
      </x:c>
      <x:c r="G328" s="2" t="str">
        <x:v>2024Q2</x:v>
      </x:c>
      <x:c r="H328" s="2" t="str">
        <x:v>https://api.bls.gov/publicAPI/v2/timeseries/data/</x:v>
      </x:c>
    </x:row>
    <x:row r="329" ht="38" customHeight="1">
      <x:c r="A329" s="28" t="n">
        <x:v>45444</x:v>
      </x:c>
      <x:c r="B329" s="2" t="str">
        <x:v>81</x:v>
      </x:c>
      <x:c r="C329" s="29" t="str">
        <x:v>Other services, except government</x:v>
      </x:c>
      <x:c r="D329" s="2" t="str">
        <x:v>CES8000000001</x:v>
      </x:c>
      <x:c r="E329" s="20" t="n">
        <x:v>5962</x:v>
      </x:c>
      <x:c r="F329" s="7" t="b">
        <x:v>0</x:v>
      </x:c>
      <x:c r="G329" s="2" t="str">
        <x:v>2024Q2</x:v>
      </x:c>
      <x:c r="H329" s="2" t="str">
        <x:v>https://api.bls.gov/publicAPI/v2/timeseries/data/</x:v>
      </x:c>
    </x:row>
    <x:row r="330" ht="38" customHeight="1">
      <x:c r="A330" s="28" t="n">
        <x:v>45474</x:v>
      </x:c>
      <x:c r="B330" s="2" t="str">
        <x:v>21</x:v>
      </x:c>
      <x:c r="C330" s="29" t="str">
        <x:v>Mining, quarrying, and oil and gas extraction</x:v>
      </x:c>
      <x:c r="D330" s="2" t="str">
        <x:v>CES1021000001</x:v>
      </x:c>
      <x:c r="E330" s="20" t="n">
        <x:v>581.5</x:v>
      </x:c>
      <x:c r="F330" s="7" t="b">
        <x:v>0</x:v>
      </x:c>
      <x:c r="G330" s="2" t="str">
        <x:v>2024Q3</x:v>
      </x:c>
      <x:c r="H330" s="2" t="str">
        <x:v>https://api.bls.gov/publicAPI/v2/timeseries/data/</x:v>
      </x:c>
    </x:row>
    <x:row r="331" ht="38" customHeight="1">
      <x:c r="A331" s="28" t="n">
        <x:v>45474</x:v>
      </x:c>
      <x:c r="B331" s="2" t="str">
        <x:v>22</x:v>
      </x:c>
      <x:c r="C331" s="29" t="str">
        <x:v>Utilities</x:v>
      </x:c>
      <x:c r="D331" s="2" t="str">
        <x:v>CES4422000001</x:v>
      </x:c>
      <x:c r="E331" s="20" t="n">
        <x:v>592.5</x:v>
      </x:c>
      <x:c r="F331" s="7" t="b">
        <x:v>0</x:v>
      </x:c>
      <x:c r="G331" s="2" t="str">
        <x:v>2024Q3</x:v>
      </x:c>
      <x:c r="H331" s="2" t="str">
        <x:v>https://api.bls.gov/publicAPI/v2/timeseries/data/</x:v>
      </x:c>
    </x:row>
    <x:row r="332" ht="38" customHeight="1">
      <x:c r="A332" s="28" t="n">
        <x:v>45474</x:v>
      </x:c>
      <x:c r="B332" s="2" t="str">
        <x:v>23</x:v>
      </x:c>
      <x:c r="C332" s="29" t="str">
        <x:v>Construction</x:v>
      </x:c>
      <x:c r="D332" s="2" t="str">
        <x:v>CES2000000001</x:v>
      </x:c>
      <x:c r="E332" s="20" t="n">
        <x:v>8208</x:v>
      </x:c>
      <x:c r="F332" s="7" t="b">
        <x:v>0</x:v>
      </x:c>
      <x:c r="G332" s="2" t="str">
        <x:v>2024Q3</x:v>
      </x:c>
      <x:c r="H332" s="2" t="str">
        <x:v>https://api.bls.gov/publicAPI/v2/timeseries/data/</x:v>
      </x:c>
    </x:row>
    <x:row r="333" ht="38" customHeight="1">
      <x:c r="A333" s="28" t="n">
        <x:v>45474</x:v>
      </x:c>
      <x:c r="B333" s="2" t="str">
        <x:v>31-33</x:v>
      </x:c>
      <x:c r="C333" s="29" t="str">
        <x:v>Manufacturing</x:v>
      </x:c>
      <x:c r="D333" s="2" t="str">
        <x:v>CES3000000001</x:v>
      </x:c>
      <x:c r="E333" s="20" t="n">
        <x:v>12806</x:v>
      </x:c>
      <x:c r="F333" s="7" t="b">
        <x:v>0</x:v>
      </x:c>
      <x:c r="G333" s="2" t="str">
        <x:v>2024Q3</x:v>
      </x:c>
      <x:c r="H333" s="2" t="str">
        <x:v>https://api.bls.gov/publicAPI/v2/timeseries/data/</x:v>
      </x:c>
    </x:row>
    <x:row r="334" ht="38" customHeight="1">
      <x:c r="A334" s="28" t="n">
        <x:v>45474</x:v>
      </x:c>
      <x:c r="B334" s="2" t="str">
        <x:v>42</x:v>
      </x:c>
      <x:c r="C334" s="29" t="str">
        <x:v>Wholesale trade</x:v>
      </x:c>
      <x:c r="D334" s="2" t="str">
        <x:v>CES4142000001</x:v>
      </x:c>
      <x:c r="E334" s="20" t="n">
        <x:v>6110.4</x:v>
      </x:c>
      <x:c r="F334" s="7" t="b">
        <x:v>0</x:v>
      </x:c>
      <x:c r="G334" s="2" t="str">
        <x:v>2024Q3</x:v>
      </x:c>
      <x:c r="H334" s="2" t="str">
        <x:v>https://api.bls.gov/publicAPI/v2/timeseries/data/</x:v>
      </x:c>
    </x:row>
    <x:row r="335" ht="38" customHeight="1">
      <x:c r="A335" s="28" t="n">
        <x:v>45474</x:v>
      </x:c>
      <x:c r="B335" s="2" t="str">
        <x:v>44-45</x:v>
      </x:c>
      <x:c r="C335" s="29" t="str">
        <x:v>Retail trade</x:v>
      </x:c>
      <x:c r="D335" s="2" t="str">
        <x:v>CES4200000001</x:v>
      </x:c>
      <x:c r="E335" s="20" t="n">
        <x:v>15480.8</x:v>
      </x:c>
      <x:c r="F335" s="7" t="b">
        <x:v>0</x:v>
      </x:c>
      <x:c r="G335" s="2" t="str">
        <x:v>2024Q3</x:v>
      </x:c>
      <x:c r="H335" s="2" t="str">
        <x:v>https://api.bls.gov/publicAPI/v2/timeseries/data/</x:v>
      </x:c>
    </x:row>
    <x:row r="336" ht="38" customHeight="1">
      <x:c r="A336" s="28" t="n">
        <x:v>45474</x:v>
      </x:c>
      <x:c r="B336" s="2" t="str">
        <x:v>48-49</x:v>
      </x:c>
      <x:c r="C336" s="29" t="str">
        <x:v>Transportation and warehousing</x:v>
      </x:c>
      <x:c r="D336" s="2" t="str">
        <x:v>CES4300000001</x:v>
      </x:c>
      <x:c r="E336" s="20" t="n">
        <x:v>6646</x:v>
      </x:c>
      <x:c r="F336" s="7" t="b">
        <x:v>0</x:v>
      </x:c>
      <x:c r="G336" s="2" t="str">
        <x:v>2024Q3</x:v>
      </x:c>
      <x:c r="H336" s="2" t="str">
        <x:v>https://api.bls.gov/publicAPI/v2/timeseries/data/</x:v>
      </x:c>
    </x:row>
    <x:row r="337" ht="38" customHeight="1">
      <x:c r="A337" s="28" t="n">
        <x:v>45474</x:v>
      </x:c>
      <x:c r="B337" s="2" t="str">
        <x:v>51</x:v>
      </x:c>
      <x:c r="C337" s="29" t="str">
        <x:v>Information</x:v>
      </x:c>
      <x:c r="D337" s="2" t="str">
        <x:v>CES5000000001</x:v>
      </x:c>
      <x:c r="E337" s="20" t="n">
        <x:v>2917</x:v>
      </x:c>
      <x:c r="F337" s="7" t="b">
        <x:v>0</x:v>
      </x:c>
      <x:c r="G337" s="2" t="str">
        <x:v>2024Q3</x:v>
      </x:c>
      <x:c r="H337" s="2" t="str">
        <x:v>https://api.bls.gov/publicAPI/v2/timeseries/data/</x:v>
      </x:c>
    </x:row>
    <x:row r="338" ht="38" customHeight="1">
      <x:c r="A338" s="28" t="n">
        <x:v>45474</x:v>
      </x:c>
      <x:c r="B338" s="2" t="str">
        <x:v>52</x:v>
      </x:c>
      <x:c r="C338" s="29" t="str">
        <x:v>Finance and insurance</x:v>
      </x:c>
      <x:c r="D338" s="2" t="str">
        <x:v>CES5552000001</x:v>
      </x:c>
      <x:c r="E338" s="20" t="n">
        <x:v>6705.4</x:v>
      </x:c>
      <x:c r="F338" s="7" t="b">
        <x:v>0</x:v>
      </x:c>
      <x:c r="G338" s="2" t="str">
        <x:v>2024Q3</x:v>
      </x:c>
      <x:c r="H338" s="2" t="str">
        <x:v>https://api.bls.gov/publicAPI/v2/timeseries/data/</x:v>
      </x:c>
    </x:row>
    <x:row r="339" ht="38" customHeight="1">
      <x:c r="A339" s="28" t="n">
        <x:v>45474</x:v>
      </x:c>
      <x:c r="B339" s="2" t="str">
        <x:v>53</x:v>
      </x:c>
      <x:c r="C339" s="29" t="str">
        <x:v>Real estate and rental and leasing</x:v>
      </x:c>
      <x:c r="D339" s="2" t="str">
        <x:v>CES5553000001</x:v>
      </x:c>
      <x:c r="E339" s="20" t="n">
        <x:v>2448.7</x:v>
      </x:c>
      <x:c r="F339" s="7" t="b">
        <x:v>0</x:v>
      </x:c>
      <x:c r="G339" s="2" t="str">
        <x:v>2024Q3</x:v>
      </x:c>
      <x:c r="H339" s="2" t="str">
        <x:v>https://api.bls.gov/publicAPI/v2/timeseries/data/</x:v>
      </x:c>
    </x:row>
    <x:row r="340" ht="38" customHeight="1">
      <x:c r="A340" s="28" t="n">
        <x:v>45474</x:v>
      </x:c>
      <x:c r="B340" s="2" t="str">
        <x:v>54</x:v>
      </x:c>
      <x:c r="C340" s="29" t="str">
        <x:v>Professional, scientific, and technical services</x:v>
      </x:c>
      <x:c r="D340" s="2" t="str">
        <x:v>CES6054000001</x:v>
      </x:c>
      <x:c r="E340" s="20" t="n">
        <x:v>10805.9</x:v>
      </x:c>
      <x:c r="F340" s="7" t="b">
        <x:v>0</x:v>
      </x:c>
      <x:c r="G340" s="2" t="str">
        <x:v>2024Q3</x:v>
      </x:c>
      <x:c r="H340" s="2" t="str">
        <x:v>https://api.bls.gov/publicAPI/v2/timeseries/data/</x:v>
      </x:c>
    </x:row>
    <x:row r="341" ht="38" customHeight="1">
      <x:c r="A341" s="28" t="n">
        <x:v>45474</x:v>
      </x:c>
      <x:c r="B341" s="2" t="str">
        <x:v>55</x:v>
      </x:c>
      <x:c r="C341" s="29" t="str">
        <x:v>Management of companies and enterprises</x:v>
      </x:c>
      <x:c r="D341" s="2" t="str">
        <x:v>CES6055000001</x:v>
      </x:c>
      <x:c r="E341" s="20" t="n">
        <x:v>2616.1</x:v>
      </x:c>
      <x:c r="F341" s="7" t="b">
        <x:v>0</x:v>
      </x:c>
      <x:c r="G341" s="2" t="str">
        <x:v>2024Q3</x:v>
      </x:c>
      <x:c r="H341" s="2" t="str">
        <x:v>https://api.bls.gov/publicAPI/v2/timeseries/data/</x:v>
      </x:c>
    </x:row>
    <x:row r="342" ht="38" customHeight="1">
      <x:c r="A342" s="28" t="n">
        <x:v>45474</x:v>
      </x:c>
      <x:c r="B342" s="2" t="str">
        <x:v>56</x:v>
      </x:c>
      <x:c r="C342" s="29" t="str">
        <x:v>Administrative, support, and waste services</x:v>
      </x:c>
      <x:c r="D342" s="2" t="str">
        <x:v>CES6056000001</x:v>
      </x:c>
      <x:c r="E342" s="20" t="n">
        <x:v>9162.3</x:v>
      </x:c>
      <x:c r="F342" s="7" t="b">
        <x:v>0</x:v>
      </x:c>
      <x:c r="G342" s="2" t="str">
        <x:v>2024Q3</x:v>
      </x:c>
      <x:c r="H342" s="2" t="str">
        <x:v>https://api.bls.gov/publicAPI/v2/timeseries/data/</x:v>
      </x:c>
    </x:row>
    <x:row r="343" ht="38" customHeight="1">
      <x:c r="A343" s="28" t="n">
        <x:v>45474</x:v>
      </x:c>
      <x:c r="B343" s="2" t="str">
        <x:v>61</x:v>
      </x:c>
      <x:c r="C343" s="29" t="str">
        <x:v>Private educational services</x:v>
      </x:c>
      <x:c r="D343" s="2" t="str">
        <x:v>CES6561000001</x:v>
      </x:c>
      <x:c r="E343" s="20" t="n">
        <x:v>3973.1</x:v>
      </x:c>
      <x:c r="F343" s="7" t="b">
        <x:v>0</x:v>
      </x:c>
      <x:c r="G343" s="2" t="str">
        <x:v>2024Q3</x:v>
      </x:c>
      <x:c r="H343" s="2" t="str">
        <x:v>https://api.bls.gov/publicAPI/v2/timeseries/data/</x:v>
      </x:c>
    </x:row>
    <x:row r="344" ht="38" customHeight="1">
      <x:c r="A344" s="28" t="n">
        <x:v>45474</x:v>
      </x:c>
      <x:c r="B344" s="2" t="str">
        <x:v>62</x:v>
      </x:c>
      <x:c r="C344" s="29" t="str">
        <x:v>Health care and social assistance</x:v>
      </x:c>
      <x:c r="D344" s="2" t="str">
        <x:v>CES6562000001</x:v>
      </x:c>
      <x:c r="E344" s="20" t="n">
        <x:v>22541.9</x:v>
      </x:c>
      <x:c r="F344" s="7" t="b">
        <x:v>0</x:v>
      </x:c>
      <x:c r="G344" s="2" t="str">
        <x:v>2024Q3</x:v>
      </x:c>
      <x:c r="H344" s="2" t="str">
        <x:v>https://api.bls.gov/publicAPI/v2/timeseries/data/</x:v>
      </x:c>
    </x:row>
    <x:row r="345" ht="38" customHeight="1">
      <x:c r="A345" s="28" t="n">
        <x:v>45474</x:v>
      </x:c>
      <x:c r="B345" s="2" t="str">
        <x:v>71</x:v>
      </x:c>
      <x:c r="C345" s="29" t="str">
        <x:v>Arts, entertainment, and recreation</x:v>
      </x:c>
      <x:c r="D345" s="2" t="str">
        <x:v>CES7071000001</x:v>
      </x:c>
      <x:c r="E345" s="20" t="n">
        <x:v>2624.1</x:v>
      </x:c>
      <x:c r="F345" s="7" t="b">
        <x:v>0</x:v>
      </x:c>
      <x:c r="G345" s="2" t="str">
        <x:v>2024Q3</x:v>
      </x:c>
      <x:c r="H345" s="2" t="str">
        <x:v>https://api.bls.gov/publicAPI/v2/timeseries/data/</x:v>
      </x:c>
    </x:row>
    <x:row r="346" ht="38" customHeight="1">
      <x:c r="A346" s="28" t="n">
        <x:v>45474</x:v>
      </x:c>
      <x:c r="B346" s="2" t="str">
        <x:v>72</x:v>
      </x:c>
      <x:c r="C346" s="29" t="str">
        <x:v>Accommodation and food services</x:v>
      </x:c>
      <x:c r="D346" s="2" t="str">
        <x:v>CES7072000001</x:v>
      </x:c>
      <x:c r="E346" s="20" t="n">
        <x:v>14127.3</x:v>
      </x:c>
      <x:c r="F346" s="7" t="b">
        <x:v>0</x:v>
      </x:c>
      <x:c r="G346" s="2" t="str">
        <x:v>2024Q3</x:v>
      </x:c>
      <x:c r="H346" s="2" t="str">
        <x:v>https://api.bls.gov/publicAPI/v2/timeseries/data/</x:v>
      </x:c>
    </x:row>
    <x:row r="347" ht="38" customHeight="1">
      <x:c r="A347" s="28" t="n">
        <x:v>45474</x:v>
      </x:c>
      <x:c r="B347" s="2" t="str">
        <x:v>81</x:v>
      </x:c>
      <x:c r="C347" s="29" t="str">
        <x:v>Other services, except government</x:v>
      </x:c>
      <x:c r="D347" s="2" t="str">
        <x:v>CES8000000001</x:v>
      </x:c>
      <x:c r="E347" s="20" t="n">
        <x:v>5961</x:v>
      </x:c>
      <x:c r="F347" s="7" t="b">
        <x:v>0</x:v>
      </x:c>
      <x:c r="G347" s="2" t="str">
        <x:v>2024Q3</x:v>
      </x:c>
      <x:c r="H347" s="2" t="str">
        <x:v>https://api.bls.gov/publicAPI/v2/timeseries/data/</x:v>
      </x:c>
    </x:row>
    <x:row r="348" ht="38" customHeight="1">
      <x:c r="A348" s="28" t="n">
        <x:v>45505</x:v>
      </x:c>
      <x:c r="B348" s="2" t="str">
        <x:v>21</x:v>
      </x:c>
      <x:c r="C348" s="29" t="str">
        <x:v>Mining, quarrying, and oil and gas extraction</x:v>
      </x:c>
      <x:c r="D348" s="2" t="str">
        <x:v>CES1021000001</x:v>
      </x:c>
      <x:c r="E348" s="20" t="n">
        <x:v>580.5</x:v>
      </x:c>
      <x:c r="F348" s="7" t="b">
        <x:v>0</x:v>
      </x:c>
      <x:c r="G348" s="2" t="str">
        <x:v>2024Q3</x:v>
      </x:c>
      <x:c r="H348" s="2" t="str">
        <x:v>https://api.bls.gov/publicAPI/v2/timeseries/data/</x:v>
      </x:c>
    </x:row>
    <x:row r="349" ht="38" customHeight="1">
      <x:c r="A349" s="28" t="n">
        <x:v>45505</x:v>
      </x:c>
      <x:c r="B349" s="2" t="str">
        <x:v>22</x:v>
      </x:c>
      <x:c r="C349" s="29" t="str">
        <x:v>Utilities</x:v>
      </x:c>
      <x:c r="D349" s="2" t="str">
        <x:v>CES4422000001</x:v>
      </x:c>
      <x:c r="E349" s="20" t="n">
        <x:v>593.8</x:v>
      </x:c>
      <x:c r="F349" s="7" t="b">
        <x:v>0</x:v>
      </x:c>
      <x:c r="G349" s="2" t="str">
        <x:v>2024Q3</x:v>
      </x:c>
      <x:c r="H349" s="2" t="str">
        <x:v>https://api.bls.gov/publicAPI/v2/timeseries/data/</x:v>
      </x:c>
    </x:row>
    <x:row r="350" ht="38" customHeight="1">
      <x:c r="A350" s="28" t="n">
        <x:v>45505</x:v>
      </x:c>
      <x:c r="B350" s="2" t="str">
        <x:v>23</x:v>
      </x:c>
      <x:c r="C350" s="29" t="str">
        <x:v>Construction</x:v>
      </x:c>
      <x:c r="D350" s="2" t="str">
        <x:v>CES2000000001</x:v>
      </x:c>
      <x:c r="E350" s="20" t="n">
        <x:v>8236</x:v>
      </x:c>
      <x:c r="F350" s="7" t="b">
        <x:v>0</x:v>
      </x:c>
      <x:c r="G350" s="2" t="str">
        <x:v>2024Q3</x:v>
      </x:c>
      <x:c r="H350" s="2" t="str">
        <x:v>https://api.bls.gov/publicAPI/v2/timeseries/data/</x:v>
      </x:c>
    </x:row>
    <x:row r="351" ht="38" customHeight="1">
      <x:c r="A351" s="28" t="n">
        <x:v>45505</x:v>
      </x:c>
      <x:c r="B351" s="2" t="str">
        <x:v>31-33</x:v>
      </x:c>
      <x:c r="C351" s="29" t="str">
        <x:v>Manufacturing</x:v>
      </x:c>
      <x:c r="D351" s="2" t="str">
        <x:v>CES3000000001</x:v>
      </x:c>
      <x:c r="E351" s="20" t="n">
        <x:v>12772</x:v>
      </x:c>
      <x:c r="F351" s="7" t="b">
        <x:v>0</x:v>
      </x:c>
      <x:c r="G351" s="2" t="str">
        <x:v>2024Q3</x:v>
      </x:c>
      <x:c r="H351" s="2" t="str">
        <x:v>https://api.bls.gov/publicAPI/v2/timeseries/data/</x:v>
      </x:c>
    </x:row>
    <x:row r="352" ht="38" customHeight="1">
      <x:c r="A352" s="28" t="n">
        <x:v>45505</x:v>
      </x:c>
      <x:c r="B352" s="2" t="str">
        <x:v>42</x:v>
      </x:c>
      <x:c r="C352" s="29" t="str">
        <x:v>Wholesale trade</x:v>
      </x:c>
      <x:c r="D352" s="2" t="str">
        <x:v>CES4142000001</x:v>
      </x:c>
      <x:c r="E352" s="20" t="n">
        <x:v>6106.2</x:v>
      </x:c>
      <x:c r="F352" s="7" t="b">
        <x:v>0</x:v>
      </x:c>
      <x:c r="G352" s="2" t="str">
        <x:v>2024Q3</x:v>
      </x:c>
      <x:c r="H352" s="2" t="str">
        <x:v>https://api.bls.gov/publicAPI/v2/timeseries/data/</x:v>
      </x:c>
    </x:row>
    <x:row r="353" ht="38" customHeight="1">
      <x:c r="A353" s="28" t="n">
        <x:v>45505</x:v>
      </x:c>
      <x:c r="B353" s="2" t="str">
        <x:v>44-45</x:v>
      </x:c>
      <x:c r="C353" s="29" t="str">
        <x:v>Retail trade</x:v>
      </x:c>
      <x:c r="D353" s="2" t="str">
        <x:v>CES4200000001</x:v>
      </x:c>
      <x:c r="E353" s="20" t="n">
        <x:v>15458.4</x:v>
      </x:c>
      <x:c r="F353" s="7" t="b">
        <x:v>0</x:v>
      </x:c>
      <x:c r="G353" s="2" t="str">
        <x:v>2024Q3</x:v>
      </x:c>
      <x:c r="H353" s="2" t="str">
        <x:v>https://api.bls.gov/publicAPI/v2/timeseries/data/</x:v>
      </x:c>
    </x:row>
    <x:row r="354" ht="38" customHeight="1">
      <x:c r="A354" s="28" t="n">
        <x:v>45505</x:v>
      </x:c>
      <x:c r="B354" s="2" t="str">
        <x:v>48-49</x:v>
      </x:c>
      <x:c r="C354" s="29" t="str">
        <x:v>Transportation and warehousing</x:v>
      </x:c>
      <x:c r="D354" s="2" t="str">
        <x:v>CES4300000001</x:v>
      </x:c>
      <x:c r="E354" s="20" t="n">
        <x:v>6643.2</x:v>
      </x:c>
      <x:c r="F354" s="7" t="b">
        <x:v>0</x:v>
      </x:c>
      <x:c r="G354" s="2" t="str">
        <x:v>2024Q3</x:v>
      </x:c>
      <x:c r="H354" s="2" t="str">
        <x:v>https://api.bls.gov/publicAPI/v2/timeseries/data/</x:v>
      </x:c>
    </x:row>
    <x:row r="355" ht="38" customHeight="1">
      <x:c r="A355" s="28" t="n">
        <x:v>45505</x:v>
      </x:c>
      <x:c r="B355" s="2" t="str">
        <x:v>51</x:v>
      </x:c>
      <x:c r="C355" s="29" t="str">
        <x:v>Information</x:v>
      </x:c>
      <x:c r="D355" s="2" t="str">
        <x:v>CES5000000001</x:v>
      </x:c>
      <x:c r="E355" s="20" t="n">
        <x:v>2909</x:v>
      </x:c>
      <x:c r="F355" s="7" t="b">
        <x:v>0</x:v>
      </x:c>
      <x:c r="G355" s="2" t="str">
        <x:v>2024Q3</x:v>
      </x:c>
      <x:c r="H355" s="2" t="str">
        <x:v>https://api.bls.gov/publicAPI/v2/timeseries/data/</x:v>
      </x:c>
    </x:row>
    <x:row r="356" ht="38" customHeight="1">
      <x:c r="A356" s="28" t="n">
        <x:v>45505</x:v>
      </x:c>
      <x:c r="B356" s="2" t="str">
        <x:v>52</x:v>
      </x:c>
      <x:c r="C356" s="29" t="str">
        <x:v>Finance and insurance</x:v>
      </x:c>
      <x:c r="D356" s="2" t="str">
        <x:v>CES5552000001</x:v>
      </x:c>
      <x:c r="E356" s="20" t="n">
        <x:v>6709.5</x:v>
      </x:c>
      <x:c r="F356" s="7" t="b">
        <x:v>0</x:v>
      </x:c>
      <x:c r="G356" s="2" t="str">
        <x:v>2024Q3</x:v>
      </x:c>
      <x:c r="H356" s="2" t="str">
        <x:v>https://api.bls.gov/publicAPI/v2/timeseries/data/</x:v>
      </x:c>
    </x:row>
    <x:row r="357" ht="38" customHeight="1">
      <x:c r="A357" s="28" t="n">
        <x:v>45505</x:v>
      </x:c>
      <x:c r="B357" s="2" t="str">
        <x:v>53</x:v>
      </x:c>
      <x:c r="C357" s="29" t="str">
        <x:v>Real estate and rental and leasing</x:v>
      </x:c>
      <x:c r="D357" s="2" t="str">
        <x:v>CES5553000001</x:v>
      </x:c>
      <x:c r="E357" s="20" t="n">
        <x:v>2452.9</x:v>
      </x:c>
      <x:c r="F357" s="7" t="b">
        <x:v>0</x:v>
      </x:c>
      <x:c r="G357" s="2" t="str">
        <x:v>2024Q3</x:v>
      </x:c>
      <x:c r="H357" s="2" t="str">
        <x:v>https://api.bls.gov/publicAPI/v2/timeseries/data/</x:v>
      </x:c>
    </x:row>
    <x:row r="358" ht="38" customHeight="1">
      <x:c r="A358" s="28" t="n">
        <x:v>45505</x:v>
      </x:c>
      <x:c r="B358" s="2" t="str">
        <x:v>54</x:v>
      </x:c>
      <x:c r="C358" s="29" t="str">
        <x:v>Professional, scientific, and technical services</x:v>
      </x:c>
      <x:c r="D358" s="2" t="str">
        <x:v>CES6054000001</x:v>
      </x:c>
      <x:c r="E358" s="20" t="n">
        <x:v>10793.7</x:v>
      </x:c>
      <x:c r="F358" s="7" t="b">
        <x:v>0</x:v>
      </x:c>
      <x:c r="G358" s="2" t="str">
        <x:v>2024Q3</x:v>
      </x:c>
      <x:c r="H358" s="2" t="str">
        <x:v>https://api.bls.gov/publicAPI/v2/timeseries/data/</x:v>
      </x:c>
    </x:row>
    <x:row r="359" ht="38" customHeight="1">
      <x:c r="A359" s="28" t="n">
        <x:v>45505</x:v>
      </x:c>
      <x:c r="B359" s="2" t="str">
        <x:v>55</x:v>
      </x:c>
      <x:c r="C359" s="29" t="str">
        <x:v>Management of companies and enterprises</x:v>
      </x:c>
      <x:c r="D359" s="2" t="str">
        <x:v>CES6055000001</x:v>
      </x:c>
      <x:c r="E359" s="20" t="n">
        <x:v>2613.3</x:v>
      </x:c>
      <x:c r="F359" s="7" t="b">
        <x:v>0</x:v>
      </x:c>
      <x:c r="G359" s="2" t="str">
        <x:v>2024Q3</x:v>
      </x:c>
      <x:c r="H359" s="2" t="str">
        <x:v>https://api.bls.gov/publicAPI/v2/timeseries/data/</x:v>
      </x:c>
    </x:row>
    <x:row r="360" ht="38" customHeight="1">
      <x:c r="A360" s="28" t="n">
        <x:v>45505</x:v>
      </x:c>
      <x:c r="B360" s="2" t="str">
        <x:v>56</x:v>
      </x:c>
      <x:c r="C360" s="29" t="str">
        <x:v>Administrative, support, and waste services</x:v>
      </x:c>
      <x:c r="D360" s="2" t="str">
        <x:v>CES6056000001</x:v>
      </x:c>
      <x:c r="E360" s="20" t="n">
        <x:v>9137.4</x:v>
      </x:c>
      <x:c r="F360" s="7" t="b">
        <x:v>0</x:v>
      </x:c>
      <x:c r="G360" s="2" t="str">
        <x:v>2024Q3</x:v>
      </x:c>
      <x:c r="H360" s="2" t="str">
        <x:v>https://api.bls.gov/publicAPI/v2/timeseries/data/</x:v>
      </x:c>
    </x:row>
    <x:row r="361" ht="38" customHeight="1">
      <x:c r="A361" s="28" t="n">
        <x:v>45505</x:v>
      </x:c>
      <x:c r="B361" s="2" t="str">
        <x:v>61</x:v>
      </x:c>
      <x:c r="C361" s="29" t="str">
        <x:v>Private educational services</x:v>
      </x:c>
      <x:c r="D361" s="2" t="str">
        <x:v>CES6561000001</x:v>
      </x:c>
      <x:c r="E361" s="20" t="n">
        <x:v>3985.9</x:v>
      </x:c>
      <x:c r="F361" s="7" t="b">
        <x:v>0</x:v>
      </x:c>
      <x:c r="G361" s="2" t="str">
        <x:v>2024Q3</x:v>
      </x:c>
      <x:c r="H361" s="2" t="str">
        <x:v>https://api.bls.gov/publicAPI/v2/timeseries/data/</x:v>
      </x:c>
    </x:row>
    <x:row r="362" ht="38" customHeight="1">
      <x:c r="A362" s="28" t="n">
        <x:v>45505</x:v>
      </x:c>
      <x:c r="B362" s="2" t="str">
        <x:v>62</x:v>
      </x:c>
      <x:c r="C362" s="29" t="str">
        <x:v>Health care and social assistance</x:v>
      </x:c>
      <x:c r="D362" s="2" t="str">
        <x:v>CES6562000001</x:v>
      </x:c>
      <x:c r="E362" s="20" t="n">
        <x:v>22586.7</x:v>
      </x:c>
      <x:c r="F362" s="7" t="b">
        <x:v>0</x:v>
      </x:c>
      <x:c r="G362" s="2" t="str">
        <x:v>2024Q3</x:v>
      </x:c>
      <x:c r="H362" s="2" t="str">
        <x:v>https://api.bls.gov/publicAPI/v2/timeseries/data/</x:v>
      </x:c>
    </x:row>
    <x:row r="363" ht="38" customHeight="1">
      <x:c r="A363" s="28" t="n">
        <x:v>45505</x:v>
      </x:c>
      <x:c r="B363" s="2" t="str">
        <x:v>71</x:v>
      </x:c>
      <x:c r="C363" s="29" t="str">
        <x:v>Arts, entertainment, and recreation</x:v>
      </x:c>
      <x:c r="D363" s="2" t="str">
        <x:v>CES7071000001</x:v>
      </x:c>
      <x:c r="E363" s="20" t="n">
        <x:v>2631.4</x:v>
      </x:c>
      <x:c r="F363" s="7" t="b">
        <x:v>0</x:v>
      </x:c>
      <x:c r="G363" s="2" t="str">
        <x:v>2024Q3</x:v>
      </x:c>
      <x:c r="H363" s="2" t="str">
        <x:v>https://api.bls.gov/publicAPI/v2/timeseries/data/</x:v>
      </x:c>
    </x:row>
    <x:row r="364" ht="38" customHeight="1">
      <x:c r="A364" s="28" t="n">
        <x:v>45505</x:v>
      </x:c>
      <x:c r="B364" s="2" t="str">
        <x:v>72</x:v>
      </x:c>
      <x:c r="C364" s="29" t="str">
        <x:v>Accommodation and food services</x:v>
      </x:c>
      <x:c r="D364" s="2" t="str">
        <x:v>CES7072000001</x:v>
      </x:c>
      <x:c r="E364" s="20" t="n">
        <x:v>14114.6</x:v>
      </x:c>
      <x:c r="F364" s="7" t="b">
        <x:v>0</x:v>
      </x:c>
      <x:c r="G364" s="2" t="str">
        <x:v>2024Q3</x:v>
      </x:c>
      <x:c r="H364" s="2" t="str">
        <x:v>https://api.bls.gov/publicAPI/v2/timeseries/data/</x:v>
      </x:c>
    </x:row>
    <x:row r="365" ht="38" customHeight="1">
      <x:c r="A365" s="28" t="n">
        <x:v>45505</x:v>
      </x:c>
      <x:c r="B365" s="2" t="str">
        <x:v>81</x:v>
      </x:c>
      <x:c r="C365" s="29" t="str">
        <x:v>Other services, except government</x:v>
      </x:c>
      <x:c r="D365" s="2" t="str">
        <x:v>CES8000000001</x:v>
      </x:c>
      <x:c r="E365" s="20" t="n">
        <x:v>5957</x:v>
      </x:c>
      <x:c r="F365" s="7" t="b">
        <x:v>0</x:v>
      </x:c>
      <x:c r="G365" s="2" t="str">
        <x:v>2024Q3</x:v>
      </x:c>
      <x:c r="H365" s="2" t="str">
        <x:v>https://api.bls.gov/publicAPI/v2/timeseries/data/</x:v>
      </x:c>
    </x:row>
    <x:row r="366" ht="38" customHeight="1">
      <x:c r="A366" s="28" t="n">
        <x:v>45536</x:v>
      </x:c>
      <x:c r="B366" s="2" t="str">
        <x:v>21</x:v>
      </x:c>
      <x:c r="C366" s="29" t="str">
        <x:v>Mining, quarrying, and oil and gas extraction</x:v>
      </x:c>
      <x:c r="D366" s="2" t="str">
        <x:v>CES1021000001</x:v>
      </x:c>
      <x:c r="E366" s="20" t="n">
        <x:v>581.9</x:v>
      </x:c>
      <x:c r="F366" s="7" t="b">
        <x:v>0</x:v>
      </x:c>
      <x:c r="G366" s="2" t="str">
        <x:v>2024Q3</x:v>
      </x:c>
      <x:c r="H366" s="2" t="str">
        <x:v>https://api.bls.gov/publicAPI/v2/timeseries/data/</x:v>
      </x:c>
    </x:row>
    <x:row r="367" ht="38" customHeight="1">
      <x:c r="A367" s="28" t="n">
        <x:v>45536</x:v>
      </x:c>
      <x:c r="B367" s="2" t="str">
        <x:v>22</x:v>
      </x:c>
      <x:c r="C367" s="29" t="str">
        <x:v>Utilities</x:v>
      </x:c>
      <x:c r="D367" s="2" t="str">
        <x:v>CES4422000001</x:v>
      </x:c>
      <x:c r="E367" s="20" t="n">
        <x:v>597</x:v>
      </x:c>
      <x:c r="F367" s="7" t="b">
        <x:v>0</x:v>
      </x:c>
      <x:c r="G367" s="2" t="str">
        <x:v>2024Q3</x:v>
      </x:c>
      <x:c r="H367" s="2" t="str">
        <x:v>https://api.bls.gov/publicAPI/v2/timeseries/data/</x:v>
      </x:c>
    </x:row>
    <x:row r="368" ht="38" customHeight="1">
      <x:c r="A368" s="28" t="n">
        <x:v>45536</x:v>
      </x:c>
      <x:c r="B368" s="2" t="str">
        <x:v>23</x:v>
      </x:c>
      <x:c r="C368" s="29" t="str">
        <x:v>Construction</x:v>
      </x:c>
      <x:c r="D368" s="2" t="str">
        <x:v>CES2000000001</x:v>
      </x:c>
      <x:c r="E368" s="20" t="n">
        <x:v>8254</x:v>
      </x:c>
      <x:c r="F368" s="7" t="b">
        <x:v>0</x:v>
      </x:c>
      <x:c r="G368" s="2" t="str">
        <x:v>2024Q3</x:v>
      </x:c>
      <x:c r="H368" s="2" t="str">
        <x:v>https://api.bls.gov/publicAPI/v2/timeseries/data/</x:v>
      </x:c>
    </x:row>
    <x:row r="369" ht="38" customHeight="1">
      <x:c r="A369" s="28" t="n">
        <x:v>45536</x:v>
      </x:c>
      <x:c r="B369" s="2" t="str">
        <x:v>31-33</x:v>
      </x:c>
      <x:c r="C369" s="29" t="str">
        <x:v>Manufacturing</x:v>
      </x:c>
      <x:c r="D369" s="2" t="str">
        <x:v>CES3000000001</x:v>
      </x:c>
      <x:c r="E369" s="20" t="n">
        <x:v>12758</x:v>
      </x:c>
      <x:c r="F369" s="7" t="b">
        <x:v>0</x:v>
      </x:c>
      <x:c r="G369" s="2" t="str">
        <x:v>2024Q3</x:v>
      </x:c>
      <x:c r="H369" s="2" t="str">
        <x:v>https://api.bls.gov/publicAPI/v2/timeseries/data/</x:v>
      </x:c>
    </x:row>
    <x:row r="370" ht="38" customHeight="1">
      <x:c r="A370" s="28" t="n">
        <x:v>45536</x:v>
      </x:c>
      <x:c r="B370" s="2" t="str">
        <x:v>42</x:v>
      </x:c>
      <x:c r="C370" s="29" t="str">
        <x:v>Wholesale trade</x:v>
      </x:c>
      <x:c r="D370" s="2" t="str">
        <x:v>CES4142000001</x:v>
      </x:c>
      <x:c r="E370" s="20" t="n">
        <x:v>6099.4</x:v>
      </x:c>
      <x:c r="F370" s="7" t="b">
        <x:v>0</x:v>
      </x:c>
      <x:c r="G370" s="2" t="str">
        <x:v>2024Q3</x:v>
      </x:c>
      <x:c r="H370" s="2" t="str">
        <x:v>https://api.bls.gov/publicAPI/v2/timeseries/data/</x:v>
      </x:c>
    </x:row>
    <x:row r="371" ht="38" customHeight="1">
      <x:c r="A371" s="28" t="n">
        <x:v>45536</x:v>
      </x:c>
      <x:c r="B371" s="2" t="str">
        <x:v>44-45</x:v>
      </x:c>
      <x:c r="C371" s="29" t="str">
        <x:v>Retail trade</x:v>
      </x:c>
      <x:c r="D371" s="2" t="str">
        <x:v>CES4200000001</x:v>
      </x:c>
      <x:c r="E371" s="20" t="n">
        <x:v>15456.7</x:v>
      </x:c>
      <x:c r="F371" s="7" t="b">
        <x:v>0</x:v>
      </x:c>
      <x:c r="G371" s="2" t="str">
        <x:v>2024Q3</x:v>
      </x:c>
      <x:c r="H371" s="2" t="str">
        <x:v>https://api.bls.gov/publicAPI/v2/timeseries/data/</x:v>
      </x:c>
    </x:row>
    <x:row r="372" ht="38" customHeight="1">
      <x:c r="A372" s="28" t="n">
        <x:v>45536</x:v>
      </x:c>
      <x:c r="B372" s="2" t="str">
        <x:v>48-49</x:v>
      </x:c>
      <x:c r="C372" s="29" t="str">
        <x:v>Transportation and warehousing</x:v>
      </x:c>
      <x:c r="D372" s="2" t="str">
        <x:v>CES4300000001</x:v>
      </x:c>
      <x:c r="E372" s="20" t="n">
        <x:v>6659.4</x:v>
      </x:c>
      <x:c r="F372" s="7" t="b">
        <x:v>0</x:v>
      </x:c>
      <x:c r="G372" s="2" t="str">
        <x:v>2024Q3</x:v>
      </x:c>
      <x:c r="H372" s="2" t="str">
        <x:v>https://api.bls.gov/publicAPI/v2/timeseries/data/</x:v>
      </x:c>
    </x:row>
    <x:row r="373" ht="38" customHeight="1">
      <x:c r="A373" s="28" t="n">
        <x:v>45536</x:v>
      </x:c>
      <x:c r="B373" s="2" t="str">
        <x:v>51</x:v>
      </x:c>
      <x:c r="C373" s="29" t="str">
        <x:v>Information</x:v>
      </x:c>
      <x:c r="D373" s="2" t="str">
        <x:v>CES5000000001</x:v>
      </x:c>
      <x:c r="E373" s="20" t="n">
        <x:v>2903</x:v>
      </x:c>
      <x:c r="F373" s="7" t="b">
        <x:v>0</x:v>
      </x:c>
      <x:c r="G373" s="2" t="str">
        <x:v>2024Q3</x:v>
      </x:c>
      <x:c r="H373" s="2" t="str">
        <x:v>https://api.bls.gov/publicAPI/v2/timeseries/data/</x:v>
      </x:c>
    </x:row>
    <x:row r="374" ht="38" customHeight="1">
      <x:c r="A374" s="28" t="n">
        <x:v>45536</x:v>
      </x:c>
      <x:c r="B374" s="2" t="str">
        <x:v>52</x:v>
      </x:c>
      <x:c r="C374" s="29" t="str">
        <x:v>Finance and insurance</x:v>
      </x:c>
      <x:c r="D374" s="2" t="str">
        <x:v>CES5552000001</x:v>
      </x:c>
      <x:c r="E374" s="20" t="n">
        <x:v>6710.3</x:v>
      </x:c>
      <x:c r="F374" s="7" t="b">
        <x:v>0</x:v>
      </x:c>
      <x:c r="G374" s="2" t="str">
        <x:v>2024Q3</x:v>
      </x:c>
      <x:c r="H374" s="2" t="str">
        <x:v>https://api.bls.gov/publicAPI/v2/timeseries/data/</x:v>
      </x:c>
    </x:row>
    <x:row r="375" ht="38" customHeight="1">
      <x:c r="A375" s="28" t="n">
        <x:v>45536</x:v>
      </x:c>
      <x:c r="B375" s="2" t="str">
        <x:v>53</x:v>
      </x:c>
      <x:c r="C375" s="29" t="str">
        <x:v>Real estate and rental and leasing</x:v>
      </x:c>
      <x:c r="D375" s="2" t="str">
        <x:v>CES5553000001</x:v>
      </x:c>
      <x:c r="E375" s="20" t="n">
        <x:v>2452.1</x:v>
      </x:c>
      <x:c r="F375" s="7" t="b">
        <x:v>0</x:v>
      </x:c>
      <x:c r="G375" s="2" t="str">
        <x:v>2024Q3</x:v>
      </x:c>
      <x:c r="H375" s="2" t="str">
        <x:v>https://api.bls.gov/publicAPI/v2/timeseries/data/</x:v>
      </x:c>
    </x:row>
    <x:row r="376" ht="38" customHeight="1">
      <x:c r="A376" s="28" t="n">
        <x:v>45536</x:v>
      </x:c>
      <x:c r="B376" s="2" t="str">
        <x:v>54</x:v>
      </x:c>
      <x:c r="C376" s="29" t="str">
        <x:v>Professional, scientific, and technical services</x:v>
      </x:c>
      <x:c r="D376" s="2" t="str">
        <x:v>CES6054000001</x:v>
      </x:c>
      <x:c r="E376" s="20" t="n">
        <x:v>10795</x:v>
      </x:c>
      <x:c r="F376" s="7" t="b">
        <x:v>0</x:v>
      </x:c>
      <x:c r="G376" s="2" t="str">
        <x:v>2024Q3</x:v>
      </x:c>
      <x:c r="H376" s="2" t="str">
        <x:v>https://api.bls.gov/publicAPI/v2/timeseries/data/</x:v>
      </x:c>
    </x:row>
    <x:row r="377" ht="38" customHeight="1">
      <x:c r="A377" s="28" t="n">
        <x:v>45536</x:v>
      </x:c>
      <x:c r="B377" s="2" t="str">
        <x:v>55</x:v>
      </x:c>
      <x:c r="C377" s="29" t="str">
        <x:v>Management of companies and enterprises</x:v>
      </x:c>
      <x:c r="D377" s="2" t="str">
        <x:v>CES6055000001</x:v>
      </x:c>
      <x:c r="E377" s="20" t="n">
        <x:v>2613.6</x:v>
      </x:c>
      <x:c r="F377" s="7" t="b">
        <x:v>0</x:v>
      </x:c>
      <x:c r="G377" s="2" t="str">
        <x:v>2024Q3</x:v>
      </x:c>
      <x:c r="H377" s="2" t="str">
        <x:v>https://api.bls.gov/publicAPI/v2/timeseries/data/</x:v>
      </x:c>
    </x:row>
    <x:row r="378" ht="38" customHeight="1">
      <x:c r="A378" s="28" t="n">
        <x:v>45536</x:v>
      </x:c>
      <x:c r="B378" s="2" t="str">
        <x:v>56</x:v>
      </x:c>
      <x:c r="C378" s="29" t="str">
        <x:v>Administrative, support, and waste services</x:v>
      </x:c>
      <x:c r="D378" s="2" t="str">
        <x:v>CES6056000001</x:v>
      </x:c>
      <x:c r="E378" s="20" t="n">
        <x:v>9116.3</x:v>
      </x:c>
      <x:c r="F378" s="7" t="b">
        <x:v>0</x:v>
      </x:c>
      <x:c r="G378" s="2" t="str">
        <x:v>2024Q3</x:v>
      </x:c>
      <x:c r="H378" s="2" t="str">
        <x:v>https://api.bls.gov/publicAPI/v2/timeseries/data/</x:v>
      </x:c>
    </x:row>
    <x:row r="379" ht="38" customHeight="1">
      <x:c r="A379" s="28" t="n">
        <x:v>45536</x:v>
      </x:c>
      <x:c r="B379" s="2" t="str">
        <x:v>61</x:v>
      </x:c>
      <x:c r="C379" s="29" t="str">
        <x:v>Private educational services</x:v>
      </x:c>
      <x:c r="D379" s="2" t="str">
        <x:v>CES6561000001</x:v>
      </x:c>
      <x:c r="E379" s="20" t="n">
        <x:v>4017.1</x:v>
      </x:c>
      <x:c r="F379" s="7" t="b">
        <x:v>0</x:v>
      </x:c>
      <x:c r="G379" s="2" t="str">
        <x:v>2024Q3</x:v>
      </x:c>
      <x:c r="H379" s="2" t="str">
        <x:v>https://api.bls.gov/publicAPI/v2/timeseries/data/</x:v>
      </x:c>
    </x:row>
    <x:row r="380" ht="38" customHeight="1">
      <x:c r="A380" s="28" t="n">
        <x:v>45536</x:v>
      </x:c>
      <x:c r="B380" s="2" t="str">
        <x:v>62</x:v>
      </x:c>
      <x:c r="C380" s="29" t="str">
        <x:v>Health care and social assistance</x:v>
      </x:c>
      <x:c r="D380" s="2" t="str">
        <x:v>CES6562000001</x:v>
      </x:c>
      <x:c r="E380" s="20" t="n">
        <x:v>22673.6</x:v>
      </x:c>
      <x:c r="F380" s="7" t="b">
        <x:v>0</x:v>
      </x:c>
      <x:c r="G380" s="2" t="str">
        <x:v>2024Q3</x:v>
      </x:c>
      <x:c r="H380" s="2" t="str">
        <x:v>https://api.bls.gov/publicAPI/v2/timeseries/data/</x:v>
      </x:c>
    </x:row>
    <x:row r="381" ht="38" customHeight="1">
      <x:c r="A381" s="28" t="n">
        <x:v>45536</x:v>
      </x:c>
      <x:c r="B381" s="2" t="str">
        <x:v>71</x:v>
      </x:c>
      <x:c r="C381" s="29" t="str">
        <x:v>Arts, entertainment, and recreation</x:v>
      </x:c>
      <x:c r="D381" s="2" t="str">
        <x:v>CES7071000001</x:v>
      </x:c>
      <x:c r="E381" s="20" t="n">
        <x:v>2619.4</x:v>
      </x:c>
      <x:c r="F381" s="7" t="b">
        <x:v>0</x:v>
      </x:c>
      <x:c r="G381" s="2" t="str">
        <x:v>2024Q3</x:v>
      </x:c>
      <x:c r="H381" s="2" t="str">
        <x:v>https://api.bls.gov/publicAPI/v2/timeseries/data/</x:v>
      </x:c>
    </x:row>
    <x:row r="382" ht="38" customHeight="1">
      <x:c r="A382" s="28" t="n">
        <x:v>45536</x:v>
      </x:c>
      <x:c r="B382" s="2" t="str">
        <x:v>72</x:v>
      </x:c>
      <x:c r="C382" s="29" t="str">
        <x:v>Accommodation and food services</x:v>
      </x:c>
      <x:c r="D382" s="2" t="str">
        <x:v>CES7072000001</x:v>
      </x:c>
      <x:c r="E382" s="20" t="n">
        <x:v>14156.5</x:v>
      </x:c>
      <x:c r="F382" s="7" t="b">
        <x:v>0</x:v>
      </x:c>
      <x:c r="G382" s="2" t="str">
        <x:v>2024Q3</x:v>
      </x:c>
      <x:c r="H382" s="2" t="str">
        <x:v>https://api.bls.gov/publicAPI/v2/timeseries/data/</x:v>
      </x:c>
    </x:row>
    <x:row r="383" ht="38" customHeight="1">
      <x:c r="A383" s="28" t="n">
        <x:v>45536</x:v>
      </x:c>
      <x:c r="B383" s="2" t="str">
        <x:v>81</x:v>
      </x:c>
      <x:c r="C383" s="29" t="str">
        <x:v>Other services, except government</x:v>
      </x:c>
      <x:c r="D383" s="2" t="str">
        <x:v>CES8000000001</x:v>
      </x:c>
      <x:c r="E383" s="20" t="n">
        <x:v>5959</x:v>
      </x:c>
      <x:c r="F383" s="7" t="b">
        <x:v>0</x:v>
      </x:c>
      <x:c r="G383" s="2" t="str">
        <x:v>2024Q3</x:v>
      </x:c>
      <x:c r="H383" s="2" t="str">
        <x:v>https://api.bls.gov/publicAPI/v2/timeseries/data/</x:v>
      </x:c>
    </x:row>
    <x:row r="384" ht="38" customHeight="1">
      <x:c r="A384" s="28" t="n">
        <x:v>45566</x:v>
      </x:c>
      <x:c r="B384" s="2" t="str">
        <x:v>21</x:v>
      </x:c>
      <x:c r="C384" s="29" t="str">
        <x:v>Mining, quarrying, and oil and gas extraction</x:v>
      </x:c>
      <x:c r="D384" s="2" t="str">
        <x:v>CES1021000001</x:v>
      </x:c>
      <x:c r="E384" s="20" t="n">
        <x:v>580.9</x:v>
      </x:c>
      <x:c r="F384" s="7" t="b">
        <x:v>0</x:v>
      </x:c>
      <x:c r="G384" s="2" t="str">
        <x:v>2024Q4</x:v>
      </x:c>
      <x:c r="H384" s="2" t="str">
        <x:v>https://api.bls.gov/publicAPI/v2/timeseries/data/</x:v>
      </x:c>
    </x:row>
    <x:row r="385" ht="38" customHeight="1">
      <x:c r="A385" s="28" t="n">
        <x:v>45566</x:v>
      </x:c>
      <x:c r="B385" s="2" t="str">
        <x:v>22</x:v>
      </x:c>
      <x:c r="C385" s="29" t="str">
        <x:v>Utilities</x:v>
      </x:c>
      <x:c r="D385" s="2" t="str">
        <x:v>CES4422000001</x:v>
      </x:c>
      <x:c r="E385" s="20" t="n">
        <x:v>596.3</x:v>
      </x:c>
      <x:c r="F385" s="7" t="b">
        <x:v>0</x:v>
      </x:c>
      <x:c r="G385" s="2" t="str">
        <x:v>2024Q4</x:v>
      </x:c>
      <x:c r="H385" s="2" t="str">
        <x:v>https://api.bls.gov/publicAPI/v2/timeseries/data/</x:v>
      </x:c>
    </x:row>
    <x:row r="386" ht="38" customHeight="1">
      <x:c r="A386" s="28" t="n">
        <x:v>45566</x:v>
      </x:c>
      <x:c r="B386" s="2" t="str">
        <x:v>23</x:v>
      </x:c>
      <x:c r="C386" s="29" t="str">
        <x:v>Construction</x:v>
      </x:c>
      <x:c r="D386" s="2" t="str">
        <x:v>CES2000000001</x:v>
      </x:c>
      <x:c r="E386" s="20" t="n">
        <x:v>8262</x:v>
      </x:c>
      <x:c r="F386" s="7" t="b">
        <x:v>0</x:v>
      </x:c>
      <x:c r="G386" s="2" t="str">
        <x:v>2024Q4</x:v>
      </x:c>
      <x:c r="H386" s="2" t="str">
        <x:v>https://api.bls.gov/publicAPI/v2/timeseries/data/</x:v>
      </x:c>
    </x:row>
    <x:row r="387" ht="38" customHeight="1">
      <x:c r="A387" s="28" t="n">
        <x:v>45566</x:v>
      </x:c>
      <x:c r="B387" s="2" t="str">
        <x:v>31-33</x:v>
      </x:c>
      <x:c r="C387" s="29" t="str">
        <x:v>Manufacturing</x:v>
      </x:c>
      <x:c r="D387" s="2" t="str">
        <x:v>CES3000000001</x:v>
      </x:c>
      <x:c r="E387" s="20" t="n">
        <x:v>12697</x:v>
      </x:c>
      <x:c r="F387" s="7" t="b">
        <x:v>0</x:v>
      </x:c>
      <x:c r="G387" s="2" t="str">
        <x:v>2024Q4</x:v>
      </x:c>
      <x:c r="H387" s="2" t="str">
        <x:v>https://api.bls.gov/publicAPI/v2/timeseries/data/</x:v>
      </x:c>
    </x:row>
    <x:row r="388" ht="38" customHeight="1">
      <x:c r="A388" s="28" t="n">
        <x:v>45566</x:v>
      </x:c>
      <x:c r="B388" s="2" t="str">
        <x:v>42</x:v>
      </x:c>
      <x:c r="C388" s="29" t="str">
        <x:v>Wholesale trade</x:v>
      </x:c>
      <x:c r="D388" s="2" t="str">
        <x:v>CES4142000001</x:v>
      </x:c>
      <x:c r="E388" s="20" t="n">
        <x:v>6094.8</x:v>
      </x:c>
      <x:c r="F388" s="7" t="b">
        <x:v>0</x:v>
      </x:c>
      <x:c r="G388" s="2" t="str">
        <x:v>2024Q4</x:v>
      </x:c>
      <x:c r="H388" s="2" t="str">
        <x:v>https://api.bls.gov/publicAPI/v2/timeseries/data/</x:v>
      </x:c>
    </x:row>
    <x:row r="389" ht="38" customHeight="1">
      <x:c r="A389" s="28" t="n">
        <x:v>45566</x:v>
      </x:c>
      <x:c r="B389" s="2" t="str">
        <x:v>44-45</x:v>
      </x:c>
      <x:c r="C389" s="29" t="str">
        <x:v>Retail trade</x:v>
      </x:c>
      <x:c r="D389" s="2" t="str">
        <x:v>CES4200000001</x:v>
      </x:c>
      <x:c r="E389" s="20" t="n">
        <x:v>15452.4</x:v>
      </x:c>
      <x:c r="F389" s="7" t="b">
        <x:v>0</x:v>
      </x:c>
      <x:c r="G389" s="2" t="str">
        <x:v>2024Q4</x:v>
      </x:c>
      <x:c r="H389" s="2" t="str">
        <x:v>https://api.bls.gov/publicAPI/v2/timeseries/data/</x:v>
      </x:c>
    </x:row>
    <x:row r="390" ht="38" customHeight="1">
      <x:c r="A390" s="28" t="n">
        <x:v>45566</x:v>
      </x:c>
      <x:c r="B390" s="2" t="str">
        <x:v>48-49</x:v>
      </x:c>
      <x:c r="C390" s="29" t="str">
        <x:v>Transportation and warehousing</x:v>
      </x:c>
      <x:c r="D390" s="2" t="str">
        <x:v>CES4300000001</x:v>
      </x:c>
      <x:c r="E390" s="20" t="n">
        <x:v>6650.2</x:v>
      </x:c>
      <x:c r="F390" s="7" t="b">
        <x:v>0</x:v>
      </x:c>
      <x:c r="G390" s="2" t="str">
        <x:v>2024Q4</x:v>
      </x:c>
      <x:c r="H390" s="2" t="str">
        <x:v>https://api.bls.gov/publicAPI/v2/timeseries/data/</x:v>
      </x:c>
    </x:row>
    <x:row r="391" ht="38" customHeight="1">
      <x:c r="A391" s="28" t="n">
        <x:v>45566</x:v>
      </x:c>
      <x:c r="B391" s="2" t="str">
        <x:v>51</x:v>
      </x:c>
      <x:c r="C391" s="29" t="str">
        <x:v>Information</x:v>
      </x:c>
      <x:c r="D391" s="2" t="str">
        <x:v>CES5000000001</x:v>
      </x:c>
      <x:c r="E391" s="20" t="n">
        <x:v>2887</x:v>
      </x:c>
      <x:c r="F391" s="7" t="b">
        <x:v>0</x:v>
      </x:c>
      <x:c r="G391" s="2" t="str">
        <x:v>2024Q4</x:v>
      </x:c>
      <x:c r="H391" s="2" t="str">
        <x:v>https://api.bls.gov/publicAPI/v2/timeseries/data/</x:v>
      </x:c>
    </x:row>
    <x:row r="392" ht="38" customHeight="1">
      <x:c r="A392" s="28" t="n">
        <x:v>45566</x:v>
      </x:c>
      <x:c r="B392" s="2" t="str">
        <x:v>52</x:v>
      </x:c>
      <x:c r="C392" s="29" t="str">
        <x:v>Finance and insurance</x:v>
      </x:c>
      <x:c r="D392" s="2" t="str">
        <x:v>CES5552000001</x:v>
      </x:c>
      <x:c r="E392" s="20" t="n">
        <x:v>6707.7</x:v>
      </x:c>
      <x:c r="F392" s="7" t="b">
        <x:v>0</x:v>
      </x:c>
      <x:c r="G392" s="2" t="str">
        <x:v>2024Q4</x:v>
      </x:c>
      <x:c r="H392" s="2" t="str">
        <x:v>https://api.bls.gov/publicAPI/v2/timeseries/data/</x:v>
      </x:c>
    </x:row>
    <x:row r="393" ht="38" customHeight="1">
      <x:c r="A393" s="28" t="n">
        <x:v>45566</x:v>
      </x:c>
      <x:c r="B393" s="2" t="str">
        <x:v>53</x:v>
      </x:c>
      <x:c r="C393" s="29" t="str">
        <x:v>Real estate and rental and leasing</x:v>
      </x:c>
      <x:c r="D393" s="2" t="str">
        <x:v>CES5553000001</x:v>
      </x:c>
      <x:c r="E393" s="20" t="n">
        <x:v>2455.9</x:v>
      </x:c>
      <x:c r="F393" s="7" t="b">
        <x:v>0</x:v>
      </x:c>
      <x:c r="G393" s="2" t="str">
        <x:v>2024Q4</x:v>
      </x:c>
      <x:c r="H393" s="2" t="str">
        <x:v>https://api.bls.gov/publicAPI/v2/timeseries/data/</x:v>
      </x:c>
    </x:row>
    <x:row r="394" ht="38" customHeight="1">
      <x:c r="A394" s="28" t="n">
        <x:v>45566</x:v>
      </x:c>
      <x:c r="B394" s="2" t="str">
        <x:v>54</x:v>
      </x:c>
      <x:c r="C394" s="29" t="str">
        <x:v>Professional, scientific, and technical services</x:v>
      </x:c>
      <x:c r="D394" s="2" t="str">
        <x:v>CES6054000001</x:v>
      </x:c>
      <x:c r="E394" s="20" t="n">
        <x:v>10782.6</x:v>
      </x:c>
      <x:c r="F394" s="7" t="b">
        <x:v>0</x:v>
      </x:c>
      <x:c r="G394" s="2" t="str">
        <x:v>2024Q4</x:v>
      </x:c>
      <x:c r="H394" s="2" t="str">
        <x:v>https://api.bls.gov/publicAPI/v2/timeseries/data/</x:v>
      </x:c>
    </x:row>
    <x:row r="395" ht="38" customHeight="1">
      <x:c r="A395" s="28" t="n">
        <x:v>45566</x:v>
      </x:c>
      <x:c r="B395" s="2" t="str">
        <x:v>55</x:v>
      </x:c>
      <x:c r="C395" s="29" t="str">
        <x:v>Management of companies and enterprises</x:v>
      </x:c>
      <x:c r="D395" s="2" t="str">
        <x:v>CES6055000001</x:v>
      </x:c>
      <x:c r="E395" s="20" t="n">
        <x:v>2615.1</x:v>
      </x:c>
      <x:c r="F395" s="7" t="b">
        <x:v>0</x:v>
      </x:c>
      <x:c r="G395" s="2" t="str">
        <x:v>2024Q4</x:v>
      </x:c>
      <x:c r="H395" s="2" t="str">
        <x:v>https://api.bls.gov/publicAPI/v2/timeseries/data/</x:v>
      </x:c>
    </x:row>
    <x:row r="396" ht="38" customHeight="1">
      <x:c r="A396" s="28" t="n">
        <x:v>45566</x:v>
      </x:c>
      <x:c r="B396" s="2" t="str">
        <x:v>56</x:v>
      </x:c>
      <x:c r="C396" s="29" t="str">
        <x:v>Administrative, support, and waste services</x:v>
      </x:c>
      <x:c r="D396" s="2" t="str">
        <x:v>CES6056000001</x:v>
      </x:c>
      <x:c r="E396" s="20" t="n">
        <x:v>9088.1</x:v>
      </x:c>
      <x:c r="F396" s="7" t="b">
        <x:v>0</x:v>
      </x:c>
      <x:c r="G396" s="2" t="str">
        <x:v>2024Q4</x:v>
      </x:c>
      <x:c r="H396" s="2" t="str">
        <x:v>https://api.bls.gov/publicAPI/v2/timeseries/data/</x:v>
      </x:c>
    </x:row>
    <x:row r="397" ht="38" customHeight="1">
      <x:c r="A397" s="28" t="n">
        <x:v>45566</x:v>
      </x:c>
      <x:c r="B397" s="2" t="str">
        <x:v>61</x:v>
      </x:c>
      <x:c r="C397" s="29" t="str">
        <x:v>Private educational services</x:v>
      </x:c>
      <x:c r="D397" s="2" t="str">
        <x:v>CES6561000001</x:v>
      </x:c>
      <x:c r="E397" s="20" t="n">
        <x:v>4031.5</x:v>
      </x:c>
      <x:c r="F397" s="7" t="b">
        <x:v>0</x:v>
      </x:c>
      <x:c r="G397" s="2" t="str">
        <x:v>2024Q4</x:v>
      </x:c>
      <x:c r="H397" s="2" t="str">
        <x:v>https://api.bls.gov/publicAPI/v2/timeseries/data/</x:v>
      </x:c>
    </x:row>
    <x:row r="398" ht="38" customHeight="1">
      <x:c r="A398" s="28" t="n">
        <x:v>45566</x:v>
      </x:c>
      <x:c r="B398" s="2" t="str">
        <x:v>62</x:v>
      </x:c>
      <x:c r="C398" s="29" t="str">
        <x:v>Health care and social assistance</x:v>
      </x:c>
      <x:c r="D398" s="2" t="str">
        <x:v>CES6562000001</x:v>
      </x:c>
      <x:c r="E398" s="20" t="n">
        <x:v>22754.8</x:v>
      </x:c>
      <x:c r="F398" s="7" t="b">
        <x:v>0</x:v>
      </x:c>
      <x:c r="G398" s="2" t="str">
        <x:v>2024Q4</x:v>
      </x:c>
      <x:c r="H398" s="2" t="str">
        <x:v>https://api.bls.gov/publicAPI/v2/timeseries/data/</x:v>
      </x:c>
    </x:row>
    <x:row r="399" ht="38" customHeight="1">
      <x:c r="A399" s="28" t="n">
        <x:v>45566</x:v>
      </x:c>
      <x:c r="B399" s="2" t="str">
        <x:v>71</x:v>
      </x:c>
      <x:c r="C399" s="29" t="str">
        <x:v>Arts, entertainment, and recreation</x:v>
      </x:c>
      <x:c r="D399" s="2" t="str">
        <x:v>CES7071000001</x:v>
      </x:c>
      <x:c r="E399" s="20" t="n">
        <x:v>2630.7</x:v>
      </x:c>
      <x:c r="F399" s="7" t="b">
        <x:v>0</x:v>
      </x:c>
      <x:c r="G399" s="2" t="str">
        <x:v>2024Q4</x:v>
      </x:c>
      <x:c r="H399" s="2" t="str">
        <x:v>https://api.bls.gov/publicAPI/v2/timeseries/data/</x:v>
      </x:c>
    </x:row>
    <x:row r="400" ht="38" customHeight="1">
      <x:c r="A400" s="28" t="n">
        <x:v>45566</x:v>
      </x:c>
      <x:c r="B400" s="2" t="str">
        <x:v>72</x:v>
      </x:c>
      <x:c r="C400" s="29" t="str">
        <x:v>Accommodation and food services</x:v>
      </x:c>
      <x:c r="D400" s="2" t="str">
        <x:v>CES7072000001</x:v>
      </x:c>
      <x:c r="E400" s="20" t="n">
        <x:v>14167.8</x:v>
      </x:c>
      <x:c r="F400" s="7" t="b">
        <x:v>0</x:v>
      </x:c>
      <x:c r="G400" s="2" t="str">
        <x:v>2024Q4</x:v>
      </x:c>
      <x:c r="H400" s="2" t="str">
        <x:v>https://api.bls.gov/publicAPI/v2/timeseries/data/</x:v>
      </x:c>
    </x:row>
    <x:row r="401" ht="38" customHeight="1">
      <x:c r="A401" s="28" t="n">
        <x:v>45566</x:v>
      </x:c>
      <x:c r="B401" s="2" t="str">
        <x:v>81</x:v>
      </x:c>
      <x:c r="C401" s="29" t="str">
        <x:v>Other services, except government</x:v>
      </x:c>
      <x:c r="D401" s="2" t="str">
        <x:v>CES8000000001</x:v>
      </x:c>
      <x:c r="E401" s="20" t="n">
        <x:v>5962</x:v>
      </x:c>
      <x:c r="F401" s="7" t="b">
        <x:v>0</x:v>
      </x:c>
      <x:c r="G401" s="2" t="str">
        <x:v>2024Q4</x:v>
      </x:c>
      <x:c r="H401" s="2" t="str">
        <x:v>https://api.bls.gov/publicAPI/v2/timeseries/data/</x:v>
      </x:c>
    </x:row>
    <x:row r="402" ht="38" customHeight="1">
      <x:c r="A402" s="28" t="n">
        <x:v>45597</x:v>
      </x:c>
      <x:c r="B402" s="2" t="str">
        <x:v>21</x:v>
      </x:c>
      <x:c r="C402" s="29" t="str">
        <x:v>Mining, quarrying, and oil and gas extraction</x:v>
      </x:c>
      <x:c r="D402" s="2" t="str">
        <x:v>CES1021000001</x:v>
      </x:c>
      <x:c r="E402" s="20" t="n">
        <x:v>583.4</x:v>
      </x:c>
      <x:c r="F402" s="7" t="b">
        <x:v>0</x:v>
      </x:c>
      <x:c r="G402" s="2" t="str">
        <x:v>2024Q4</x:v>
      </x:c>
      <x:c r="H402" s="2" t="str">
        <x:v>https://api.bls.gov/publicAPI/v2/timeseries/data/</x:v>
      </x:c>
    </x:row>
    <x:row r="403" ht="38" customHeight="1">
      <x:c r="A403" s="28" t="n">
        <x:v>45597</x:v>
      </x:c>
      <x:c r="B403" s="2" t="str">
        <x:v>22</x:v>
      </x:c>
      <x:c r="C403" s="29" t="str">
        <x:v>Utilities</x:v>
      </x:c>
      <x:c r="D403" s="2" t="str">
        <x:v>CES4422000001</x:v>
      </x:c>
      <x:c r="E403" s="20" t="n">
        <x:v>596.5</x:v>
      </x:c>
      <x:c r="F403" s="7" t="b">
        <x:v>0</x:v>
      </x:c>
      <x:c r="G403" s="2" t="str">
        <x:v>2024Q4</x:v>
      </x:c>
      <x:c r="H403" s="2" t="str">
        <x:v>https://api.bls.gov/publicAPI/v2/timeseries/data/</x:v>
      </x:c>
    </x:row>
    <x:row r="404" ht="38" customHeight="1">
      <x:c r="A404" s="28" t="n">
        <x:v>45597</x:v>
      </x:c>
      <x:c r="B404" s="2" t="str">
        <x:v>23</x:v>
      </x:c>
      <x:c r="C404" s="29" t="str">
        <x:v>Construction</x:v>
      </x:c>
      <x:c r="D404" s="2" t="str">
        <x:v>CES2000000001</x:v>
      </x:c>
      <x:c r="E404" s="20" t="n">
        <x:v>8267</x:v>
      </x:c>
      <x:c r="F404" s="7" t="b">
        <x:v>0</x:v>
      </x:c>
      <x:c r="G404" s="2" t="str">
        <x:v>2024Q4</x:v>
      </x:c>
      <x:c r="H404" s="2" t="str">
        <x:v>https://api.bls.gov/publicAPI/v2/timeseries/data/</x:v>
      </x:c>
    </x:row>
    <x:row r="405" ht="38" customHeight="1">
      <x:c r="A405" s="28" t="n">
        <x:v>45597</x:v>
      </x:c>
      <x:c r="B405" s="2" t="str">
        <x:v>31-33</x:v>
      </x:c>
      <x:c r="C405" s="29" t="str">
        <x:v>Manufacturing</x:v>
      </x:c>
      <x:c r="D405" s="2" t="str">
        <x:v>CES3000000001</x:v>
      </x:c>
      <x:c r="E405" s="20" t="n">
        <x:v>12711</x:v>
      </x:c>
      <x:c r="F405" s="7" t="b">
        <x:v>0</x:v>
      </x:c>
      <x:c r="G405" s="2" t="str">
        <x:v>2024Q4</x:v>
      </x:c>
      <x:c r="H405" s="2" t="str">
        <x:v>https://api.bls.gov/publicAPI/v2/timeseries/data/</x:v>
      </x:c>
    </x:row>
    <x:row r="406" ht="38" customHeight="1">
      <x:c r="A406" s="28" t="n">
        <x:v>45597</x:v>
      </x:c>
      <x:c r="B406" s="2" t="str">
        <x:v>42</x:v>
      </x:c>
      <x:c r="C406" s="29" t="str">
        <x:v>Wholesale trade</x:v>
      </x:c>
      <x:c r="D406" s="2" t="str">
        <x:v>CES4142000001</x:v>
      </x:c>
      <x:c r="E406" s="20" t="n">
        <x:v>6089.5</x:v>
      </x:c>
      <x:c r="F406" s="7" t="b">
        <x:v>0</x:v>
      </x:c>
      <x:c r="G406" s="2" t="str">
        <x:v>2024Q4</x:v>
      </x:c>
      <x:c r="H406" s="2" t="str">
        <x:v>https://api.bls.gov/publicAPI/v2/timeseries/data/</x:v>
      </x:c>
    </x:row>
    <x:row r="407" ht="38" customHeight="1">
      <x:c r="A407" s="28" t="n">
        <x:v>45597</x:v>
      </x:c>
      <x:c r="B407" s="2" t="str">
        <x:v>44-45</x:v>
      </x:c>
      <x:c r="C407" s="29" t="str">
        <x:v>Retail trade</x:v>
      </x:c>
      <x:c r="D407" s="2" t="str">
        <x:v>CES4200000001</x:v>
      </x:c>
      <x:c r="E407" s="20" t="n">
        <x:v>15409.8</x:v>
      </x:c>
      <x:c r="F407" s="7" t="b">
        <x:v>0</x:v>
      </x:c>
      <x:c r="G407" s="2" t="str">
        <x:v>2024Q4</x:v>
      </x:c>
      <x:c r="H407" s="2" t="str">
        <x:v>https://api.bls.gov/publicAPI/v2/timeseries/data/</x:v>
      </x:c>
    </x:row>
    <x:row r="408" ht="38" customHeight="1">
      <x:c r="A408" s="28" t="n">
        <x:v>45597</x:v>
      </x:c>
      <x:c r="B408" s="2" t="str">
        <x:v>48-49</x:v>
      </x:c>
      <x:c r="C408" s="29" t="str">
        <x:v>Transportation and warehousing</x:v>
      </x:c>
      <x:c r="D408" s="2" t="str">
        <x:v>CES4300000001</x:v>
      </x:c>
      <x:c r="E408" s="20" t="n">
        <x:v>6659.6</x:v>
      </x:c>
      <x:c r="F408" s="7" t="b">
        <x:v>0</x:v>
      </x:c>
      <x:c r="G408" s="2" t="str">
        <x:v>2024Q4</x:v>
      </x:c>
      <x:c r="H408" s="2" t="str">
        <x:v>https://api.bls.gov/publicAPI/v2/timeseries/data/</x:v>
      </x:c>
    </x:row>
    <x:row r="409" ht="38" customHeight="1">
      <x:c r="A409" s="28" t="n">
        <x:v>45597</x:v>
      </x:c>
      <x:c r="B409" s="2" t="str">
        <x:v>51</x:v>
      </x:c>
      <x:c r="C409" s="29" t="str">
        <x:v>Information</x:v>
      </x:c>
      <x:c r="D409" s="2" t="str">
        <x:v>CES5000000001</x:v>
      </x:c>
      <x:c r="E409" s="20" t="n">
        <x:v>2885</x:v>
      </x:c>
      <x:c r="F409" s="7" t="b">
        <x:v>0</x:v>
      </x:c>
      <x:c r="G409" s="2" t="str">
        <x:v>2024Q4</x:v>
      </x:c>
      <x:c r="H409" s="2" t="str">
        <x:v>https://api.bls.gov/publicAPI/v2/timeseries/data/</x:v>
      </x:c>
    </x:row>
    <x:row r="410" ht="38" customHeight="1">
      <x:c r="A410" s="28" t="n">
        <x:v>45597</x:v>
      </x:c>
      <x:c r="B410" s="2" t="str">
        <x:v>52</x:v>
      </x:c>
      <x:c r="C410" s="29" t="str">
        <x:v>Finance and insurance</x:v>
      </x:c>
      <x:c r="D410" s="2" t="str">
        <x:v>CES5552000001</x:v>
      </x:c>
      <x:c r="E410" s="20" t="n">
        <x:v>6718.1</x:v>
      </x:c>
      <x:c r="F410" s="7" t="b">
        <x:v>0</x:v>
      </x:c>
      <x:c r="G410" s="2" t="str">
        <x:v>2024Q4</x:v>
      </x:c>
      <x:c r="H410" s="2" t="str">
        <x:v>https://api.bls.gov/publicAPI/v2/timeseries/data/</x:v>
      </x:c>
    </x:row>
    <x:row r="411" ht="38" customHeight="1">
      <x:c r="A411" s="28" t="n">
        <x:v>45597</x:v>
      </x:c>
      <x:c r="B411" s="2" t="str">
        <x:v>53</x:v>
      </x:c>
      <x:c r="C411" s="29" t="str">
        <x:v>Real estate and rental and leasing</x:v>
      </x:c>
      <x:c r="D411" s="2" t="str">
        <x:v>CES5553000001</x:v>
      </x:c>
      <x:c r="E411" s="20" t="n">
        <x:v>2454.5</x:v>
      </x:c>
      <x:c r="F411" s="7" t="b">
        <x:v>0</x:v>
      </x:c>
      <x:c r="G411" s="2" t="str">
        <x:v>2024Q4</x:v>
      </x:c>
      <x:c r="H411" s="2" t="str">
        <x:v>https://api.bls.gov/publicAPI/v2/timeseries/data/</x:v>
      </x:c>
    </x:row>
    <x:row r="412" ht="38" customHeight="1">
      <x:c r="A412" s="28" t="n">
        <x:v>45597</x:v>
      </x:c>
      <x:c r="B412" s="2" t="str">
        <x:v>54</x:v>
      </x:c>
      <x:c r="C412" s="29" t="str">
        <x:v>Professional, scientific, and technical services</x:v>
      </x:c>
      <x:c r="D412" s="2" t="str">
        <x:v>CES6054000001</x:v>
      </x:c>
      <x:c r="E412" s="20" t="n">
        <x:v>10788.3</x:v>
      </x:c>
      <x:c r="F412" s="7" t="b">
        <x:v>0</x:v>
      </x:c>
      <x:c r="G412" s="2" t="str">
        <x:v>2024Q4</x:v>
      </x:c>
      <x:c r="H412" s="2" t="str">
        <x:v>https://api.bls.gov/publicAPI/v2/timeseries/data/</x:v>
      </x:c>
    </x:row>
    <x:row r="413" ht="38" customHeight="1">
      <x:c r="A413" s="28" t="n">
        <x:v>45597</x:v>
      </x:c>
      <x:c r="B413" s="2" t="str">
        <x:v>55</x:v>
      </x:c>
      <x:c r="C413" s="29" t="str">
        <x:v>Management of companies and enterprises</x:v>
      </x:c>
      <x:c r="D413" s="2" t="str">
        <x:v>CES6055000001</x:v>
      </x:c>
      <x:c r="E413" s="20" t="n">
        <x:v>2614.3</x:v>
      </x:c>
      <x:c r="F413" s="7" t="b">
        <x:v>0</x:v>
      </x:c>
      <x:c r="G413" s="2" t="str">
        <x:v>2024Q4</x:v>
      </x:c>
      <x:c r="H413" s="2" t="str">
        <x:v>https://api.bls.gov/publicAPI/v2/timeseries/data/</x:v>
      </x:c>
    </x:row>
    <x:row r="414" ht="38" customHeight="1">
      <x:c r="A414" s="28" t="n">
        <x:v>45597</x:v>
      </x:c>
      <x:c r="B414" s="2" t="str">
        <x:v>56</x:v>
      </x:c>
      <x:c r="C414" s="29" t="str">
        <x:v>Administrative, support, and waste services</x:v>
      </x:c>
      <x:c r="D414" s="2" t="str">
        <x:v>CES6056000001</x:v>
      </x:c>
      <x:c r="E414" s="20" t="n">
        <x:v>9096.2</x:v>
      </x:c>
      <x:c r="F414" s="7" t="b">
        <x:v>0</x:v>
      </x:c>
      <x:c r="G414" s="2" t="str">
        <x:v>2024Q4</x:v>
      </x:c>
      <x:c r="H414" s="2" t="str">
        <x:v>https://api.bls.gov/publicAPI/v2/timeseries/data/</x:v>
      </x:c>
    </x:row>
    <x:row r="415" ht="38" customHeight="1">
      <x:c r="A415" s="28" t="n">
        <x:v>45597</x:v>
      </x:c>
      <x:c r="B415" s="2" t="str">
        <x:v>61</x:v>
      </x:c>
      <x:c r="C415" s="29" t="str">
        <x:v>Private educational services</x:v>
      </x:c>
      <x:c r="D415" s="2" t="str">
        <x:v>CES6561000001</x:v>
      </x:c>
      <x:c r="E415" s="20" t="n">
        <x:v>4038.6</x:v>
      </x:c>
      <x:c r="F415" s="7" t="b">
        <x:v>0</x:v>
      </x:c>
      <x:c r="G415" s="2" t="str">
        <x:v>2024Q4</x:v>
      </x:c>
      <x:c r="H415" s="2" t="str">
        <x:v>https://api.bls.gov/publicAPI/v2/timeseries/data/</x:v>
      </x:c>
    </x:row>
    <x:row r="416" ht="38" customHeight="1">
      <x:c r="A416" s="28" t="n">
        <x:v>45597</x:v>
      </x:c>
      <x:c r="B416" s="2" t="str">
        <x:v>62</x:v>
      </x:c>
      <x:c r="C416" s="29" t="str">
        <x:v>Health care and social assistance</x:v>
      </x:c>
      <x:c r="D416" s="2" t="str">
        <x:v>CES6562000001</x:v>
      </x:c>
      <x:c r="E416" s="20" t="n">
        <x:v>22831.6</x:v>
      </x:c>
      <x:c r="F416" s="7" t="b">
        <x:v>0</x:v>
      </x:c>
      <x:c r="G416" s="2" t="str">
        <x:v>2024Q4</x:v>
      </x:c>
      <x:c r="H416" s="2" t="str">
        <x:v>https://api.bls.gov/publicAPI/v2/timeseries/data/</x:v>
      </x:c>
    </x:row>
    <x:row r="417" ht="38" customHeight="1">
      <x:c r="A417" s="28" t="n">
        <x:v>45597</x:v>
      </x:c>
      <x:c r="B417" s="2" t="str">
        <x:v>71</x:v>
      </x:c>
      <x:c r="C417" s="29" t="str">
        <x:v>Arts, entertainment, and recreation</x:v>
      </x:c>
      <x:c r="D417" s="2" t="str">
        <x:v>CES7071000001</x:v>
      </x:c>
      <x:c r="E417" s="20" t="n">
        <x:v>2647</x:v>
      </x:c>
      <x:c r="F417" s="7" t="b">
        <x:v>0</x:v>
      </x:c>
      <x:c r="G417" s="2" t="str">
        <x:v>2024Q4</x:v>
      </x:c>
      <x:c r="H417" s="2" t="str">
        <x:v>https://api.bls.gov/publicAPI/v2/timeseries/data/</x:v>
      </x:c>
    </x:row>
    <x:row r="418" ht="38" customHeight="1">
      <x:c r="A418" s="28" t="n">
        <x:v>45597</x:v>
      </x:c>
      <x:c r="B418" s="2" t="str">
        <x:v>72</x:v>
      </x:c>
      <x:c r="C418" s="29" t="str">
        <x:v>Accommodation and food services</x:v>
      </x:c>
      <x:c r="D418" s="2" t="str">
        <x:v>CES7072000001</x:v>
      </x:c>
      <x:c r="E418" s="20" t="n">
        <x:v>14176.3</x:v>
      </x:c>
      <x:c r="F418" s="7" t="b">
        <x:v>0</x:v>
      </x:c>
      <x:c r="G418" s="2" t="str">
        <x:v>2024Q4</x:v>
      </x:c>
      <x:c r="H418" s="2" t="str">
        <x:v>https://api.bls.gov/publicAPI/v2/timeseries/data/</x:v>
      </x:c>
    </x:row>
    <x:row r="419" ht="38" customHeight="1">
      <x:c r="A419" s="28" t="n">
        <x:v>45597</x:v>
      </x:c>
      <x:c r="B419" s="2" t="str">
        <x:v>81</x:v>
      </x:c>
      <x:c r="C419" s="29" t="str">
        <x:v>Other services, except government</x:v>
      </x:c>
      <x:c r="D419" s="2" t="str">
        <x:v>CES8000000001</x:v>
      </x:c>
      <x:c r="E419" s="20" t="n">
        <x:v>5968</x:v>
      </x:c>
      <x:c r="F419" s="7" t="b">
        <x:v>0</x:v>
      </x:c>
      <x:c r="G419" s="2" t="str">
        <x:v>2024Q4</x:v>
      </x:c>
      <x:c r="H419" s="2" t="str">
        <x:v>https://api.bls.gov/publicAPI/v2/timeseries/data/</x:v>
      </x:c>
    </x:row>
    <x:row r="420" ht="38" customHeight="1">
      <x:c r="A420" s="28" t="n">
        <x:v>45627</x:v>
      </x:c>
      <x:c r="B420" s="2" t="str">
        <x:v>21</x:v>
      </x:c>
      <x:c r="C420" s="29" t="str">
        <x:v>Mining, quarrying, and oil and gas extraction</x:v>
      </x:c>
      <x:c r="D420" s="2" t="str">
        <x:v>CES1021000001</x:v>
      </x:c>
      <x:c r="E420" s="20" t="n">
        <x:v>581.4</x:v>
      </x:c>
      <x:c r="F420" s="7" t="b">
        <x:v>0</x:v>
      </x:c>
      <x:c r="G420" s="2" t="str">
        <x:v>2024Q4</x:v>
      </x:c>
      <x:c r="H420" s="2" t="str">
        <x:v>https://api.bls.gov/publicAPI/v2/timeseries/data/</x:v>
      </x:c>
    </x:row>
    <x:row r="421" ht="38" customHeight="1">
      <x:c r="A421" s="28" t="n">
        <x:v>45627</x:v>
      </x:c>
      <x:c r="B421" s="2" t="str">
        <x:v>22</x:v>
      </x:c>
      <x:c r="C421" s="29" t="str">
        <x:v>Utilities</x:v>
      </x:c>
      <x:c r="D421" s="2" t="str">
        <x:v>CES4422000001</x:v>
      </x:c>
      <x:c r="E421" s="20" t="n">
        <x:v>595.9</x:v>
      </x:c>
      <x:c r="F421" s="7" t="b">
        <x:v>0</x:v>
      </x:c>
      <x:c r="G421" s="2" t="str">
        <x:v>2024Q4</x:v>
      </x:c>
      <x:c r="H421" s="2" t="str">
        <x:v>https://api.bls.gov/publicAPI/v2/timeseries/data/</x:v>
      </x:c>
    </x:row>
    <x:row r="422" ht="38" customHeight="1">
      <x:c r="A422" s="28" t="n">
        <x:v>45627</x:v>
      </x:c>
      <x:c r="B422" s="2" t="str">
        <x:v>23</x:v>
      </x:c>
      <x:c r="C422" s="29" t="str">
        <x:v>Construction</x:v>
      </x:c>
      <x:c r="D422" s="2" t="str">
        <x:v>CES2000000001</x:v>
      </x:c>
      <x:c r="E422" s="20" t="n">
        <x:v>8276</x:v>
      </x:c>
      <x:c r="F422" s="7" t="b">
        <x:v>0</x:v>
      </x:c>
      <x:c r="G422" s="2" t="str">
        <x:v>2024Q4</x:v>
      </x:c>
      <x:c r="H422" s="2" t="str">
        <x:v>https://api.bls.gov/publicAPI/v2/timeseries/data/</x:v>
      </x:c>
    </x:row>
    <x:row r="423" ht="38" customHeight="1">
      <x:c r="A423" s="28" t="n">
        <x:v>45627</x:v>
      </x:c>
      <x:c r="B423" s="2" t="str">
        <x:v>31-33</x:v>
      </x:c>
      <x:c r="C423" s="29" t="str">
        <x:v>Manufacturing</x:v>
      </x:c>
      <x:c r="D423" s="2" t="str">
        <x:v>CES3000000001</x:v>
      </x:c>
      <x:c r="E423" s="20" t="n">
        <x:v>12693</x:v>
      </x:c>
      <x:c r="F423" s="7" t="b">
        <x:v>0</x:v>
      </x:c>
      <x:c r="G423" s="2" t="str">
        <x:v>2024Q4</x:v>
      </x:c>
      <x:c r="H423" s="2" t="str">
        <x:v>https://api.bls.gov/publicAPI/v2/timeseries/data/</x:v>
      </x:c>
    </x:row>
    <x:row r="424" ht="38" customHeight="1">
      <x:c r="A424" s="28" t="n">
        <x:v>45627</x:v>
      </x:c>
      <x:c r="B424" s="2" t="str">
        <x:v>42</x:v>
      </x:c>
      <x:c r="C424" s="29" t="str">
        <x:v>Wholesale trade</x:v>
      </x:c>
      <x:c r="D424" s="2" t="str">
        <x:v>CES4142000001</x:v>
      </x:c>
      <x:c r="E424" s="20" t="n">
        <x:v>6092.1</x:v>
      </x:c>
      <x:c r="F424" s="7" t="b">
        <x:v>0</x:v>
      </x:c>
      <x:c r="G424" s="2" t="str">
        <x:v>2024Q4</x:v>
      </x:c>
      <x:c r="H424" s="2" t="str">
        <x:v>https://api.bls.gov/publicAPI/v2/timeseries/data/</x:v>
      </x:c>
    </x:row>
    <x:row r="425" ht="38" customHeight="1">
      <x:c r="A425" s="28" t="n">
        <x:v>45627</x:v>
      </x:c>
      <x:c r="B425" s="2" t="str">
        <x:v>44-45</x:v>
      </x:c>
      <x:c r="C425" s="29" t="str">
        <x:v>Retail trade</x:v>
      </x:c>
      <x:c r="D425" s="2" t="str">
        <x:v>CES4200000001</x:v>
      </x:c>
      <x:c r="E425" s="20" t="n">
        <x:v>15460.1</x:v>
      </x:c>
      <x:c r="F425" s="7" t="b">
        <x:v>0</x:v>
      </x:c>
      <x:c r="G425" s="2" t="str">
        <x:v>2024Q4</x:v>
      </x:c>
      <x:c r="H425" s="2" t="str">
        <x:v>https://api.bls.gov/publicAPI/v2/timeseries/data/</x:v>
      </x:c>
    </x:row>
    <x:row r="426" ht="38" customHeight="1">
      <x:c r="A426" s="28" t="n">
        <x:v>45627</x:v>
      </x:c>
      <x:c r="B426" s="2" t="str">
        <x:v>48-49</x:v>
      </x:c>
      <x:c r="C426" s="29" t="str">
        <x:v>Transportation and warehousing</x:v>
      </x:c>
      <x:c r="D426" s="2" t="str">
        <x:v>CES4300000001</x:v>
      </x:c>
      <x:c r="E426" s="20" t="n">
        <x:v>6663.2</x:v>
      </x:c>
      <x:c r="F426" s="7" t="b">
        <x:v>0</x:v>
      </x:c>
      <x:c r="G426" s="2" t="str">
        <x:v>2024Q4</x:v>
      </x:c>
      <x:c r="H426" s="2" t="str">
        <x:v>https://api.bls.gov/publicAPI/v2/timeseries/data/</x:v>
      </x:c>
    </x:row>
    <x:row r="427" ht="38" customHeight="1">
      <x:c r="A427" s="28" t="n">
        <x:v>45627</x:v>
      </x:c>
      <x:c r="B427" s="2" t="str">
        <x:v>51</x:v>
      </x:c>
      <x:c r="C427" s="29" t="str">
        <x:v>Information</x:v>
      </x:c>
      <x:c r="D427" s="2" t="str">
        <x:v>CES5000000001</x:v>
      </x:c>
      <x:c r="E427" s="20" t="n">
        <x:v>2895</x:v>
      </x:c>
      <x:c r="F427" s="7" t="b">
        <x:v>0</x:v>
      </x:c>
      <x:c r="G427" s="2" t="str">
        <x:v>2024Q4</x:v>
      </x:c>
      <x:c r="H427" s="2" t="str">
        <x:v>https://api.bls.gov/publicAPI/v2/timeseries/data/</x:v>
      </x:c>
    </x:row>
    <x:row r="428" ht="38" customHeight="1">
      <x:c r="A428" s="28" t="n">
        <x:v>45627</x:v>
      </x:c>
      <x:c r="B428" s="2" t="str">
        <x:v>52</x:v>
      </x:c>
      <x:c r="C428" s="29" t="str">
        <x:v>Finance and insurance</x:v>
      </x:c>
      <x:c r="D428" s="2" t="str">
        <x:v>CES5552000001</x:v>
      </x:c>
      <x:c r="E428" s="20" t="n">
        <x:v>6723.6</x:v>
      </x:c>
      <x:c r="F428" s="7" t="b">
        <x:v>0</x:v>
      </x:c>
      <x:c r="G428" s="2" t="str">
        <x:v>2024Q4</x:v>
      </x:c>
      <x:c r="H428" s="2" t="str">
        <x:v>https://api.bls.gov/publicAPI/v2/timeseries/data/</x:v>
      </x:c>
    </x:row>
    <x:row r="429" ht="38" customHeight="1">
      <x:c r="A429" s="28" t="n">
        <x:v>45627</x:v>
      </x:c>
      <x:c r="B429" s="2" t="str">
        <x:v>53</x:v>
      </x:c>
      <x:c r="C429" s="29" t="str">
        <x:v>Real estate and rental and leasing</x:v>
      </x:c>
      <x:c r="D429" s="2" t="str">
        <x:v>CES5553000001</x:v>
      </x:c>
      <x:c r="E429" s="20" t="n">
        <x:v>2455.6</x:v>
      </x:c>
      <x:c r="F429" s="7" t="b">
        <x:v>0</x:v>
      </x:c>
      <x:c r="G429" s="2" t="str">
        <x:v>2024Q4</x:v>
      </x:c>
      <x:c r="H429" s="2" t="str">
        <x:v>https://api.bls.gov/publicAPI/v2/timeseries/data/</x:v>
      </x:c>
    </x:row>
    <x:row r="430" ht="38" customHeight="1">
      <x:c r="A430" s="28" t="n">
        <x:v>45627</x:v>
      </x:c>
      <x:c r="B430" s="2" t="str">
        <x:v>54</x:v>
      </x:c>
      <x:c r="C430" s="29" t="str">
        <x:v>Professional, scientific, and technical services</x:v>
      </x:c>
      <x:c r="D430" s="2" t="str">
        <x:v>CES6054000001</x:v>
      </x:c>
      <x:c r="E430" s="20" t="n">
        <x:v>10813.9</x:v>
      </x:c>
      <x:c r="F430" s="7" t="b">
        <x:v>0</x:v>
      </x:c>
      <x:c r="G430" s="2" t="str">
        <x:v>2024Q4</x:v>
      </x:c>
      <x:c r="H430" s="2" t="str">
        <x:v>https://api.bls.gov/publicAPI/v2/timeseries/data/</x:v>
      </x:c>
    </x:row>
    <x:row r="431" ht="38" customHeight="1">
      <x:c r="A431" s="28" t="n">
        <x:v>45627</x:v>
      </x:c>
      <x:c r="B431" s="2" t="str">
        <x:v>55</x:v>
      </x:c>
      <x:c r="C431" s="29" t="str">
        <x:v>Management of companies and enterprises</x:v>
      </x:c>
      <x:c r="D431" s="2" t="str">
        <x:v>CES6055000001</x:v>
      </x:c>
      <x:c r="E431" s="20" t="n">
        <x:v>2619.2</x:v>
      </x:c>
      <x:c r="F431" s="7" t="b">
        <x:v>0</x:v>
      </x:c>
      <x:c r="G431" s="2" t="str">
        <x:v>2024Q4</x:v>
      </x:c>
      <x:c r="H431" s="2" t="str">
        <x:v>https://api.bls.gov/publicAPI/v2/timeseries/data/</x:v>
      </x:c>
    </x:row>
    <x:row r="432" ht="38" customHeight="1">
      <x:c r="A432" s="28" t="n">
        <x:v>45627</x:v>
      </x:c>
      <x:c r="B432" s="2" t="str">
        <x:v>56</x:v>
      </x:c>
      <x:c r="C432" s="29" t="str">
        <x:v>Administrative, support, and waste services</x:v>
      </x:c>
      <x:c r="D432" s="2" t="str">
        <x:v>CES6056000001</x:v>
      </x:c>
      <x:c r="E432" s="20" t="n">
        <x:v>9098.9</x:v>
      </x:c>
      <x:c r="F432" s="7" t="b">
        <x:v>0</x:v>
      </x:c>
      <x:c r="G432" s="2" t="str">
        <x:v>2024Q4</x:v>
      </x:c>
      <x:c r="H432" s="2" t="str">
        <x:v>https://api.bls.gov/publicAPI/v2/timeseries/data/</x:v>
      </x:c>
    </x:row>
    <x:row r="433" ht="38" customHeight="1">
      <x:c r="A433" s="28" t="n">
        <x:v>45627</x:v>
      </x:c>
      <x:c r="B433" s="2" t="str">
        <x:v>61</x:v>
      </x:c>
      <x:c r="C433" s="29" t="str">
        <x:v>Private educational services</x:v>
      </x:c>
      <x:c r="D433" s="2" t="str">
        <x:v>CES6561000001</x:v>
      </x:c>
      <x:c r="E433" s="20" t="n">
        <x:v>4044</x:v>
      </x:c>
      <x:c r="F433" s="7" t="b">
        <x:v>0</x:v>
      </x:c>
      <x:c r="G433" s="2" t="str">
        <x:v>2024Q4</x:v>
      </x:c>
      <x:c r="H433" s="2" t="str">
        <x:v>https://api.bls.gov/publicAPI/v2/timeseries/data/</x:v>
      </x:c>
    </x:row>
    <x:row r="434" ht="38" customHeight="1">
      <x:c r="A434" s="28" t="n">
        <x:v>45627</x:v>
      </x:c>
      <x:c r="B434" s="2" t="str">
        <x:v>62</x:v>
      </x:c>
      <x:c r="C434" s="29" t="str">
        <x:v>Health care and social assistance</x:v>
      </x:c>
      <x:c r="D434" s="2" t="str">
        <x:v>CES6562000001</x:v>
      </x:c>
      <x:c r="E434" s="20" t="n">
        <x:v>22901.4</x:v>
      </x:c>
      <x:c r="F434" s="7" t="b">
        <x:v>0</x:v>
      </x:c>
      <x:c r="G434" s="2" t="str">
        <x:v>2024Q4</x:v>
      </x:c>
      <x:c r="H434" s="2" t="str">
        <x:v>https://api.bls.gov/publicAPI/v2/timeseries/data/</x:v>
      </x:c>
    </x:row>
    <x:row r="435" ht="38" customHeight="1">
      <x:c r="A435" s="28" t="n">
        <x:v>45627</x:v>
      </x:c>
      <x:c r="B435" s="2" t="str">
        <x:v>71</x:v>
      </x:c>
      <x:c r="C435" s="29" t="str">
        <x:v>Arts, entertainment, and recreation</x:v>
      </x:c>
      <x:c r="D435" s="2" t="str">
        <x:v>CES7071000001</x:v>
      </x:c>
      <x:c r="E435" s="20" t="n">
        <x:v>2652.1</x:v>
      </x:c>
      <x:c r="F435" s="7" t="b">
        <x:v>0</x:v>
      </x:c>
      <x:c r="G435" s="2" t="str">
        <x:v>2024Q4</x:v>
      </x:c>
      <x:c r="H435" s="2" t="str">
        <x:v>https://api.bls.gov/publicAPI/v2/timeseries/data/</x:v>
      </x:c>
    </x:row>
    <x:row r="436" ht="38" customHeight="1">
      <x:c r="A436" s="28" t="n">
        <x:v>45627</x:v>
      </x:c>
      <x:c r="B436" s="2" t="str">
        <x:v>72</x:v>
      </x:c>
      <x:c r="C436" s="29" t="str">
        <x:v>Accommodation and food services</x:v>
      </x:c>
      <x:c r="D436" s="2" t="str">
        <x:v>CES7072000001</x:v>
      </x:c>
      <x:c r="E436" s="20" t="n">
        <x:v>14209.6</x:v>
      </x:c>
      <x:c r="F436" s="7" t="b">
        <x:v>0</x:v>
      </x:c>
      <x:c r="G436" s="2" t="str">
        <x:v>2024Q4</x:v>
      </x:c>
      <x:c r="H436" s="2" t="str">
        <x:v>https://api.bls.gov/publicAPI/v2/timeseries/data/</x:v>
      </x:c>
    </x:row>
    <x:row r="437" ht="38" customHeight="1">
      <x:c r="A437" s="28" t="n">
        <x:v>45627</x:v>
      </x:c>
      <x:c r="B437" s="2" t="str">
        <x:v>81</x:v>
      </x:c>
      <x:c r="C437" s="29" t="str">
        <x:v>Other services, except government</x:v>
      </x:c>
      <x:c r="D437" s="2" t="str">
        <x:v>CES8000000001</x:v>
      </x:c>
      <x:c r="E437" s="20" t="n">
        <x:v>5972</x:v>
      </x:c>
      <x:c r="F437" s="7" t="b">
        <x:v>0</x:v>
      </x:c>
      <x:c r="G437" s="2" t="str">
        <x:v>2024Q4</x:v>
      </x:c>
      <x:c r="H437" s="2" t="str">
        <x:v>https://api.bls.gov/publicAPI/v2/timeseries/data/</x:v>
      </x:c>
    </x:row>
    <x:row r="438" ht="38" customHeight="1">
      <x:c r="A438" s="28" t="n">
        <x:v>45658</x:v>
      </x:c>
      <x:c r="B438" s="2" t="str">
        <x:v>21</x:v>
      </x:c>
      <x:c r="C438" s="29" t="str">
        <x:v>Mining, quarrying, and oil and gas extraction</x:v>
      </x:c>
      <x:c r="D438" s="2" t="str">
        <x:v>CES1021000001</x:v>
      </x:c>
      <x:c r="E438" s="20" t="n">
        <x:v>581.4</x:v>
      </x:c>
      <x:c r="F438" s="7" t="b">
        <x:v>0</x:v>
      </x:c>
      <x:c r="G438" s="2" t="str">
        <x:v>2025Q1</x:v>
      </x:c>
      <x:c r="H438" s="2" t="str">
        <x:v>https://api.bls.gov/publicAPI/v2/timeseries/data/</x:v>
      </x:c>
    </x:row>
    <x:row r="439" ht="38" customHeight="1">
      <x:c r="A439" s="28" t="n">
        <x:v>45658</x:v>
      </x:c>
      <x:c r="B439" s="2" t="str">
        <x:v>22</x:v>
      </x:c>
      <x:c r="C439" s="29" t="str">
        <x:v>Utilities</x:v>
      </x:c>
      <x:c r="D439" s="2" t="str">
        <x:v>CES4422000001</x:v>
      </x:c>
      <x:c r="E439" s="20" t="n">
        <x:v>597</x:v>
      </x:c>
      <x:c r="F439" s="7" t="b">
        <x:v>0</x:v>
      </x:c>
      <x:c r="G439" s="2" t="str">
        <x:v>2025Q1</x:v>
      </x:c>
      <x:c r="H439" s="2" t="str">
        <x:v>https://api.bls.gov/publicAPI/v2/timeseries/data/</x:v>
      </x:c>
    </x:row>
    <x:row r="440" ht="38" customHeight="1">
      <x:c r="A440" s="28" t="n">
        <x:v>45658</x:v>
      </x:c>
      <x:c r="B440" s="2" t="str">
        <x:v>23</x:v>
      </x:c>
      <x:c r="C440" s="29" t="str">
        <x:v>Construction</x:v>
      </x:c>
      <x:c r="D440" s="2" t="str">
        <x:v>CES2000000001</x:v>
      </x:c>
      <x:c r="E440" s="20" t="n">
        <x:v>8264</x:v>
      </x:c>
      <x:c r="F440" s="7" t="b">
        <x:v>0</x:v>
      </x:c>
      <x:c r="G440" s="2" t="str">
        <x:v>2025Q1</x:v>
      </x:c>
      <x:c r="H440" s="2" t="str">
        <x:v>https://api.bls.gov/publicAPI/v2/timeseries/data/</x:v>
      </x:c>
    </x:row>
    <x:row r="441" ht="38" customHeight="1">
      <x:c r="A441" s="28" t="n">
        <x:v>45658</x:v>
      </x:c>
      <x:c r="B441" s="2" t="str">
        <x:v>31-33</x:v>
      </x:c>
      <x:c r="C441" s="29" t="str">
        <x:v>Manufacturing</x:v>
      </x:c>
      <x:c r="D441" s="2" t="str">
        <x:v>CES3000000001</x:v>
      </x:c>
      <x:c r="E441" s="20" t="n">
        <x:v>12673</x:v>
      </x:c>
      <x:c r="F441" s="7" t="b">
        <x:v>0</x:v>
      </x:c>
      <x:c r="G441" s="2" t="str">
        <x:v>2025Q1</x:v>
      </x:c>
      <x:c r="H441" s="2" t="str">
        <x:v>https://api.bls.gov/publicAPI/v2/timeseries/data/</x:v>
      </x:c>
    </x:row>
    <x:row r="442" ht="38" customHeight="1">
      <x:c r="A442" s="28" t="n">
        <x:v>45658</x:v>
      </x:c>
      <x:c r="B442" s="2" t="str">
        <x:v>42</x:v>
      </x:c>
      <x:c r="C442" s="29" t="str">
        <x:v>Wholesale trade</x:v>
      </x:c>
      <x:c r="D442" s="2" t="str">
        <x:v>CES4142000001</x:v>
      </x:c>
      <x:c r="E442" s="20" t="n">
        <x:v>6073.3</x:v>
      </x:c>
      <x:c r="F442" s="7" t="b">
        <x:v>0</x:v>
      </x:c>
      <x:c r="G442" s="2" t="str">
        <x:v>2025Q1</x:v>
      </x:c>
      <x:c r="H442" s="2" t="str">
        <x:v>https://api.bls.gov/publicAPI/v2/timeseries/data/</x:v>
      </x:c>
    </x:row>
    <x:row r="443" ht="38" customHeight="1">
      <x:c r="A443" s="28" t="n">
        <x:v>45658</x:v>
      </x:c>
      <x:c r="B443" s="2" t="str">
        <x:v>44-45</x:v>
      </x:c>
      <x:c r="C443" s="29" t="str">
        <x:v>Retail trade</x:v>
      </x:c>
      <x:c r="D443" s="2" t="str">
        <x:v>CES4200000001</x:v>
      </x:c>
      <x:c r="E443" s="20" t="n">
        <x:v>15459.3</x:v>
      </x:c>
      <x:c r="F443" s="7" t="b">
        <x:v>0</x:v>
      </x:c>
      <x:c r="G443" s="2" t="str">
        <x:v>2025Q1</x:v>
      </x:c>
      <x:c r="H443" s="2" t="str">
        <x:v>https://api.bls.gov/publicAPI/v2/timeseries/data/</x:v>
      </x:c>
    </x:row>
    <x:row r="444" ht="38" customHeight="1">
      <x:c r="A444" s="28" t="n">
        <x:v>45658</x:v>
      </x:c>
      <x:c r="B444" s="2" t="str">
        <x:v>48-49</x:v>
      </x:c>
      <x:c r="C444" s="29" t="str">
        <x:v>Transportation and warehousing</x:v>
      </x:c>
      <x:c r="D444" s="2" t="str">
        <x:v>CES4300000001</x:v>
      </x:c>
      <x:c r="E444" s="20" t="n">
        <x:v>6664.9</x:v>
      </x:c>
      <x:c r="F444" s="7" t="b">
        <x:v>0</x:v>
      </x:c>
      <x:c r="G444" s="2" t="str">
        <x:v>2025Q1</x:v>
      </x:c>
      <x:c r="H444" s="2" t="str">
        <x:v>https://api.bls.gov/publicAPI/v2/timeseries/data/</x:v>
      </x:c>
    </x:row>
    <x:row r="445" ht="38" customHeight="1">
      <x:c r="A445" s="28" t="n">
        <x:v>45658</x:v>
      </x:c>
      <x:c r="B445" s="2" t="str">
        <x:v>51</x:v>
      </x:c>
      <x:c r="C445" s="29" t="str">
        <x:v>Information</x:v>
      </x:c>
      <x:c r="D445" s="2" t="str">
        <x:v>CES5000000001</x:v>
      </x:c>
      <x:c r="E445" s="20" t="n">
        <x:v>2877</x:v>
      </x:c>
      <x:c r="F445" s="7" t="b">
        <x:v>0</x:v>
      </x:c>
      <x:c r="G445" s="2" t="str">
        <x:v>2025Q1</x:v>
      </x:c>
      <x:c r="H445" s="2" t="str">
        <x:v>https://api.bls.gov/publicAPI/v2/timeseries/data/</x:v>
      </x:c>
    </x:row>
    <x:row r="446" ht="38" customHeight="1">
      <x:c r="A446" s="28" t="n">
        <x:v>45658</x:v>
      </x:c>
      <x:c r="B446" s="2" t="str">
        <x:v>52</x:v>
      </x:c>
      <x:c r="C446" s="29" t="str">
        <x:v>Finance and insurance</x:v>
      </x:c>
      <x:c r="D446" s="2" t="str">
        <x:v>CES5552000001</x:v>
      </x:c>
      <x:c r="E446" s="20" t="n">
        <x:v>6731.2</x:v>
      </x:c>
      <x:c r="F446" s="7" t="b">
        <x:v>0</x:v>
      </x:c>
      <x:c r="G446" s="2" t="str">
        <x:v>2025Q1</x:v>
      </x:c>
      <x:c r="H446" s="2" t="str">
        <x:v>https://api.bls.gov/publicAPI/v2/timeseries/data/</x:v>
      </x:c>
    </x:row>
    <x:row r="447" ht="38" customHeight="1">
      <x:c r="A447" s="28" t="n">
        <x:v>45658</x:v>
      </x:c>
      <x:c r="B447" s="2" t="str">
        <x:v>53</x:v>
      </x:c>
      <x:c r="C447" s="29" t="str">
        <x:v>Real estate and rental and leasing</x:v>
      </x:c>
      <x:c r="D447" s="2" t="str">
        <x:v>CES5553000001</x:v>
      </x:c>
      <x:c r="E447" s="20" t="n">
        <x:v>2456.2</x:v>
      </x:c>
      <x:c r="F447" s="7" t="b">
        <x:v>0</x:v>
      </x:c>
      <x:c r="G447" s="2" t="str">
        <x:v>2025Q1</x:v>
      </x:c>
      <x:c r="H447" s="2" t="str">
        <x:v>https://api.bls.gov/publicAPI/v2/timeseries/data/</x:v>
      </x:c>
    </x:row>
    <x:row r="448" ht="38" customHeight="1">
      <x:c r="A448" s="28" t="n">
        <x:v>45658</x:v>
      </x:c>
      <x:c r="B448" s="2" t="str">
        <x:v>54</x:v>
      </x:c>
      <x:c r="C448" s="29" t="str">
        <x:v>Professional, scientific, and technical services</x:v>
      </x:c>
      <x:c r="D448" s="2" t="str">
        <x:v>CES6054000001</x:v>
      </x:c>
      <x:c r="E448" s="20" t="n">
        <x:v>10792.7</x:v>
      </x:c>
      <x:c r="F448" s="7" t="b">
        <x:v>0</x:v>
      </x:c>
      <x:c r="G448" s="2" t="str">
        <x:v>2025Q1</x:v>
      </x:c>
      <x:c r="H448" s="2" t="str">
        <x:v>https://api.bls.gov/publicAPI/v2/timeseries/data/</x:v>
      </x:c>
    </x:row>
    <x:row r="449" ht="38" customHeight="1">
      <x:c r="A449" s="28" t="n">
        <x:v>45658</x:v>
      </x:c>
      <x:c r="B449" s="2" t="str">
        <x:v>55</x:v>
      </x:c>
      <x:c r="C449" s="29" t="str">
        <x:v>Management of companies and enterprises</x:v>
      </x:c>
      <x:c r="D449" s="2" t="str">
        <x:v>CES6055000001</x:v>
      </x:c>
      <x:c r="E449" s="20" t="n">
        <x:v>2615.6</x:v>
      </x:c>
      <x:c r="F449" s="7" t="b">
        <x:v>0</x:v>
      </x:c>
      <x:c r="G449" s="2" t="str">
        <x:v>2025Q1</x:v>
      </x:c>
      <x:c r="H449" s="2" t="str">
        <x:v>https://api.bls.gov/publicAPI/v2/timeseries/data/</x:v>
      </x:c>
    </x:row>
    <x:row r="450" ht="38" customHeight="1">
      <x:c r="A450" s="28" t="n">
        <x:v>45658</x:v>
      </x:c>
      <x:c r="B450" s="2" t="str">
        <x:v>56</x:v>
      </x:c>
      <x:c r="C450" s="29" t="str">
        <x:v>Administrative, support, and waste services</x:v>
      </x:c>
      <x:c r="D450" s="2" t="str">
        <x:v>CES6056000001</x:v>
      </x:c>
      <x:c r="E450" s="20" t="n">
        <x:v>9071.3</x:v>
      </x:c>
      <x:c r="F450" s="7" t="b">
        <x:v>0</x:v>
      </x:c>
      <x:c r="G450" s="2" t="str">
        <x:v>2025Q1</x:v>
      </x:c>
      <x:c r="H450" s="2" t="str">
        <x:v>https://api.bls.gov/publicAPI/v2/timeseries/data/</x:v>
      </x:c>
    </x:row>
    <x:row r="451" ht="38" customHeight="1">
      <x:c r="A451" s="28" t="n">
        <x:v>45658</x:v>
      </x:c>
      <x:c r="B451" s="2" t="str">
        <x:v>61</x:v>
      </x:c>
      <x:c r="C451" s="29" t="str">
        <x:v>Private educational services</x:v>
      </x:c>
      <x:c r="D451" s="2" t="str">
        <x:v>CES6561000001</x:v>
      </x:c>
      <x:c r="E451" s="20" t="n">
        <x:v>4045.3</x:v>
      </x:c>
      <x:c r="F451" s="7" t="b">
        <x:v>0</x:v>
      </x:c>
      <x:c r="G451" s="2" t="str">
        <x:v>2025Q1</x:v>
      </x:c>
      <x:c r="H451" s="2" t="str">
        <x:v>https://api.bls.gov/publicAPI/v2/timeseries/data/</x:v>
      </x:c>
    </x:row>
    <x:row r="452" ht="38" customHeight="1">
      <x:c r="A452" s="28" t="n">
        <x:v>45658</x:v>
      </x:c>
      <x:c r="B452" s="2" t="str">
        <x:v>62</x:v>
      </x:c>
      <x:c r="C452" s="29" t="str">
        <x:v>Health care and social assistance</x:v>
      </x:c>
      <x:c r="D452" s="2" t="str">
        <x:v>CES6562000001</x:v>
      </x:c>
      <x:c r="E452" s="20" t="n">
        <x:v>22960.4</x:v>
      </x:c>
      <x:c r="F452" s="7" t="b">
        <x:v>0</x:v>
      </x:c>
      <x:c r="G452" s="2" t="str">
        <x:v>2025Q1</x:v>
      </x:c>
      <x:c r="H452" s="2" t="str">
        <x:v>https://api.bls.gov/publicAPI/v2/timeseries/data/</x:v>
      </x:c>
    </x:row>
    <x:row r="453" ht="38" customHeight="1">
      <x:c r="A453" s="28" t="n">
        <x:v>45658</x:v>
      </x:c>
      <x:c r="B453" s="2" t="str">
        <x:v>71</x:v>
      </x:c>
      <x:c r="C453" s="29" t="str">
        <x:v>Arts, entertainment, and recreation</x:v>
      </x:c>
      <x:c r="D453" s="2" t="str">
        <x:v>CES7071000001</x:v>
      </x:c>
      <x:c r="E453" s="20" t="n">
        <x:v>2652.3</x:v>
      </x:c>
      <x:c r="F453" s="7" t="b">
        <x:v>0</x:v>
      </x:c>
      <x:c r="G453" s="2" t="str">
        <x:v>2025Q1</x:v>
      </x:c>
      <x:c r="H453" s="2" t="str">
        <x:v>https://api.bls.gov/publicAPI/v2/timeseries/data/</x:v>
      </x:c>
    </x:row>
    <x:row r="454" ht="38" customHeight="1">
      <x:c r="A454" s="28" t="n">
        <x:v>45658</x:v>
      </x:c>
      <x:c r="B454" s="2" t="str">
        <x:v>72</x:v>
      </x:c>
      <x:c r="C454" s="29" t="str">
        <x:v>Accommodation and food services</x:v>
      </x:c>
      <x:c r="D454" s="2" t="str">
        <x:v>CES7072000001</x:v>
      </x:c>
      <x:c r="E454" s="20" t="n">
        <x:v>14180.1</x:v>
      </x:c>
      <x:c r="F454" s="7" t="b">
        <x:v>0</x:v>
      </x:c>
      <x:c r="G454" s="2" t="str">
        <x:v>2025Q1</x:v>
      </x:c>
      <x:c r="H454" s="2" t="str">
        <x:v>https://api.bls.gov/publicAPI/v2/timeseries/data/</x:v>
      </x:c>
    </x:row>
    <x:row r="455" ht="38" customHeight="1">
      <x:c r="A455" s="28" t="n">
        <x:v>45658</x:v>
      </x:c>
      <x:c r="B455" s="2" t="str">
        <x:v>81</x:v>
      </x:c>
      <x:c r="C455" s="29" t="str">
        <x:v>Other services, except government</x:v>
      </x:c>
      <x:c r="D455" s="2" t="str">
        <x:v>CES8000000001</x:v>
      </x:c>
      <x:c r="E455" s="20" t="n">
        <x:v>5975</x:v>
      </x:c>
      <x:c r="F455" s="7" t="b">
        <x:v>0</x:v>
      </x:c>
      <x:c r="G455" s="2" t="str">
        <x:v>2025Q1</x:v>
      </x:c>
      <x:c r="H455" s="2" t="str">
        <x:v>https://api.bls.gov/publicAPI/v2/timeseries/data/</x:v>
      </x:c>
    </x:row>
    <x:row r="456" ht="38" customHeight="1">
      <x:c r="A456" s="28" t="n">
        <x:v>45689</x:v>
      </x:c>
      <x:c r="B456" s="2" t="str">
        <x:v>21</x:v>
      </x:c>
      <x:c r="C456" s="29" t="str">
        <x:v>Mining, quarrying, and oil and gas extraction</x:v>
      </x:c>
      <x:c r="D456" s="2" t="str">
        <x:v>CES1021000001</x:v>
      </x:c>
      <x:c r="E456" s="20" t="n">
        <x:v>580.6</x:v>
      </x:c>
      <x:c r="F456" s="7" t="b">
        <x:v>0</x:v>
      </x:c>
      <x:c r="G456" s="2" t="str">
        <x:v>2025Q1</x:v>
      </x:c>
      <x:c r="H456" s="2" t="str">
        <x:v>https://api.bls.gov/publicAPI/v2/timeseries/data/</x:v>
      </x:c>
    </x:row>
    <x:row r="457" ht="38" customHeight="1">
      <x:c r="A457" s="28" t="n">
        <x:v>45689</x:v>
      </x:c>
      <x:c r="B457" s="2" t="str">
        <x:v>22</x:v>
      </x:c>
      <x:c r="C457" s="29" t="str">
        <x:v>Utilities</x:v>
      </x:c>
      <x:c r="D457" s="2" t="str">
        <x:v>CES4422000001</x:v>
      </x:c>
      <x:c r="E457" s="20" t="n">
        <x:v>598.8</x:v>
      </x:c>
      <x:c r="F457" s="7" t="b">
        <x:v>0</x:v>
      </x:c>
      <x:c r="G457" s="2" t="str">
        <x:v>2025Q1</x:v>
      </x:c>
      <x:c r="H457" s="2" t="str">
        <x:v>https://api.bls.gov/publicAPI/v2/timeseries/data/</x:v>
      </x:c>
    </x:row>
    <x:row r="458" ht="38" customHeight="1">
      <x:c r="A458" s="28" t="n">
        <x:v>45689</x:v>
      </x:c>
      <x:c r="B458" s="2" t="str">
        <x:v>23</x:v>
      </x:c>
      <x:c r="C458" s="29" t="str">
        <x:v>Construction</x:v>
      </x:c>
      <x:c r="D458" s="2" t="str">
        <x:v>CES2000000001</x:v>
      </x:c>
      <x:c r="E458" s="20" t="n">
        <x:v>8267</x:v>
      </x:c>
      <x:c r="F458" s="7" t="b">
        <x:v>0</x:v>
      </x:c>
      <x:c r="G458" s="2" t="str">
        <x:v>2025Q1</x:v>
      </x:c>
      <x:c r="H458" s="2" t="str">
        <x:v>https://api.bls.gov/publicAPI/v2/timeseries/data/</x:v>
      </x:c>
    </x:row>
    <x:row r="459" ht="38" customHeight="1">
      <x:c r="A459" s="28" t="n">
        <x:v>45689</x:v>
      </x:c>
      <x:c r="B459" s="2" t="str">
        <x:v>31-33</x:v>
      </x:c>
      <x:c r="C459" s="29" t="str">
        <x:v>Manufacturing</x:v>
      </x:c>
      <x:c r="D459" s="2" t="str">
        <x:v>CES3000000001</x:v>
      </x:c>
      <x:c r="E459" s="20" t="n">
        <x:v>12671</x:v>
      </x:c>
      <x:c r="F459" s="7" t="b">
        <x:v>0</x:v>
      </x:c>
      <x:c r="G459" s="2" t="str">
        <x:v>2025Q1</x:v>
      </x:c>
      <x:c r="H459" s="2" t="str">
        <x:v>https://api.bls.gov/publicAPI/v2/timeseries/data/</x:v>
      </x:c>
    </x:row>
    <x:row r="460" ht="38" customHeight="1">
      <x:c r="A460" s="28" t="n">
        <x:v>45689</x:v>
      </x:c>
      <x:c r="B460" s="2" t="str">
        <x:v>42</x:v>
      </x:c>
      <x:c r="C460" s="29" t="str">
        <x:v>Wholesale trade</x:v>
      </x:c>
      <x:c r="D460" s="2" t="str">
        <x:v>CES4142000001</x:v>
      </x:c>
      <x:c r="E460" s="20" t="n">
        <x:v>6075.9</x:v>
      </x:c>
      <x:c r="F460" s="7" t="b">
        <x:v>0</x:v>
      </x:c>
      <x:c r="G460" s="2" t="str">
        <x:v>2025Q1</x:v>
      </x:c>
      <x:c r="H460" s="2" t="str">
        <x:v>https://api.bls.gov/publicAPI/v2/timeseries/data/</x:v>
      </x:c>
    </x:row>
    <x:row r="461" ht="38" customHeight="1">
      <x:c r="A461" s="28" t="n">
        <x:v>45689</x:v>
      </x:c>
      <x:c r="B461" s="2" t="str">
        <x:v>44-45</x:v>
      </x:c>
      <x:c r="C461" s="29" t="str">
        <x:v>Retail trade</x:v>
      </x:c>
      <x:c r="D461" s="2" t="str">
        <x:v>CES4200000001</x:v>
      </x:c>
      <x:c r="E461" s="20" t="n">
        <x:v>15441.8</x:v>
      </x:c>
      <x:c r="F461" s="7" t="b">
        <x:v>0</x:v>
      </x:c>
      <x:c r="G461" s="2" t="str">
        <x:v>2025Q1</x:v>
      </x:c>
      <x:c r="H461" s="2" t="str">
        <x:v>https://api.bls.gov/publicAPI/v2/timeseries/data/</x:v>
      </x:c>
    </x:row>
    <x:row r="462" ht="38" customHeight="1">
      <x:c r="A462" s="28" t="n">
        <x:v>45689</x:v>
      </x:c>
      <x:c r="B462" s="2" t="str">
        <x:v>48-49</x:v>
      </x:c>
      <x:c r="C462" s="29" t="str">
        <x:v>Transportation and warehousing</x:v>
      </x:c>
      <x:c r="D462" s="2" t="str">
        <x:v>CES4300000001</x:v>
      </x:c>
      <x:c r="E462" s="20" t="n">
        <x:v>6689.1</x:v>
      </x:c>
      <x:c r="F462" s="7" t="b">
        <x:v>0</x:v>
      </x:c>
      <x:c r="G462" s="2" t="str">
        <x:v>2025Q1</x:v>
      </x:c>
      <x:c r="H462" s="2" t="str">
        <x:v>https://api.bls.gov/publicAPI/v2/timeseries/data/</x:v>
      </x:c>
    </x:row>
    <x:row r="463" ht="38" customHeight="1">
      <x:c r="A463" s="28" t="n">
        <x:v>45689</x:v>
      </x:c>
      <x:c r="B463" s="2" t="str">
        <x:v>51</x:v>
      </x:c>
      <x:c r="C463" s="29" t="str">
        <x:v>Information</x:v>
      </x:c>
      <x:c r="D463" s="2" t="str">
        <x:v>CES5000000001</x:v>
      </x:c>
      <x:c r="E463" s="20" t="n">
        <x:v>2876</x:v>
      </x:c>
      <x:c r="F463" s="7" t="b">
        <x:v>0</x:v>
      </x:c>
      <x:c r="G463" s="2" t="str">
        <x:v>2025Q1</x:v>
      </x:c>
      <x:c r="H463" s="2" t="str">
        <x:v>https://api.bls.gov/publicAPI/v2/timeseries/data/</x:v>
      </x:c>
    </x:row>
    <x:row r="464" ht="38" customHeight="1">
      <x:c r="A464" s="28" t="n">
        <x:v>45689</x:v>
      </x:c>
      <x:c r="B464" s="2" t="str">
        <x:v>52</x:v>
      </x:c>
      <x:c r="C464" s="29" t="str">
        <x:v>Finance and insurance</x:v>
      </x:c>
      <x:c r="D464" s="2" t="str">
        <x:v>CES5552000001</x:v>
      </x:c>
      <x:c r="E464" s="20" t="n">
        <x:v>6740.5</x:v>
      </x:c>
      <x:c r="F464" s="7" t="b">
        <x:v>0</x:v>
      </x:c>
      <x:c r="G464" s="2" t="str">
        <x:v>2025Q1</x:v>
      </x:c>
      <x:c r="H464" s="2" t="str">
        <x:v>https://api.bls.gov/publicAPI/v2/timeseries/data/</x:v>
      </x:c>
    </x:row>
    <x:row r="465" ht="38" customHeight="1">
      <x:c r="A465" s="28" t="n">
        <x:v>45689</x:v>
      </x:c>
      <x:c r="B465" s="2" t="str">
        <x:v>53</x:v>
      </x:c>
      <x:c r="C465" s="29" t="str">
        <x:v>Real estate and rental and leasing</x:v>
      </x:c>
      <x:c r="D465" s="2" t="str">
        <x:v>CES5553000001</x:v>
      </x:c>
      <x:c r="E465" s="20" t="n">
        <x:v>2458.7</x:v>
      </x:c>
      <x:c r="F465" s="7" t="b">
        <x:v>0</x:v>
      </x:c>
      <x:c r="G465" s="2" t="str">
        <x:v>2025Q1</x:v>
      </x:c>
      <x:c r="H465" s="2" t="str">
        <x:v>https://api.bls.gov/publicAPI/v2/timeseries/data/</x:v>
      </x:c>
    </x:row>
    <x:row r="466" ht="38" customHeight="1">
      <x:c r="A466" s="28" t="n">
        <x:v>45689</x:v>
      </x:c>
      <x:c r="B466" s="2" t="str">
        <x:v>54</x:v>
      </x:c>
      <x:c r="C466" s="29" t="str">
        <x:v>Professional, scientific, and technical services</x:v>
      </x:c>
      <x:c r="D466" s="2" t="str">
        <x:v>CES6054000001</x:v>
      </x:c>
      <x:c r="E466" s="20" t="n">
        <x:v>10779.9</x:v>
      </x:c>
      <x:c r="F466" s="7" t="b">
        <x:v>0</x:v>
      </x:c>
      <x:c r="G466" s="2" t="str">
        <x:v>2025Q1</x:v>
      </x:c>
      <x:c r="H466" s="2" t="str">
        <x:v>https://api.bls.gov/publicAPI/v2/timeseries/data/</x:v>
      </x:c>
    </x:row>
    <x:row r="467" ht="38" customHeight="1">
      <x:c r="A467" s="28" t="n">
        <x:v>45689</x:v>
      </x:c>
      <x:c r="B467" s="2" t="str">
        <x:v>55</x:v>
      </x:c>
      <x:c r="C467" s="29" t="str">
        <x:v>Management of companies and enterprises</x:v>
      </x:c>
      <x:c r="D467" s="2" t="str">
        <x:v>CES6055000001</x:v>
      </x:c>
      <x:c r="E467" s="20" t="n">
        <x:v>2614.9</x:v>
      </x:c>
      <x:c r="F467" s="7" t="b">
        <x:v>0</x:v>
      </x:c>
      <x:c r="G467" s="2" t="str">
        <x:v>2025Q1</x:v>
      </x:c>
      <x:c r="H467" s="2" t="str">
        <x:v>https://api.bls.gov/publicAPI/v2/timeseries/data/</x:v>
      </x:c>
    </x:row>
    <x:row r="468" ht="38" customHeight="1">
      <x:c r="A468" s="28" t="n">
        <x:v>45689</x:v>
      </x:c>
      <x:c r="B468" s="2" t="str">
        <x:v>56</x:v>
      </x:c>
      <x:c r="C468" s="29" t="str">
        <x:v>Administrative, support, and waste services</x:v>
      </x:c>
      <x:c r="D468" s="2" t="str">
        <x:v>CES6056000001</x:v>
      </x:c>
      <x:c r="E468" s="20" t="n">
        <x:v>9077.7</x:v>
      </x:c>
      <x:c r="F468" s="7" t="b">
        <x:v>0</x:v>
      </x:c>
      <x:c r="G468" s="2" t="str">
        <x:v>2025Q1</x:v>
      </x:c>
      <x:c r="H468" s="2" t="str">
        <x:v>https://api.bls.gov/publicAPI/v2/timeseries/data/</x:v>
      </x:c>
    </x:row>
    <x:row r="469" ht="38" customHeight="1">
      <x:c r="A469" s="28" t="n">
        <x:v>45689</x:v>
      </x:c>
      <x:c r="B469" s="2" t="str">
        <x:v>61</x:v>
      </x:c>
      <x:c r="C469" s="29" t="str">
        <x:v>Private educational services</x:v>
      </x:c>
      <x:c r="D469" s="2" t="str">
        <x:v>CES6561000001</x:v>
      </x:c>
      <x:c r="E469" s="20" t="n">
        <x:v>4055.5</x:v>
      </x:c>
      <x:c r="F469" s="7" t="b">
        <x:v>0</x:v>
      </x:c>
      <x:c r="G469" s="2" t="str">
        <x:v>2025Q1</x:v>
      </x:c>
      <x:c r="H469" s="2" t="str">
        <x:v>https://api.bls.gov/publicAPI/v2/timeseries/data/</x:v>
      </x:c>
    </x:row>
    <x:row r="470" ht="38" customHeight="1">
      <x:c r="A470" s="28" t="n">
        <x:v>45689</x:v>
      </x:c>
      <x:c r="B470" s="2" t="str">
        <x:v>62</x:v>
      </x:c>
      <x:c r="C470" s="29" t="str">
        <x:v>Health care and social assistance</x:v>
      </x:c>
      <x:c r="D470" s="2" t="str">
        <x:v>CES6562000001</x:v>
      </x:c>
      <x:c r="E470" s="20" t="n">
        <x:v>23008.3</x:v>
      </x:c>
      <x:c r="F470" s="7" t="b">
        <x:v>0</x:v>
      </x:c>
      <x:c r="G470" s="2" t="str">
        <x:v>2025Q1</x:v>
      </x:c>
      <x:c r="H470" s="2" t="str">
        <x:v>https://api.bls.gov/publicAPI/v2/timeseries/data/</x:v>
      </x:c>
    </x:row>
    <x:row r="471" ht="38" customHeight="1">
      <x:c r="A471" s="28" t="n">
        <x:v>45689</x:v>
      </x:c>
      <x:c r="B471" s="2" t="str">
        <x:v>71</x:v>
      </x:c>
      <x:c r="C471" s="29" t="str">
        <x:v>Arts, entertainment, and recreation</x:v>
      </x:c>
      <x:c r="D471" s="2" t="str">
        <x:v>CES7071000001</x:v>
      </x:c>
      <x:c r="E471" s="20" t="n">
        <x:v>2659.8</x:v>
      </x:c>
      <x:c r="F471" s="7" t="b">
        <x:v>0</x:v>
      </x:c>
      <x:c r="G471" s="2" t="str">
        <x:v>2025Q1</x:v>
      </x:c>
      <x:c r="H471" s="2" t="str">
        <x:v>https://api.bls.gov/publicAPI/v2/timeseries/data/</x:v>
      </x:c>
    </x:row>
    <x:row r="472" ht="38" customHeight="1">
      <x:c r="A472" s="28" t="n">
        <x:v>45689</x:v>
      </x:c>
      <x:c r="B472" s="2" t="str">
        <x:v>72</x:v>
      </x:c>
      <x:c r="C472" s="29" t="str">
        <x:v>Accommodation and food services</x:v>
      </x:c>
      <x:c r="D472" s="2" t="str">
        <x:v>CES7072000001</x:v>
      </x:c>
      <x:c r="E472" s="20" t="n">
        <x:v>14136.3</x:v>
      </x:c>
      <x:c r="F472" s="7" t="b">
        <x:v>0</x:v>
      </x:c>
      <x:c r="G472" s="2" t="str">
        <x:v>2025Q1</x:v>
      </x:c>
      <x:c r="H472" s="2" t="str">
        <x:v>https://api.bls.gov/publicAPI/v2/timeseries/data/</x:v>
      </x:c>
    </x:row>
    <x:row r="473" ht="38" customHeight="1">
      <x:c r="A473" s="28" t="n">
        <x:v>45689</x:v>
      </x:c>
      <x:c r="B473" s="2" t="str">
        <x:v>81</x:v>
      </x:c>
      <x:c r="C473" s="29" t="str">
        <x:v>Other services, except government</x:v>
      </x:c>
      <x:c r="D473" s="2" t="str">
        <x:v>CES8000000001</x:v>
      </x:c>
      <x:c r="E473" s="20" t="n">
        <x:v>5977</x:v>
      </x:c>
      <x:c r="F473" s="7" t="b">
        <x:v>0</x:v>
      </x:c>
      <x:c r="G473" s="2" t="str">
        <x:v>2025Q1</x:v>
      </x:c>
      <x:c r="H473" s="2" t="str">
        <x:v>https://api.bls.gov/publicAPI/v2/timeseries/data/</x:v>
      </x:c>
    </x:row>
    <x:row r="474" ht="38" customHeight="1">
      <x:c r="A474" s="28" t="n">
        <x:v>45717</x:v>
      </x:c>
      <x:c r="B474" s="2" t="str">
        <x:v>21</x:v>
      </x:c>
      <x:c r="C474" s="29" t="str">
        <x:v>Mining, quarrying, and oil and gas extraction</x:v>
      </x:c>
      <x:c r="D474" s="2" t="str">
        <x:v>CES1021000001</x:v>
      </x:c>
      <x:c r="E474" s="20" t="n">
        <x:v>578.5</x:v>
      </x:c>
      <x:c r="F474" s="7" t="b">
        <x:v>0</x:v>
      </x:c>
      <x:c r="G474" s="2" t="str">
        <x:v>2025Q1</x:v>
      </x:c>
      <x:c r="H474" s="2" t="str">
        <x:v>https://api.bls.gov/publicAPI/v2/timeseries/data/</x:v>
      </x:c>
    </x:row>
    <x:row r="475" ht="38" customHeight="1">
      <x:c r="A475" s="28" t="n">
        <x:v>45717</x:v>
      </x:c>
      <x:c r="B475" s="2" t="str">
        <x:v>22</x:v>
      </x:c>
      <x:c r="C475" s="29" t="str">
        <x:v>Utilities</x:v>
      </x:c>
      <x:c r="D475" s="2" t="str">
        <x:v>CES4422000001</x:v>
      </x:c>
      <x:c r="E475" s="20" t="n">
        <x:v>600.4</x:v>
      </x:c>
      <x:c r="F475" s="7" t="b">
        <x:v>0</x:v>
      </x:c>
      <x:c r="G475" s="2" t="str">
        <x:v>2025Q1</x:v>
      </x:c>
      <x:c r="H475" s="2" t="str">
        <x:v>https://api.bls.gov/publicAPI/v2/timeseries/data/</x:v>
      </x:c>
    </x:row>
    <x:row r="476" ht="38" customHeight="1">
      <x:c r="A476" s="28" t="n">
        <x:v>45717</x:v>
      </x:c>
      <x:c r="B476" s="2" t="str">
        <x:v>23</x:v>
      </x:c>
      <x:c r="C476" s="29" t="str">
        <x:v>Construction</x:v>
      </x:c>
      <x:c r="D476" s="2" t="str">
        <x:v>CES2000000001</x:v>
      </x:c>
      <x:c r="E476" s="20" t="n">
        <x:v>8273</x:v>
      </x:c>
      <x:c r="F476" s="7" t="b">
        <x:v>0</x:v>
      </x:c>
      <x:c r="G476" s="2" t="str">
        <x:v>2025Q1</x:v>
      </x:c>
      <x:c r="H476" s="2" t="str">
        <x:v>https://api.bls.gov/publicAPI/v2/timeseries/data/</x:v>
      </x:c>
    </x:row>
    <x:row r="477" ht="38" customHeight="1">
      <x:c r="A477" s="28" t="n">
        <x:v>45717</x:v>
      </x:c>
      <x:c r="B477" s="2" t="str">
        <x:v>31-33</x:v>
      </x:c>
      <x:c r="C477" s="29" t="str">
        <x:v>Manufacturing</x:v>
      </x:c>
      <x:c r="D477" s="2" t="str">
        <x:v>CES3000000001</x:v>
      </x:c>
      <x:c r="E477" s="20" t="n">
        <x:v>12666</x:v>
      </x:c>
      <x:c r="F477" s="7" t="b">
        <x:v>0</x:v>
      </x:c>
      <x:c r="G477" s="2" t="str">
        <x:v>2025Q1</x:v>
      </x:c>
      <x:c r="H477" s="2" t="str">
        <x:v>https://api.bls.gov/publicAPI/v2/timeseries/data/</x:v>
      </x:c>
    </x:row>
    <x:row r="478" ht="38" customHeight="1">
      <x:c r="A478" s="28" t="n">
        <x:v>45717</x:v>
      </x:c>
      <x:c r="B478" s="2" t="str">
        <x:v>42</x:v>
      </x:c>
      <x:c r="C478" s="29" t="str">
        <x:v>Wholesale trade</x:v>
      </x:c>
      <x:c r="D478" s="2" t="str">
        <x:v>CES4142000001</x:v>
      </x:c>
      <x:c r="E478" s="20" t="n">
        <x:v>6062</x:v>
      </x:c>
      <x:c r="F478" s="7" t="b">
        <x:v>0</x:v>
      </x:c>
      <x:c r="G478" s="2" t="str">
        <x:v>2025Q1</x:v>
      </x:c>
      <x:c r="H478" s="2" t="str">
        <x:v>https://api.bls.gov/publicAPI/v2/timeseries/data/</x:v>
      </x:c>
    </x:row>
    <x:row r="479" ht="38" customHeight="1">
      <x:c r="A479" s="28" t="n">
        <x:v>45717</x:v>
      </x:c>
      <x:c r="B479" s="2" t="str">
        <x:v>44-45</x:v>
      </x:c>
      <x:c r="C479" s="29" t="str">
        <x:v>Retail trade</x:v>
      </x:c>
      <x:c r="D479" s="2" t="str">
        <x:v>CES4200000001</x:v>
      </x:c>
      <x:c r="E479" s="20" t="n">
        <x:v>15457.5</x:v>
      </x:c>
      <x:c r="F479" s="7" t="b">
        <x:v>0</x:v>
      </x:c>
      <x:c r="G479" s="2" t="str">
        <x:v>2025Q1</x:v>
      </x:c>
      <x:c r="H479" s="2" t="str">
        <x:v>https://api.bls.gov/publicAPI/v2/timeseries/data/</x:v>
      </x:c>
    </x:row>
    <x:row r="480" ht="38" customHeight="1">
      <x:c r="A480" s="28" t="n">
        <x:v>45717</x:v>
      </x:c>
      <x:c r="B480" s="2" t="str">
        <x:v>48-49</x:v>
      </x:c>
      <x:c r="C480" s="29" t="str">
        <x:v>Transportation and warehousing</x:v>
      </x:c>
      <x:c r="D480" s="2" t="str">
        <x:v>CES4300000001</x:v>
      </x:c>
      <x:c r="E480" s="20" t="n">
        <x:v>6671.7</x:v>
      </x:c>
      <x:c r="F480" s="7" t="b">
        <x:v>0</x:v>
      </x:c>
      <x:c r="G480" s="2" t="str">
        <x:v>2025Q1</x:v>
      </x:c>
      <x:c r="H480" s="2" t="str">
        <x:v>https://api.bls.gov/publicAPI/v2/timeseries/data/</x:v>
      </x:c>
    </x:row>
    <x:row r="481" ht="38" customHeight="1">
      <x:c r="A481" s="28" t="n">
        <x:v>45717</x:v>
      </x:c>
      <x:c r="B481" s="2" t="str">
        <x:v>51</x:v>
      </x:c>
      <x:c r="C481" s="29" t="str">
        <x:v>Information</x:v>
      </x:c>
      <x:c r="D481" s="2" t="str">
        <x:v>CES5000000001</x:v>
      </x:c>
      <x:c r="E481" s="20" t="n">
        <x:v>2867</x:v>
      </x:c>
      <x:c r="F481" s="7" t="b">
        <x:v>0</x:v>
      </x:c>
      <x:c r="G481" s="2" t="str">
        <x:v>2025Q1</x:v>
      </x:c>
      <x:c r="H481" s="2" t="str">
        <x:v>https://api.bls.gov/publicAPI/v2/timeseries/data/</x:v>
      </x:c>
    </x:row>
    <x:row r="482" ht="38" customHeight="1">
      <x:c r="A482" s="28" t="n">
        <x:v>45717</x:v>
      </x:c>
      <x:c r="B482" s="2" t="str">
        <x:v>52</x:v>
      </x:c>
      <x:c r="C482" s="29" t="str">
        <x:v>Finance and insurance</x:v>
      </x:c>
      <x:c r="D482" s="2" t="str">
        <x:v>CES5552000001</x:v>
      </x:c>
      <x:c r="E482" s="20" t="n">
        <x:v>6743</x:v>
      </x:c>
      <x:c r="F482" s="7" t="b">
        <x:v>0</x:v>
      </x:c>
      <x:c r="G482" s="2" t="str">
        <x:v>2025Q1</x:v>
      </x:c>
      <x:c r="H482" s="2" t="str">
        <x:v>https://api.bls.gov/publicAPI/v2/timeseries/data/</x:v>
      </x:c>
    </x:row>
    <x:row r="483" ht="38" customHeight="1">
      <x:c r="A483" s="28" t="n">
        <x:v>45717</x:v>
      </x:c>
      <x:c r="B483" s="2" t="str">
        <x:v>53</x:v>
      </x:c>
      <x:c r="C483" s="29" t="str">
        <x:v>Real estate and rental and leasing</x:v>
      </x:c>
      <x:c r="D483" s="2" t="str">
        <x:v>CES5553000001</x:v>
      </x:c>
      <x:c r="E483" s="20" t="n">
        <x:v>2458.1</x:v>
      </x:c>
      <x:c r="F483" s="7" t="b">
        <x:v>0</x:v>
      </x:c>
      <x:c r="G483" s="2" t="str">
        <x:v>2025Q1</x:v>
      </x:c>
      <x:c r="H483" s="2" t="str">
        <x:v>https://api.bls.gov/publicAPI/v2/timeseries/data/</x:v>
      </x:c>
    </x:row>
    <x:row r="484" ht="38" customHeight="1">
      <x:c r="A484" s="28" t="n">
        <x:v>45717</x:v>
      </x:c>
      <x:c r="B484" s="2" t="str">
        <x:v>54</x:v>
      </x:c>
      <x:c r="C484" s="29" t="str">
        <x:v>Professional, scientific, and technical services</x:v>
      </x:c>
      <x:c r="D484" s="2" t="str">
        <x:v>CES6054000001</x:v>
      </x:c>
      <x:c r="E484" s="20" t="n">
        <x:v>10782.3</x:v>
      </x:c>
      <x:c r="F484" s="7" t="b">
        <x:v>0</x:v>
      </x:c>
      <x:c r="G484" s="2" t="str">
        <x:v>2025Q1</x:v>
      </x:c>
      <x:c r="H484" s="2" t="str">
        <x:v>https://api.bls.gov/publicAPI/v2/timeseries/data/</x:v>
      </x:c>
    </x:row>
    <x:row r="485" ht="38" customHeight="1">
      <x:c r="A485" s="28" t="n">
        <x:v>45717</x:v>
      </x:c>
      <x:c r="B485" s="2" t="str">
        <x:v>55</x:v>
      </x:c>
      <x:c r="C485" s="29" t="str">
        <x:v>Management of companies and enterprises</x:v>
      </x:c>
      <x:c r="D485" s="2" t="str">
        <x:v>CES6055000001</x:v>
      </x:c>
      <x:c r="E485" s="20" t="n">
        <x:v>2620.9</x:v>
      </x:c>
      <x:c r="F485" s="7" t="b">
        <x:v>0</x:v>
      </x:c>
      <x:c r="G485" s="2" t="str">
        <x:v>2025Q1</x:v>
      </x:c>
      <x:c r="H485" s="2" t="str">
        <x:v>https://api.bls.gov/publicAPI/v2/timeseries/data/</x:v>
      </x:c>
    </x:row>
    <x:row r="486" ht="38" customHeight="1">
      <x:c r="A486" s="28" t="n">
        <x:v>45717</x:v>
      </x:c>
      <x:c r="B486" s="2" t="str">
        <x:v>56</x:v>
      </x:c>
      <x:c r="C486" s="29" t="str">
        <x:v>Administrative, support, and waste services</x:v>
      </x:c>
      <x:c r="D486" s="2" t="str">
        <x:v>CES6056000001</x:v>
      </x:c>
      <x:c r="E486" s="20" t="n">
        <x:v>9054</x:v>
      </x:c>
      <x:c r="F486" s="7" t="b">
        <x:v>0</x:v>
      </x:c>
      <x:c r="G486" s="2" t="str">
        <x:v>2025Q1</x:v>
      </x:c>
      <x:c r="H486" s="2" t="str">
        <x:v>https://api.bls.gov/publicAPI/v2/timeseries/data/</x:v>
      </x:c>
    </x:row>
    <x:row r="487" ht="38" customHeight="1">
      <x:c r="A487" s="28" t="n">
        <x:v>45717</x:v>
      </x:c>
      <x:c r="B487" s="2" t="str">
        <x:v>61</x:v>
      </x:c>
      <x:c r="C487" s="29" t="str">
        <x:v>Private educational services</x:v>
      </x:c>
      <x:c r="D487" s="2" t="str">
        <x:v>CES6561000001</x:v>
      </x:c>
      <x:c r="E487" s="20" t="n">
        <x:v>4055.5</x:v>
      </x:c>
      <x:c r="F487" s="7" t="b">
        <x:v>0</x:v>
      </x:c>
      <x:c r="G487" s="2" t="str">
        <x:v>2025Q1</x:v>
      </x:c>
      <x:c r="H487" s="2" t="str">
        <x:v>https://api.bls.gov/publicAPI/v2/timeseries/data/</x:v>
      </x:c>
    </x:row>
    <x:row r="488" ht="38" customHeight="1">
      <x:c r="A488" s="28" t="n">
        <x:v>45717</x:v>
      </x:c>
      <x:c r="B488" s="2" t="str">
        <x:v>62</x:v>
      </x:c>
      <x:c r="C488" s="29" t="str">
        <x:v>Health care and social assistance</x:v>
      </x:c>
      <x:c r="D488" s="2" t="str">
        <x:v>CES6562000001</x:v>
      </x:c>
      <x:c r="E488" s="20" t="n">
        <x:v>23076</x:v>
      </x:c>
      <x:c r="F488" s="7" t="b">
        <x:v>0</x:v>
      </x:c>
      <x:c r="G488" s="2" t="str">
        <x:v>2025Q1</x:v>
      </x:c>
      <x:c r="H488" s="2" t="str">
        <x:v>https://api.bls.gov/publicAPI/v2/timeseries/data/</x:v>
      </x:c>
    </x:row>
    <x:row r="489" ht="38" customHeight="1">
      <x:c r="A489" s="28" t="n">
        <x:v>45717</x:v>
      </x:c>
      <x:c r="B489" s="2" t="str">
        <x:v>71</x:v>
      </x:c>
      <x:c r="C489" s="29" t="str">
        <x:v>Arts, entertainment, and recreation</x:v>
      </x:c>
      <x:c r="D489" s="2" t="str">
        <x:v>CES7071000001</x:v>
      </x:c>
      <x:c r="E489" s="20" t="n">
        <x:v>2669.9</x:v>
      </x:c>
      <x:c r="F489" s="7" t="b">
        <x:v>0</x:v>
      </x:c>
      <x:c r="G489" s="2" t="str">
        <x:v>2025Q1</x:v>
      </x:c>
      <x:c r="H489" s="2" t="str">
        <x:v>https://api.bls.gov/publicAPI/v2/timeseries/data/</x:v>
      </x:c>
    </x:row>
    <x:row r="490" ht="38" customHeight="1">
      <x:c r="A490" s="28" t="n">
        <x:v>45717</x:v>
      </x:c>
      <x:c r="B490" s="2" t="str">
        <x:v>72</x:v>
      </x:c>
      <x:c r="C490" s="29" t="str">
        <x:v>Accommodation and food services</x:v>
      </x:c>
      <x:c r="D490" s="2" t="str">
        <x:v>CES7072000001</x:v>
      </x:c>
      <x:c r="E490" s="20" t="n">
        <x:v>14153.1</x:v>
      </x:c>
      <x:c r="F490" s="7" t="b">
        <x:v>0</x:v>
      </x:c>
      <x:c r="G490" s="2" t="str">
        <x:v>2025Q1</x:v>
      </x:c>
      <x:c r="H490" s="2" t="str">
        <x:v>https://api.bls.gov/publicAPI/v2/timeseries/data/</x:v>
      </x:c>
    </x:row>
    <x:row r="491" ht="38" customHeight="1">
      <x:c r="A491" s="28" t="n">
        <x:v>45717</x:v>
      </x:c>
      <x:c r="B491" s="2" t="str">
        <x:v>81</x:v>
      </x:c>
      <x:c r="C491" s="29" t="str">
        <x:v>Other services, except government</x:v>
      </x:c>
      <x:c r="D491" s="2" t="str">
        <x:v>CES8000000001</x:v>
      </x:c>
      <x:c r="E491" s="20" t="n">
        <x:v>5987</x:v>
      </x:c>
      <x:c r="F491" s="7" t="b">
        <x:v>0</x:v>
      </x:c>
      <x:c r="G491" s="2" t="str">
        <x:v>2025Q1</x:v>
      </x:c>
      <x:c r="H491" s="2" t="str">
        <x:v>https://api.bls.gov/publicAPI/v2/timeseries/data/</x:v>
      </x:c>
    </x:row>
    <x:row r="492" ht="38" customHeight="1">
      <x:c r="A492" s="28" t="n">
        <x:v>45748</x:v>
      </x:c>
      <x:c r="B492" s="2" t="str">
        <x:v>21</x:v>
      </x:c>
      <x:c r="C492" s="29" t="str">
        <x:v>Mining, quarrying, and oil and gas extraction</x:v>
      </x:c>
      <x:c r="D492" s="2" t="str">
        <x:v>CES1021000001</x:v>
      </x:c>
      <x:c r="E492" s="20" t="n">
        <x:v>579.8</x:v>
      </x:c>
      <x:c r="F492" s="7" t="b">
        <x:v>0</x:v>
      </x:c>
      <x:c r="G492" s="2" t="str">
        <x:v>2025Q2</x:v>
      </x:c>
      <x:c r="H492" s="2" t="str">
        <x:v>https://api.bls.gov/publicAPI/v2/timeseries/data/</x:v>
      </x:c>
    </x:row>
    <x:row r="493" ht="38" customHeight="1">
      <x:c r="A493" s="28" t="n">
        <x:v>45748</x:v>
      </x:c>
      <x:c r="B493" s="2" t="str">
        <x:v>22</x:v>
      </x:c>
      <x:c r="C493" s="29" t="str">
        <x:v>Utilities</x:v>
      </x:c>
      <x:c r="D493" s="2" t="str">
        <x:v>CES4422000001</x:v>
      </x:c>
      <x:c r="E493" s="20" t="n">
        <x:v>599.1</x:v>
      </x:c>
      <x:c r="F493" s="7" t="b">
        <x:v>0</x:v>
      </x:c>
      <x:c r="G493" s="2" t="str">
        <x:v>2025Q2</x:v>
      </x:c>
      <x:c r="H493" s="2" t="str">
        <x:v>https://api.bls.gov/publicAPI/v2/timeseries/data/</x:v>
      </x:c>
    </x:row>
    <x:row r="494" ht="38" customHeight="1">
      <x:c r="A494" s="28" t="n">
        <x:v>45748</x:v>
      </x:c>
      <x:c r="B494" s="2" t="str">
        <x:v>23</x:v>
      </x:c>
      <x:c r="C494" s="29" t="str">
        <x:v>Construction</x:v>
      </x:c>
      <x:c r="D494" s="2" t="str">
        <x:v>CES2000000001</x:v>
      </x:c>
      <x:c r="E494" s="20" t="n">
        <x:v>8271</x:v>
      </x:c>
      <x:c r="F494" s="7" t="b">
        <x:v>0</x:v>
      </x:c>
      <x:c r="G494" s="2" t="str">
        <x:v>2025Q2</x:v>
      </x:c>
      <x:c r="H494" s="2" t="str">
        <x:v>https://api.bls.gov/publicAPI/v2/timeseries/data/</x:v>
      </x:c>
    </x:row>
    <x:row r="495" ht="38" customHeight="1">
      <x:c r="A495" s="28" t="n">
        <x:v>45748</x:v>
      </x:c>
      <x:c r="B495" s="2" t="str">
        <x:v>31-33</x:v>
      </x:c>
      <x:c r="C495" s="29" t="str">
        <x:v>Manufacturing</x:v>
      </x:c>
      <x:c r="D495" s="2" t="str">
        <x:v>CES3000000001</x:v>
      </x:c>
      <x:c r="E495" s="20" t="n">
        <x:v>12662</x:v>
      </x:c>
      <x:c r="F495" s="7" t="b">
        <x:v>0</x:v>
      </x:c>
      <x:c r="G495" s="2" t="str">
        <x:v>2025Q2</x:v>
      </x:c>
      <x:c r="H495" s="2" t="str">
        <x:v>https://api.bls.gov/publicAPI/v2/timeseries/data/</x:v>
      </x:c>
    </x:row>
    <x:row r="496" ht="38" customHeight="1">
      <x:c r="A496" s="28" t="n">
        <x:v>45748</x:v>
      </x:c>
      <x:c r="B496" s="2" t="str">
        <x:v>42</x:v>
      </x:c>
      <x:c r="C496" s="29" t="str">
        <x:v>Wholesale trade</x:v>
      </x:c>
      <x:c r="D496" s="2" t="str">
        <x:v>CES4142000001</x:v>
      </x:c>
      <x:c r="E496" s="20" t="n">
        <x:v>6066.9</x:v>
      </x:c>
      <x:c r="F496" s="7" t="b">
        <x:v>0</x:v>
      </x:c>
      <x:c r="G496" s="2" t="str">
        <x:v>2025Q2</x:v>
      </x:c>
      <x:c r="H496" s="2" t="str">
        <x:v>https://api.bls.gov/publicAPI/v2/timeseries/data/</x:v>
      </x:c>
    </x:row>
    <x:row r="497" ht="38" customHeight="1">
      <x:c r="A497" s="28" t="n">
        <x:v>45748</x:v>
      </x:c>
      <x:c r="B497" s="2" t="str">
        <x:v>44-45</x:v>
      </x:c>
      <x:c r="C497" s="29" t="str">
        <x:v>Retail trade</x:v>
      </x:c>
      <x:c r="D497" s="2" t="str">
        <x:v>CES4200000001</x:v>
      </x:c>
      <x:c r="E497" s="20" t="n">
        <x:v>15461.6</x:v>
      </x:c>
      <x:c r="F497" s="7" t="b">
        <x:v>0</x:v>
      </x:c>
      <x:c r="G497" s="2" t="str">
        <x:v>2025Q2</x:v>
      </x:c>
      <x:c r="H497" s="2" t="str">
        <x:v>https://api.bls.gov/publicAPI/v2/timeseries/data/</x:v>
      </x:c>
    </x:row>
    <x:row r="498" ht="38" customHeight="1">
      <x:c r="A498" s="28" t="n">
        <x:v>45748</x:v>
      </x:c>
      <x:c r="B498" s="2" t="str">
        <x:v>48-49</x:v>
      </x:c>
      <x:c r="C498" s="29" t="str">
        <x:v>Transportation and warehousing</x:v>
      </x:c>
      <x:c r="D498" s="2" t="str">
        <x:v>CES4300000001</x:v>
      </x:c>
      <x:c r="E498" s="20" t="n">
        <x:v>6655.4</x:v>
      </x:c>
      <x:c r="F498" s="7" t="b">
        <x:v>0</x:v>
      </x:c>
      <x:c r="G498" s="2" t="str">
        <x:v>2025Q2</x:v>
      </x:c>
      <x:c r="H498" s="2" t="str">
        <x:v>https://api.bls.gov/publicAPI/v2/timeseries/data/</x:v>
      </x:c>
    </x:row>
    <x:row r="499" ht="38" customHeight="1">
      <x:c r="A499" s="28" t="n">
        <x:v>45748</x:v>
      </x:c>
      <x:c r="B499" s="2" t="str">
        <x:v>51</x:v>
      </x:c>
      <x:c r="C499" s="29" t="str">
        <x:v>Information</x:v>
      </x:c>
      <x:c r="D499" s="2" t="str">
        <x:v>CES5000000001</x:v>
      </x:c>
      <x:c r="E499" s="20" t="n">
        <x:v>2865</x:v>
      </x:c>
      <x:c r="F499" s="7" t="b">
        <x:v>0</x:v>
      </x:c>
      <x:c r="G499" s="2" t="str">
        <x:v>2025Q2</x:v>
      </x:c>
      <x:c r="H499" s="2" t="str">
        <x:v>https://api.bls.gov/publicAPI/v2/timeseries/data/</x:v>
      </x:c>
    </x:row>
    <x:row r="500" ht="38" customHeight="1">
      <x:c r="A500" s="28" t="n">
        <x:v>45748</x:v>
      </x:c>
      <x:c r="B500" s="2" t="str">
        <x:v>52</x:v>
      </x:c>
      <x:c r="C500" s="29" t="str">
        <x:v>Finance and insurance</x:v>
      </x:c>
      <x:c r="D500" s="2" t="str">
        <x:v>CES5552000001</x:v>
      </x:c>
      <x:c r="E500" s="20" t="n">
        <x:v>6740.4</x:v>
      </x:c>
      <x:c r="F500" s="7" t="b">
        <x:v>0</x:v>
      </x:c>
      <x:c r="G500" s="2" t="str">
        <x:v>2025Q2</x:v>
      </x:c>
      <x:c r="H500" s="2" t="str">
        <x:v>https://api.bls.gov/publicAPI/v2/timeseries/data/</x:v>
      </x:c>
    </x:row>
    <x:row r="501" ht="38" customHeight="1">
      <x:c r="A501" s="28" t="n">
        <x:v>45748</x:v>
      </x:c>
      <x:c r="B501" s="2" t="str">
        <x:v>53</x:v>
      </x:c>
      <x:c r="C501" s="29" t="str">
        <x:v>Real estate and rental and leasing</x:v>
      </x:c>
      <x:c r="D501" s="2" t="str">
        <x:v>CES5553000001</x:v>
      </x:c>
      <x:c r="E501" s="20" t="n">
        <x:v>2464.8</x:v>
      </x:c>
      <x:c r="F501" s="7" t="b">
        <x:v>0</x:v>
      </x:c>
      <x:c r="G501" s="2" t="str">
        <x:v>2025Q2</x:v>
      </x:c>
      <x:c r="H501" s="2" t="str">
        <x:v>https://api.bls.gov/publicAPI/v2/timeseries/data/</x:v>
      </x:c>
    </x:row>
    <x:row r="502" ht="38" customHeight="1">
      <x:c r="A502" s="28" t="n">
        <x:v>45748</x:v>
      </x:c>
      <x:c r="B502" s="2" t="str">
        <x:v>54</x:v>
      </x:c>
      <x:c r="C502" s="29" t="str">
        <x:v>Professional, scientific, and technical services</x:v>
      </x:c>
      <x:c r="D502" s="2" t="str">
        <x:v>CES6054000001</x:v>
      </x:c>
      <x:c r="E502" s="20" t="n">
        <x:v>10786.7</x:v>
      </x:c>
      <x:c r="F502" s="7" t="b">
        <x:v>0</x:v>
      </x:c>
      <x:c r="G502" s="2" t="str">
        <x:v>2025Q2</x:v>
      </x:c>
      <x:c r="H502" s="2" t="str">
        <x:v>https://api.bls.gov/publicAPI/v2/timeseries/data/</x:v>
      </x:c>
    </x:row>
    <x:row r="503" ht="38" customHeight="1">
      <x:c r="A503" s="28" t="n">
        <x:v>45748</x:v>
      </x:c>
      <x:c r="B503" s="2" t="str">
        <x:v>55</x:v>
      </x:c>
      <x:c r="C503" s="29" t="str">
        <x:v>Management of companies and enterprises</x:v>
      </x:c>
      <x:c r="D503" s="2" t="str">
        <x:v>CES6055000001</x:v>
      </x:c>
      <x:c r="E503" s="20" t="n">
        <x:v>2623.4</x:v>
      </x:c>
      <x:c r="F503" s="7" t="b">
        <x:v>0</x:v>
      </x:c>
      <x:c r="G503" s="2" t="str">
        <x:v>2025Q2</x:v>
      </x:c>
      <x:c r="H503" s="2" t="str">
        <x:v>https://api.bls.gov/publicAPI/v2/timeseries/data/</x:v>
      </x:c>
    </x:row>
    <x:row r="504" ht="38" customHeight="1">
      <x:c r="A504" s="28" t="n">
        <x:v>45748</x:v>
      </x:c>
      <x:c r="B504" s="2" t="str">
        <x:v>56</x:v>
      </x:c>
      <x:c r="C504" s="29" t="str">
        <x:v>Administrative, support, and waste services</x:v>
      </x:c>
      <x:c r="D504" s="2" t="str">
        <x:v>CES6056000001</x:v>
      </x:c>
      <x:c r="E504" s="20" t="n">
        <x:v>9059.7</x:v>
      </x:c>
      <x:c r="F504" s="7" t="b">
        <x:v>0</x:v>
      </x:c>
      <x:c r="G504" s="2" t="str">
        <x:v>2025Q2</x:v>
      </x:c>
      <x:c r="H504" s="2" t="str">
        <x:v>https://api.bls.gov/publicAPI/v2/timeseries/data/</x:v>
      </x:c>
    </x:row>
    <x:row r="505" ht="38" customHeight="1">
      <x:c r="A505" s="28" t="n">
        <x:v>45748</x:v>
      </x:c>
      <x:c r="B505" s="2" t="str">
        <x:v>61</x:v>
      </x:c>
      <x:c r="C505" s="29" t="str">
        <x:v>Private educational services</x:v>
      </x:c>
      <x:c r="D505" s="2" t="str">
        <x:v>CES6561000001</x:v>
      </x:c>
      <x:c r="E505" s="20" t="n">
        <x:v>4063.5</x:v>
      </x:c>
      <x:c r="F505" s="7" t="b">
        <x:v>0</x:v>
      </x:c>
      <x:c r="G505" s="2" t="str">
        <x:v>2025Q2</x:v>
      </x:c>
      <x:c r="H505" s="2" t="str">
        <x:v>https://api.bls.gov/publicAPI/v2/timeseries/data/</x:v>
      </x:c>
    </x:row>
    <x:row r="506" ht="38" customHeight="1">
      <x:c r="A506" s="28" t="n">
        <x:v>45748</x:v>
      </x:c>
      <x:c r="B506" s="2" t="str">
        <x:v>62</x:v>
      </x:c>
      <x:c r="C506" s="29" t="str">
        <x:v>Health care and social assistance</x:v>
      </x:c>
      <x:c r="D506" s="2" t="str">
        <x:v>CES6562000001</x:v>
      </x:c>
      <x:c r="E506" s="20" t="n">
        <x:v>23152</x:v>
      </x:c>
      <x:c r="F506" s="7" t="b">
        <x:v>0</x:v>
      </x:c>
      <x:c r="G506" s="2" t="str">
        <x:v>2025Q2</x:v>
      </x:c>
      <x:c r="H506" s="2" t="str">
        <x:v>https://api.bls.gov/publicAPI/v2/timeseries/data/</x:v>
      </x:c>
    </x:row>
    <x:row r="507" ht="38" customHeight="1">
      <x:c r="A507" s="28" t="n">
        <x:v>45748</x:v>
      </x:c>
      <x:c r="B507" s="2" t="str">
        <x:v>71</x:v>
      </x:c>
      <x:c r="C507" s="29" t="str">
        <x:v>Arts, entertainment, and recreation</x:v>
      </x:c>
      <x:c r="D507" s="2" t="str">
        <x:v>CES7071000001</x:v>
      </x:c>
      <x:c r="E507" s="20" t="n">
        <x:v>2667.9</x:v>
      </x:c>
      <x:c r="F507" s="7" t="b">
        <x:v>0</x:v>
      </x:c>
      <x:c r="G507" s="2" t="str">
        <x:v>2025Q2</x:v>
      </x:c>
      <x:c r="H507" s="2" t="str">
        <x:v>https://api.bls.gov/publicAPI/v2/timeseries/data/</x:v>
      </x:c>
    </x:row>
    <x:row r="508" ht="38" customHeight="1">
      <x:c r="A508" s="28" t="n">
        <x:v>45748</x:v>
      </x:c>
      <x:c r="B508" s="2" t="str">
        <x:v>72</x:v>
      </x:c>
      <x:c r="C508" s="29" t="str">
        <x:v>Accommodation and food services</x:v>
      </x:c>
      <x:c r="D508" s="2" t="str">
        <x:v>CES7072000001</x:v>
      </x:c>
      <x:c r="E508" s="20" t="n">
        <x:v>14168.1</x:v>
      </x:c>
      <x:c r="F508" s="7" t="b">
        <x:v>0</x:v>
      </x:c>
      <x:c r="G508" s="2" t="str">
        <x:v>2025Q2</x:v>
      </x:c>
      <x:c r="H508" s="2" t="str">
        <x:v>https://api.bls.gov/publicAPI/v2/timeseries/data/</x:v>
      </x:c>
    </x:row>
    <x:row r="509" ht="38" customHeight="1">
      <x:c r="A509" s="28" t="n">
        <x:v>45748</x:v>
      </x:c>
      <x:c r="B509" s="2" t="str">
        <x:v>81</x:v>
      </x:c>
      <x:c r="C509" s="29" t="str">
        <x:v>Other services, except government</x:v>
      </x:c>
      <x:c r="D509" s="2" t="str">
        <x:v>CES8000000001</x:v>
      </x:c>
      <x:c r="E509" s="20" t="n">
        <x:v>5987</x:v>
      </x:c>
      <x:c r="F509" s="7" t="b">
        <x:v>0</x:v>
      </x:c>
      <x:c r="G509" s="2" t="str">
        <x:v>2025Q2</x:v>
      </x:c>
      <x:c r="H509" s="2" t="str">
        <x:v>https://api.bls.gov/publicAPI/v2/timeseries/data/</x:v>
      </x:c>
    </x:row>
    <x:row r="510" ht="38" customHeight="1">
      <x:c r="A510" s="28" t="n">
        <x:v>45778</x:v>
      </x:c>
      <x:c r="B510" s="2" t="str">
        <x:v>21</x:v>
      </x:c>
      <x:c r="C510" s="29" t="str">
        <x:v>Mining, quarrying, and oil and gas extraction</x:v>
      </x:c>
      <x:c r="D510" s="2" t="str">
        <x:v>CES1021000001</x:v>
      </x:c>
      <x:c r="E510" s="20" t="n">
        <x:v>576.9</x:v>
      </x:c>
      <x:c r="F510" s="7" t="b">
        <x:v>0</x:v>
      </x:c>
      <x:c r="G510" s="2" t="str">
        <x:v>2025Q2</x:v>
      </x:c>
      <x:c r="H510" s="2" t="str">
        <x:v>https://api.bls.gov/publicAPI/v2/timeseries/data/</x:v>
      </x:c>
    </x:row>
    <x:row r="511" ht="38" customHeight="1">
      <x:c r="A511" s="28" t="n">
        <x:v>45778</x:v>
      </x:c>
      <x:c r="B511" s="2" t="str">
        <x:v>22</x:v>
      </x:c>
      <x:c r="C511" s="29" t="str">
        <x:v>Utilities</x:v>
      </x:c>
      <x:c r="D511" s="2" t="str">
        <x:v>CES4422000001</x:v>
      </x:c>
      <x:c r="E511" s="20" t="n">
        <x:v>601.7</x:v>
      </x:c>
      <x:c r="F511" s="7" t="b">
        <x:v>0</x:v>
      </x:c>
      <x:c r="G511" s="2" t="str">
        <x:v>2025Q2</x:v>
      </x:c>
      <x:c r="H511" s="2" t="str">
        <x:v>https://api.bls.gov/publicAPI/v2/timeseries/data/</x:v>
      </x:c>
    </x:row>
    <x:row r="512" ht="38" customHeight="1">
      <x:c r="A512" s="28" t="n">
        <x:v>45778</x:v>
      </x:c>
      <x:c r="B512" s="2" t="str">
        <x:v>23</x:v>
      </x:c>
      <x:c r="C512" s="29" t="str">
        <x:v>Construction</x:v>
      </x:c>
      <x:c r="D512" s="2" t="str">
        <x:v>CES2000000001</x:v>
      </x:c>
      <x:c r="E512" s="20" t="n">
        <x:v>8269</x:v>
      </x:c>
      <x:c r="F512" s="7" t="b">
        <x:v>0</x:v>
      </x:c>
      <x:c r="G512" s="2" t="str">
        <x:v>2025Q2</x:v>
      </x:c>
      <x:c r="H512" s="2" t="str">
        <x:v>https://api.bls.gov/publicAPI/v2/timeseries/data/</x:v>
      </x:c>
    </x:row>
    <x:row r="513" ht="38" customHeight="1">
      <x:c r="A513" s="28" t="n">
        <x:v>45778</x:v>
      </x:c>
      <x:c r="B513" s="2" t="str">
        <x:v>31-33</x:v>
      </x:c>
      <x:c r="C513" s="29" t="str">
        <x:v>Manufacturing</x:v>
      </x:c>
      <x:c r="D513" s="2" t="str">
        <x:v>CES3000000001</x:v>
      </x:c>
      <x:c r="E513" s="20" t="n">
        <x:v>12651</x:v>
      </x:c>
      <x:c r="F513" s="7" t="b">
        <x:v>0</x:v>
      </x:c>
      <x:c r="G513" s="2" t="str">
        <x:v>2025Q2</x:v>
      </x:c>
      <x:c r="H513" s="2" t="str">
        <x:v>https://api.bls.gov/publicAPI/v2/timeseries/data/</x:v>
      </x:c>
    </x:row>
    <x:row r="514" ht="38" customHeight="1">
      <x:c r="A514" s="28" t="n">
        <x:v>45778</x:v>
      </x:c>
      <x:c r="B514" s="2" t="str">
        <x:v>42</x:v>
      </x:c>
      <x:c r="C514" s="29" t="str">
        <x:v>Wholesale trade</x:v>
      </x:c>
      <x:c r="D514" s="2" t="str">
        <x:v>CES4142000001</x:v>
      </x:c>
      <x:c r="E514" s="20" t="n">
        <x:v>6067.7</x:v>
      </x:c>
      <x:c r="F514" s="7" t="b">
        <x:v>0</x:v>
      </x:c>
      <x:c r="G514" s="2" t="str">
        <x:v>2025Q2</x:v>
      </x:c>
      <x:c r="H514" s="2" t="str">
        <x:v>https://api.bls.gov/publicAPI/v2/timeseries/data/</x:v>
      </x:c>
    </x:row>
    <x:row r="515" ht="38" customHeight="1">
      <x:c r="A515" s="28" t="n">
        <x:v>45778</x:v>
      </x:c>
      <x:c r="B515" s="2" t="str">
        <x:v>44-45</x:v>
      </x:c>
      <x:c r="C515" s="29" t="str">
        <x:v>Retail trade</x:v>
      </x:c>
      <x:c r="D515" s="2" t="str">
        <x:v>CES4200000001</x:v>
      </x:c>
      <x:c r="E515" s="20" t="n">
        <x:v>15440</x:v>
      </x:c>
      <x:c r="F515" s="7" t="b">
        <x:v>0</x:v>
      </x:c>
      <x:c r="G515" s="2" t="str">
        <x:v>2025Q2</x:v>
      </x:c>
      <x:c r="H515" s="2" t="str">
        <x:v>https://api.bls.gov/publicAPI/v2/timeseries/data/</x:v>
      </x:c>
    </x:row>
    <x:row r="516" ht="38" customHeight="1">
      <x:c r="A516" s="28" t="n">
        <x:v>45778</x:v>
      </x:c>
      <x:c r="B516" s="2" t="str">
        <x:v>48-49</x:v>
      </x:c>
      <x:c r="C516" s="29" t="str">
        <x:v>Transportation and warehousing</x:v>
      </x:c>
      <x:c r="D516" s="2" t="str">
        <x:v>CES4300000001</x:v>
      </x:c>
      <x:c r="E516" s="20" t="n">
        <x:v>6655.5</x:v>
      </x:c>
      <x:c r="F516" s="7" t="b">
        <x:v>0</x:v>
      </x:c>
      <x:c r="G516" s="2" t="str">
        <x:v>2025Q2</x:v>
      </x:c>
      <x:c r="H516" s="2" t="str">
        <x:v>https://api.bls.gov/publicAPI/v2/timeseries/data/</x:v>
      </x:c>
    </x:row>
    <x:row r="517" ht="38" customHeight="1">
      <x:c r="A517" s="28" t="n">
        <x:v>45778</x:v>
      </x:c>
      <x:c r="B517" s="2" t="str">
        <x:v>51</x:v>
      </x:c>
      <x:c r="C517" s="29" t="str">
        <x:v>Information</x:v>
      </x:c>
      <x:c r="D517" s="2" t="str">
        <x:v>CES5000000001</x:v>
      </x:c>
      <x:c r="E517" s="20" t="n">
        <x:v>2864</x:v>
      </x:c>
      <x:c r="F517" s="7" t="b">
        <x:v>0</x:v>
      </x:c>
      <x:c r="G517" s="2" t="str">
        <x:v>2025Q2</x:v>
      </x:c>
      <x:c r="H517" s="2" t="str">
        <x:v>https://api.bls.gov/publicAPI/v2/timeseries/data/</x:v>
      </x:c>
    </x:row>
    <x:row r="518" ht="38" customHeight="1">
      <x:c r="A518" s="28" t="n">
        <x:v>45778</x:v>
      </x:c>
      <x:c r="B518" s="2" t="str">
        <x:v>52</x:v>
      </x:c>
      <x:c r="C518" s="29" t="str">
        <x:v>Finance and insurance</x:v>
      </x:c>
      <x:c r="D518" s="2" t="str">
        <x:v>CES5552000001</x:v>
      </x:c>
      <x:c r="E518" s="20" t="n">
        <x:v>6744.9</x:v>
      </x:c>
      <x:c r="F518" s="7" t="b">
        <x:v>0</x:v>
      </x:c>
      <x:c r="G518" s="2" t="str">
        <x:v>2025Q2</x:v>
      </x:c>
      <x:c r="H518" s="2" t="str">
        <x:v>https://api.bls.gov/publicAPI/v2/timeseries/data/</x:v>
      </x:c>
    </x:row>
    <x:row r="519" ht="38" customHeight="1">
      <x:c r="A519" s="28" t="n">
        <x:v>45778</x:v>
      </x:c>
      <x:c r="B519" s="2" t="str">
        <x:v>53</x:v>
      </x:c>
      <x:c r="C519" s="29" t="str">
        <x:v>Real estate and rental and leasing</x:v>
      </x:c>
      <x:c r="D519" s="2" t="str">
        <x:v>CES5553000001</x:v>
      </x:c>
      <x:c r="E519" s="20" t="n">
        <x:v>2465.9</x:v>
      </x:c>
      <x:c r="F519" s="7" t="b">
        <x:v>0</x:v>
      </x:c>
      <x:c r="G519" s="2" t="str">
        <x:v>2025Q2</x:v>
      </x:c>
      <x:c r="H519" s="2" t="str">
        <x:v>https://api.bls.gov/publicAPI/v2/timeseries/data/</x:v>
      </x:c>
    </x:row>
    <x:row r="520" ht="38" customHeight="1">
      <x:c r="A520" s="28" t="n">
        <x:v>45778</x:v>
      </x:c>
      <x:c r="B520" s="2" t="str">
        <x:v>54</x:v>
      </x:c>
      <x:c r="C520" s="29" t="str">
        <x:v>Professional, scientific, and technical services</x:v>
      </x:c>
      <x:c r="D520" s="2" t="str">
        <x:v>CES6054000001</x:v>
      </x:c>
      <x:c r="E520" s="20" t="n">
        <x:v>10783.8</x:v>
      </x:c>
      <x:c r="F520" s="7" t="b">
        <x:v>0</x:v>
      </x:c>
      <x:c r="G520" s="2" t="str">
        <x:v>2025Q2</x:v>
      </x:c>
      <x:c r="H520" s="2" t="str">
        <x:v>https://api.bls.gov/publicAPI/v2/timeseries/data/</x:v>
      </x:c>
    </x:row>
    <x:row r="521" ht="38" customHeight="1">
      <x:c r="A521" s="28" t="n">
        <x:v>45778</x:v>
      </x:c>
      <x:c r="B521" s="2" t="str">
        <x:v>55</x:v>
      </x:c>
      <x:c r="C521" s="29" t="str">
        <x:v>Management of companies and enterprises</x:v>
      </x:c>
      <x:c r="D521" s="2" t="str">
        <x:v>CES6055000001</x:v>
      </x:c>
      <x:c r="E521" s="20" t="n">
        <x:v>2625.2</x:v>
      </x:c>
      <x:c r="F521" s="7" t="b">
        <x:v>0</x:v>
      </x:c>
      <x:c r="G521" s="2" t="str">
        <x:v>2025Q2</x:v>
      </x:c>
      <x:c r="H521" s="2" t="str">
        <x:v>https://api.bls.gov/publicAPI/v2/timeseries/data/</x:v>
      </x:c>
    </x:row>
    <x:row r="522" ht="38" customHeight="1">
      <x:c r="A522" s="28" t="n">
        <x:v>45778</x:v>
      </x:c>
      <x:c r="B522" s="2" t="str">
        <x:v>56</x:v>
      </x:c>
      <x:c r="C522" s="29" t="str">
        <x:v>Administrative, support, and waste services</x:v>
      </x:c>
      <x:c r="D522" s="2" t="str">
        <x:v>CES6056000001</x:v>
      </x:c>
      <x:c r="E522" s="20" t="n">
        <x:v>9040.8</x:v>
      </x:c>
      <x:c r="F522" s="7" t="b">
        <x:v>0</x:v>
      </x:c>
      <x:c r="G522" s="2" t="str">
        <x:v>2025Q2</x:v>
      </x:c>
      <x:c r="H522" s="2" t="str">
        <x:v>https://api.bls.gov/publicAPI/v2/timeseries/data/</x:v>
      </x:c>
    </x:row>
    <x:row r="523" ht="38" customHeight="1">
      <x:c r="A523" s="28" t="n">
        <x:v>45778</x:v>
      </x:c>
      <x:c r="B523" s="2" t="str">
        <x:v>61</x:v>
      </x:c>
      <x:c r="C523" s="29" t="str">
        <x:v>Private educational services</x:v>
      </x:c>
      <x:c r="D523" s="2" t="str">
        <x:v>CES6561000001</x:v>
      </x:c>
      <x:c r="E523" s="20" t="n">
        <x:v>4058.7</x:v>
      </x:c>
      <x:c r="F523" s="7" t="b">
        <x:v>0</x:v>
      </x:c>
      <x:c r="G523" s="2" t="str">
        <x:v>2025Q2</x:v>
      </x:c>
      <x:c r="H523" s="2" t="str">
        <x:v>https://api.bls.gov/publicAPI/v2/timeseries/data/</x:v>
      </x:c>
    </x:row>
    <x:row r="524" ht="38" customHeight="1">
      <x:c r="A524" s="28" t="n">
        <x:v>45778</x:v>
      </x:c>
      <x:c r="B524" s="2" t="str">
        <x:v>62</x:v>
      </x:c>
      <x:c r="C524" s="29" t="str">
        <x:v>Health care and social assistance</x:v>
      </x:c>
      <x:c r="D524" s="2" t="str">
        <x:v>CES6562000001</x:v>
      </x:c>
      <x:c r="E524" s="20" t="n">
        <x:v>23217</x:v>
      </x:c>
      <x:c r="F524" s="7" t="b">
        <x:v>0</x:v>
      </x:c>
      <x:c r="G524" s="2" t="str">
        <x:v>2025Q2</x:v>
      </x:c>
      <x:c r="H524" s="2" t="str">
        <x:v>https://api.bls.gov/publicAPI/v2/timeseries/data/</x:v>
      </x:c>
    </x:row>
    <x:row r="525" ht="38" customHeight="1">
      <x:c r="A525" s="28" t="n">
        <x:v>45778</x:v>
      </x:c>
      <x:c r="B525" s="2" t="str">
        <x:v>71</x:v>
      </x:c>
      <x:c r="C525" s="29" t="str">
        <x:v>Arts, entertainment, and recreation</x:v>
      </x:c>
      <x:c r="D525" s="2" t="str">
        <x:v>CES7071000001</x:v>
      </x:c>
      <x:c r="E525" s="20" t="n">
        <x:v>2680.8</x:v>
      </x:c>
      <x:c r="F525" s="7" t="b">
        <x:v>0</x:v>
      </x:c>
      <x:c r="G525" s="2" t="str">
        <x:v>2025Q2</x:v>
      </x:c>
      <x:c r="H525" s="2" t="str">
        <x:v>https://api.bls.gov/publicAPI/v2/timeseries/data/</x:v>
      </x:c>
    </x:row>
    <x:row r="526" ht="38" customHeight="1">
      <x:c r="A526" s="28" t="n">
        <x:v>45778</x:v>
      </x:c>
      <x:c r="B526" s="2" t="str">
        <x:v>72</x:v>
      </x:c>
      <x:c r="C526" s="29" t="str">
        <x:v>Accommodation and food services</x:v>
      </x:c>
      <x:c r="D526" s="2" t="str">
        <x:v>CES7072000001</x:v>
      </x:c>
      <x:c r="E526" s="20" t="n">
        <x:v>14158</x:v>
      </x:c>
      <x:c r="F526" s="7" t="b">
        <x:v>0</x:v>
      </x:c>
      <x:c r="G526" s="2" t="str">
        <x:v>2025Q2</x:v>
      </x:c>
      <x:c r="H526" s="2" t="str">
        <x:v>https://api.bls.gov/publicAPI/v2/timeseries/data/</x:v>
      </x:c>
    </x:row>
    <x:row r="527" ht="38" customHeight="1">
      <x:c r="A527" s="28" t="n">
        <x:v>45778</x:v>
      </x:c>
      <x:c r="B527" s="2" t="str">
        <x:v>81</x:v>
      </x:c>
      <x:c r="C527" s="29" t="str">
        <x:v>Other services, except government</x:v>
      </x:c>
      <x:c r="D527" s="2" t="str">
        <x:v>CES8000000001</x:v>
      </x:c>
      <x:c r="E527" s="20" t="n">
        <x:v>5994</x:v>
      </x:c>
      <x:c r="F527" s="7" t="b">
        <x:v>0</x:v>
      </x:c>
      <x:c r="G527" s="2" t="str">
        <x:v>2025Q2</x:v>
      </x:c>
      <x:c r="H527" s="2" t="str">
        <x:v>https://api.bls.gov/publicAPI/v2/timeseries/data/</x:v>
      </x:c>
    </x:row>
    <x:row r="528" ht="38" customHeight="1">
      <x:c r="A528" s="28" t="n">
        <x:v>45809</x:v>
      </x:c>
      <x:c r="B528" s="2" t="str">
        <x:v>21</x:v>
      </x:c>
      <x:c r="C528" s="29" t="str">
        <x:v>Mining, quarrying, and oil and gas extraction</x:v>
      </x:c>
      <x:c r="D528" s="2" t="str">
        <x:v>CES1021000001</x:v>
      </x:c>
      <x:c r="E528" s="20" t="n">
        <x:v>574.5</x:v>
      </x:c>
      <x:c r="F528" s="7" t="b">
        <x:v>0</x:v>
      </x:c>
      <x:c r="G528" s="2" t="str">
        <x:v>2025Q2</x:v>
      </x:c>
      <x:c r="H528" s="2" t="str">
        <x:v>https://api.bls.gov/publicAPI/v2/timeseries/data/</x:v>
      </x:c>
    </x:row>
    <x:row r="529" ht="38" customHeight="1">
      <x:c r="A529" s="28" t="n">
        <x:v>45809</x:v>
      </x:c>
      <x:c r="B529" s="2" t="str">
        <x:v>22</x:v>
      </x:c>
      <x:c r="C529" s="29" t="str">
        <x:v>Utilities</x:v>
      </x:c>
      <x:c r="D529" s="2" t="str">
        <x:v>CES4422000001</x:v>
      </x:c>
      <x:c r="E529" s="20" t="n">
        <x:v>602.2</x:v>
      </x:c>
      <x:c r="F529" s="7" t="b">
        <x:v>0</x:v>
      </x:c>
      <x:c r="G529" s="2" t="str">
        <x:v>2025Q2</x:v>
      </x:c>
      <x:c r="H529" s="2" t="str">
        <x:v>https://api.bls.gov/publicAPI/v2/timeseries/data/</x:v>
      </x:c>
    </x:row>
    <x:row r="530" ht="38" customHeight="1">
      <x:c r="A530" s="28" t="n">
        <x:v>45809</x:v>
      </x:c>
      <x:c r="B530" s="2" t="str">
        <x:v>23</x:v>
      </x:c>
      <x:c r="C530" s="29" t="str">
        <x:v>Construction</x:v>
      </x:c>
      <x:c r="D530" s="2" t="str">
        <x:v>CES2000000001</x:v>
      </x:c>
      <x:c r="E530" s="20" t="n">
        <x:v>8267</x:v>
      </x:c>
      <x:c r="F530" s="7" t="b">
        <x:v>0</x:v>
      </x:c>
      <x:c r="G530" s="2" t="str">
        <x:v>2025Q2</x:v>
      </x:c>
      <x:c r="H530" s="2" t="str">
        <x:v>https://api.bls.gov/publicAPI/v2/timeseries/data/</x:v>
      </x:c>
    </x:row>
    <x:row r="531" ht="38" customHeight="1">
      <x:c r="A531" s="28" t="n">
        <x:v>45809</x:v>
      </x:c>
      <x:c r="B531" s="2" t="str">
        <x:v>31-33</x:v>
      </x:c>
      <x:c r="C531" s="29" t="str">
        <x:v>Manufacturing</x:v>
      </x:c>
      <x:c r="D531" s="2" t="str">
        <x:v>CES3000000001</x:v>
      </x:c>
      <x:c r="E531" s="20" t="n">
        <x:v>12636</x:v>
      </x:c>
      <x:c r="F531" s="7" t="b">
        <x:v>0</x:v>
      </x:c>
      <x:c r="G531" s="2" t="str">
        <x:v>2025Q2</x:v>
      </x:c>
      <x:c r="H531" s="2" t="str">
        <x:v>https://api.bls.gov/publicAPI/v2/timeseries/data/</x:v>
      </x:c>
    </x:row>
    <x:row r="532" ht="38" customHeight="1">
      <x:c r="A532" s="28" t="n">
        <x:v>45809</x:v>
      </x:c>
      <x:c r="B532" s="2" t="str">
        <x:v>42</x:v>
      </x:c>
      <x:c r="C532" s="29" t="str">
        <x:v>Wholesale trade</x:v>
      </x:c>
      <x:c r="D532" s="2" t="str">
        <x:v>CES4142000001</x:v>
      </x:c>
      <x:c r="E532" s="20" t="n">
        <x:v>6057.3</x:v>
      </x:c>
      <x:c r="F532" s="7" t="b">
        <x:v>0</x:v>
      </x:c>
      <x:c r="G532" s="2" t="str">
        <x:v>2025Q2</x:v>
      </x:c>
      <x:c r="H532" s="2" t="str">
        <x:v>https://api.bls.gov/publicAPI/v2/timeseries/data/</x:v>
      </x:c>
    </x:row>
    <x:row r="533" ht="38" customHeight="1">
      <x:c r="A533" s="28" t="n">
        <x:v>45809</x:v>
      </x:c>
      <x:c r="B533" s="2" t="str">
        <x:v>44-45</x:v>
      </x:c>
      <x:c r="C533" s="29" t="str">
        <x:v>Retail trade</x:v>
      </x:c>
      <x:c r="D533" s="2" t="str">
        <x:v>CES4200000001</x:v>
      </x:c>
      <x:c r="E533" s="20" t="n">
        <x:v>15425.5</x:v>
      </x:c>
      <x:c r="F533" s="7" t="b">
        <x:v>0</x:v>
      </x:c>
      <x:c r="G533" s="2" t="str">
        <x:v>2025Q2</x:v>
      </x:c>
      <x:c r="H533" s="2" t="str">
        <x:v>https://api.bls.gov/publicAPI/v2/timeseries/data/</x:v>
      </x:c>
    </x:row>
    <x:row r="534" ht="38" customHeight="1">
      <x:c r="A534" s="28" t="n">
        <x:v>45809</x:v>
      </x:c>
      <x:c r="B534" s="2" t="str">
        <x:v>48-49</x:v>
      </x:c>
      <x:c r="C534" s="29" t="str">
        <x:v>Transportation and warehousing</x:v>
      </x:c>
      <x:c r="D534" s="2" t="str">
        <x:v>CES4300000001</x:v>
      </x:c>
      <x:c r="E534" s="20" t="n">
        <x:v>6655.5</x:v>
      </x:c>
      <x:c r="F534" s="7" t="b">
        <x:v>0</x:v>
      </x:c>
      <x:c r="G534" s="2" t="str">
        <x:v>2025Q2</x:v>
      </x:c>
      <x:c r="H534" s="2" t="str">
        <x:v>https://api.bls.gov/publicAPI/v2/timeseries/data/</x:v>
      </x:c>
    </x:row>
    <x:row r="535" ht="38" customHeight="1">
      <x:c r="A535" s="28" t="n">
        <x:v>45809</x:v>
      </x:c>
      <x:c r="B535" s="2" t="str">
        <x:v>51</x:v>
      </x:c>
      <x:c r="C535" s="29" t="str">
        <x:v>Information</x:v>
      </x:c>
      <x:c r="D535" s="2" t="str">
        <x:v>CES5000000001</x:v>
      </x:c>
      <x:c r="E535" s="20" t="n">
        <x:v>2863</x:v>
      </x:c>
      <x:c r="F535" s="7" t="b">
        <x:v>0</x:v>
      </x:c>
      <x:c r="G535" s="2" t="str">
        <x:v>2025Q2</x:v>
      </x:c>
      <x:c r="H535" s="2" t="str">
        <x:v>https://api.bls.gov/publicAPI/v2/timeseries/data/</x:v>
      </x:c>
    </x:row>
    <x:row r="536" ht="38" customHeight="1">
      <x:c r="A536" s="28" t="n">
        <x:v>45809</x:v>
      </x:c>
      <x:c r="B536" s="2" t="str">
        <x:v>52</x:v>
      </x:c>
      <x:c r="C536" s="29" t="str">
        <x:v>Finance and insurance</x:v>
      </x:c>
      <x:c r="D536" s="2" t="str">
        <x:v>CES5552000001</x:v>
      </x:c>
      <x:c r="E536" s="20" t="n">
        <x:v>6741.5</x:v>
      </x:c>
      <x:c r="F536" s="7" t="b">
        <x:v>0</x:v>
      </x:c>
      <x:c r="G536" s="2" t="str">
        <x:v>2025Q2</x:v>
      </x:c>
      <x:c r="H536" s="2" t="str">
        <x:v>https://api.bls.gov/publicAPI/v2/timeseries/data/</x:v>
      </x:c>
    </x:row>
    <x:row r="537" ht="38" customHeight="1">
      <x:c r="A537" s="28" t="n">
        <x:v>45809</x:v>
      </x:c>
      <x:c r="B537" s="2" t="str">
        <x:v>53</x:v>
      </x:c>
      <x:c r="C537" s="29" t="str">
        <x:v>Real estate and rental and leasing</x:v>
      </x:c>
      <x:c r="D537" s="2" t="str">
        <x:v>CES5553000001</x:v>
      </x:c>
      <x:c r="E537" s="20" t="n">
        <x:v>2462.7</x:v>
      </x:c>
      <x:c r="F537" s="7" t="b">
        <x:v>0</x:v>
      </x:c>
      <x:c r="G537" s="2" t="str">
        <x:v>2025Q2</x:v>
      </x:c>
      <x:c r="H537" s="2" t="str">
        <x:v>https://api.bls.gov/publicAPI/v2/timeseries/data/</x:v>
      </x:c>
    </x:row>
    <x:row r="538" ht="38" customHeight="1">
      <x:c r="A538" s="28" t="n">
        <x:v>45809</x:v>
      </x:c>
      <x:c r="B538" s="2" t="str">
        <x:v>54</x:v>
      </x:c>
      <x:c r="C538" s="29" t="str">
        <x:v>Professional, scientific, and technical services</x:v>
      </x:c>
      <x:c r="D538" s="2" t="str">
        <x:v>CES6054000001</x:v>
      </x:c>
      <x:c r="E538" s="20" t="n">
        <x:v>10768</x:v>
      </x:c>
      <x:c r="F538" s="7" t="b">
        <x:v>0</x:v>
      </x:c>
      <x:c r="G538" s="2" t="str">
        <x:v>2025Q2</x:v>
      </x:c>
      <x:c r="H538" s="2" t="str">
        <x:v>https://api.bls.gov/publicAPI/v2/timeseries/data/</x:v>
      </x:c>
    </x:row>
    <x:row r="539" ht="38" customHeight="1">
      <x:c r="A539" s="28" t="n">
        <x:v>45809</x:v>
      </x:c>
      <x:c r="B539" s="2" t="str">
        <x:v>55</x:v>
      </x:c>
      <x:c r="C539" s="29" t="str">
        <x:v>Management of companies and enterprises</x:v>
      </x:c>
      <x:c r="D539" s="2" t="str">
        <x:v>CES6055000001</x:v>
      </x:c>
      <x:c r="E539" s="20" t="n">
        <x:v>2625.6</x:v>
      </x:c>
      <x:c r="F539" s="7" t="b">
        <x:v>0</x:v>
      </x:c>
      <x:c r="G539" s="2" t="str">
        <x:v>2025Q2</x:v>
      </x:c>
      <x:c r="H539" s="2" t="str">
        <x:v>https://api.bls.gov/publicAPI/v2/timeseries/data/</x:v>
      </x:c>
    </x:row>
    <x:row r="540" ht="38" customHeight="1">
      <x:c r="A540" s="28" t="n">
        <x:v>45809</x:v>
      </x:c>
      <x:c r="B540" s="2" t="str">
        <x:v>56</x:v>
      </x:c>
      <x:c r="C540" s="29" t="str">
        <x:v>Administrative, support, and waste services</x:v>
      </x:c>
      <x:c r="D540" s="2" t="str">
        <x:v>CES6056000001</x:v>
      </x:c>
      <x:c r="E540" s="20" t="n">
        <x:v>9025.4</x:v>
      </x:c>
      <x:c r="F540" s="7" t="b">
        <x:v>0</x:v>
      </x:c>
      <x:c r="G540" s="2" t="str">
        <x:v>2025Q2</x:v>
      </x:c>
      <x:c r="H540" s="2" t="str">
        <x:v>https://api.bls.gov/publicAPI/v2/timeseries/data/</x:v>
      </x:c>
    </x:row>
    <x:row r="541" ht="38" customHeight="1">
      <x:c r="A541" s="28" t="n">
        <x:v>45809</x:v>
      </x:c>
      <x:c r="B541" s="2" t="str">
        <x:v>61</x:v>
      </x:c>
      <x:c r="C541" s="29" t="str">
        <x:v>Private educational services</x:v>
      </x:c>
      <x:c r="D541" s="2" t="str">
        <x:v>CES6561000001</x:v>
      </x:c>
      <x:c r="E541" s="20" t="n">
        <x:v>4047.7</x:v>
      </x:c>
      <x:c r="F541" s="7" t="b">
        <x:v>0</x:v>
      </x:c>
      <x:c r="G541" s="2" t="str">
        <x:v>2025Q2</x:v>
      </x:c>
      <x:c r="H541" s="2" t="str">
        <x:v>https://api.bls.gov/publicAPI/v2/timeseries/data/</x:v>
      </x:c>
    </x:row>
    <x:row r="542" ht="38" customHeight="1">
      <x:c r="A542" s="28" t="n">
        <x:v>45809</x:v>
      </x:c>
      <x:c r="B542" s="2" t="str">
        <x:v>62</x:v>
      </x:c>
      <x:c r="C542" s="29" t="str">
        <x:v>Health care and social assistance</x:v>
      </x:c>
      <x:c r="D542" s="2" t="str">
        <x:v>CES6562000001</x:v>
      </x:c>
      <x:c r="E542" s="20" t="n">
        <x:v>23277.5</x:v>
      </x:c>
      <x:c r="F542" s="7" t="b">
        <x:v>0</x:v>
      </x:c>
      <x:c r="G542" s="2" t="str">
        <x:v>2025Q2</x:v>
      </x:c>
      <x:c r="H542" s="2" t="str">
        <x:v>https://api.bls.gov/publicAPI/v2/timeseries/data/</x:v>
      </x:c>
    </x:row>
    <x:row r="543" ht="38" customHeight="1">
      <x:c r="A543" s="28" t="n">
        <x:v>45809</x:v>
      </x:c>
      <x:c r="B543" s="2" t="str">
        <x:v>71</x:v>
      </x:c>
      <x:c r="C543" s="29" t="str">
        <x:v>Arts, entertainment, and recreation</x:v>
      </x:c>
      <x:c r="D543" s="2" t="str">
        <x:v>CES7071000001</x:v>
      </x:c>
      <x:c r="E543" s="20" t="n">
        <x:v>2689.4</x:v>
      </x:c>
      <x:c r="F543" s="7" t="b">
        <x:v>0</x:v>
      </x:c>
      <x:c r="G543" s="2" t="str">
        <x:v>2025Q2</x:v>
      </x:c>
      <x:c r="H543" s="2" t="str">
        <x:v>https://api.bls.gov/publicAPI/v2/timeseries/data/</x:v>
      </x:c>
    </x:row>
    <x:row r="544" ht="38" customHeight="1">
      <x:c r="A544" s="28" t="n">
        <x:v>45809</x:v>
      </x:c>
      <x:c r="B544" s="2" t="str">
        <x:v>72</x:v>
      </x:c>
      <x:c r="C544" s="29" t="str">
        <x:v>Accommodation and food services</x:v>
      </x:c>
      <x:c r="D544" s="2" t="str">
        <x:v>CES7072000001</x:v>
      </x:c>
      <x:c r="E544" s="20" t="n">
        <x:v>14147.2</x:v>
      </x:c>
      <x:c r="F544" s="7" t="b">
        <x:v>0</x:v>
      </x:c>
      <x:c r="G544" s="2" t="str">
        <x:v>2025Q2</x:v>
      </x:c>
      <x:c r="H544" s="2" t="str">
        <x:v>https://api.bls.gov/publicAPI/v2/timeseries/data/</x:v>
      </x:c>
    </x:row>
    <x:row r="545" ht="38" customHeight="1">
      <x:c r="A545" s="28" t="n">
        <x:v>45809</x:v>
      </x:c>
      <x:c r="B545" s="2" t="str">
        <x:v>81</x:v>
      </x:c>
      <x:c r="C545" s="29" t="str">
        <x:v>Other services, except government</x:v>
      </x:c>
      <x:c r="D545" s="2" t="str">
        <x:v>CES8000000001</x:v>
      </x:c>
      <x:c r="E545" s="20" t="n">
        <x:v>5984</x:v>
      </x:c>
      <x:c r="F545" s="7" t="b">
        <x:v>0</x:v>
      </x:c>
      <x:c r="G545" s="2" t="str">
        <x:v>2025Q2</x:v>
      </x:c>
      <x:c r="H545" s="2" t="str">
        <x:v>https://api.bls.gov/publicAPI/v2/timeseries/data/</x:v>
      </x:c>
    </x:row>
    <x:row r="546" ht="38" customHeight="1">
      <x:c r="A546" s="28" t="n">
        <x:v>45839</x:v>
      </x:c>
      <x:c r="B546" s="2" t="str">
        <x:v>21</x:v>
      </x:c>
      <x:c r="C546" s="29" t="str">
        <x:v>Mining, quarrying, and oil and gas extraction</x:v>
      </x:c>
      <x:c r="D546" s="2" t="str">
        <x:v>CES1021000001</x:v>
      </x:c>
      <x:c r="E546" s="20" t="n">
        <x:v>570.2</x:v>
      </x:c>
      <x:c r="F546" s="7" t="b">
        <x:v>0</x:v>
      </x:c>
      <x:c r="G546" s="2" t="str">
        <x:v>2025Q3</x:v>
      </x:c>
      <x:c r="H546" s="2" t="str">
        <x:v>https://api.bls.gov/publicAPI/v2/timeseries/data/</x:v>
      </x:c>
    </x:row>
    <x:row r="547" ht="38" customHeight="1">
      <x:c r="A547" s="28" t="n">
        <x:v>45839</x:v>
      </x:c>
      <x:c r="B547" s="2" t="str">
        <x:v>22</x:v>
      </x:c>
      <x:c r="C547" s="29" t="str">
        <x:v>Utilities</x:v>
      </x:c>
      <x:c r="D547" s="2" t="str">
        <x:v>CES4422000001</x:v>
      </x:c>
      <x:c r="E547" s="20" t="n">
        <x:v>602.6</x:v>
      </x:c>
      <x:c r="F547" s="7" t="b">
        <x:v>0</x:v>
      </x:c>
      <x:c r="G547" s="2" t="str">
        <x:v>2025Q3</x:v>
      </x:c>
      <x:c r="H547" s="2" t="str">
        <x:v>https://api.bls.gov/publicAPI/v2/timeseries/data/</x:v>
      </x:c>
    </x:row>
    <x:row r="548" ht="38" customHeight="1">
      <x:c r="A548" s="28" t="n">
        <x:v>45839</x:v>
      </x:c>
      <x:c r="B548" s="2" t="str">
        <x:v>23</x:v>
      </x:c>
      <x:c r="C548" s="29" t="str">
        <x:v>Construction</x:v>
      </x:c>
      <x:c r="D548" s="2" t="str">
        <x:v>CES2000000001</x:v>
      </x:c>
      <x:c r="E548" s="20" t="n">
        <x:v>8261</x:v>
      </x:c>
      <x:c r="F548" s="7" t="b">
        <x:v>0</x:v>
      </x:c>
      <x:c r="G548" s="2" t="str">
        <x:v>2025Q3</x:v>
      </x:c>
      <x:c r="H548" s="2" t="str">
        <x:v>https://api.bls.gov/publicAPI/v2/timeseries/data/</x:v>
      </x:c>
    </x:row>
    <x:row r="549" ht="38" customHeight="1">
      <x:c r="A549" s="28" t="n">
        <x:v>45839</x:v>
      </x:c>
      <x:c r="B549" s="2" t="str">
        <x:v>31-33</x:v>
      </x:c>
      <x:c r="C549" s="29" t="str">
        <x:v>Manufacturing</x:v>
      </x:c>
      <x:c r="D549" s="2" t="str">
        <x:v>CES3000000001</x:v>
      </x:c>
      <x:c r="E549" s="20" t="n">
        <x:v>12625</x:v>
      </x:c>
      <x:c r="F549" s="7" t="b">
        <x:v>0</x:v>
      </x:c>
      <x:c r="G549" s="2" t="str">
        <x:v>2025Q3</x:v>
      </x:c>
      <x:c r="H549" s="2" t="str">
        <x:v>https://api.bls.gov/publicAPI/v2/timeseries/data/</x:v>
      </x:c>
    </x:row>
    <x:row r="550" ht="38" customHeight="1">
      <x:c r="A550" s="28" t="n">
        <x:v>45839</x:v>
      </x:c>
      <x:c r="B550" s="2" t="str">
        <x:v>42</x:v>
      </x:c>
      <x:c r="C550" s="29" t="str">
        <x:v>Wholesale trade</x:v>
      </x:c>
      <x:c r="D550" s="2" t="str">
        <x:v>CES4142000001</x:v>
      </x:c>
      <x:c r="E550" s="20" t="n">
        <x:v>6051.6</x:v>
      </x:c>
      <x:c r="F550" s="7" t="b">
        <x:v>0</x:v>
      </x:c>
      <x:c r="G550" s="2" t="str">
        <x:v>2025Q3</x:v>
      </x:c>
      <x:c r="H550" s="2" t="str">
        <x:v>https://api.bls.gov/publicAPI/v2/timeseries/data/</x:v>
      </x:c>
    </x:row>
    <x:row r="551" ht="38" customHeight="1">
      <x:c r="A551" s="28" t="n">
        <x:v>45839</x:v>
      </x:c>
      <x:c r="B551" s="2" t="str">
        <x:v>44-45</x:v>
      </x:c>
      <x:c r="C551" s="29" t="str">
        <x:v>Retail trade</x:v>
      </x:c>
      <x:c r="D551" s="2" t="str">
        <x:v>CES4200000001</x:v>
      </x:c>
      <x:c r="E551" s="20" t="n">
        <x:v>15430.2</x:v>
      </x:c>
      <x:c r="F551" s="7" t="b">
        <x:v>0</x:v>
      </x:c>
      <x:c r="G551" s="2" t="str">
        <x:v>2025Q3</x:v>
      </x:c>
      <x:c r="H551" s="2" t="str">
        <x:v>https://api.bls.gov/publicAPI/v2/timeseries/data/</x:v>
      </x:c>
    </x:row>
    <x:row r="552" ht="38" customHeight="1">
      <x:c r="A552" s="28" t="n">
        <x:v>45839</x:v>
      </x:c>
      <x:c r="B552" s="2" t="str">
        <x:v>48-49</x:v>
      </x:c>
      <x:c r="C552" s="29" t="str">
        <x:v>Transportation and warehousing</x:v>
      </x:c>
      <x:c r="D552" s="2" t="str">
        <x:v>CES4300000001</x:v>
      </x:c>
      <x:c r="E552" s="20" t="n">
        <x:v>6659.4</x:v>
      </x:c>
      <x:c r="F552" s="7" t="b">
        <x:v>0</x:v>
      </x:c>
      <x:c r="G552" s="2" t="str">
        <x:v>2025Q3</x:v>
      </x:c>
      <x:c r="H552" s="2" t="str">
        <x:v>https://api.bls.gov/publicAPI/v2/timeseries/data/</x:v>
      </x:c>
    </x:row>
    <x:row r="553" ht="38" customHeight="1">
      <x:c r="A553" s="28" t="n">
        <x:v>45839</x:v>
      </x:c>
      <x:c r="B553" s="2" t="str">
        <x:v>51</x:v>
      </x:c>
      <x:c r="C553" s="29" t="str">
        <x:v>Information</x:v>
      </x:c>
      <x:c r="D553" s="2" t="str">
        <x:v>CES5000000001</x:v>
      </x:c>
      <x:c r="E553" s="20" t="n">
        <x:v>2861</x:v>
      </x:c>
      <x:c r="F553" s="7" t="b">
        <x:v>0</x:v>
      </x:c>
      <x:c r="G553" s="2" t="str">
        <x:v>2025Q3</x:v>
      </x:c>
      <x:c r="H553" s="2" t="str">
        <x:v>https://api.bls.gov/publicAPI/v2/timeseries/data/</x:v>
      </x:c>
    </x:row>
    <x:row r="554" ht="38" customHeight="1">
      <x:c r="A554" s="28" t="n">
        <x:v>45839</x:v>
      </x:c>
      <x:c r="B554" s="2" t="str">
        <x:v>52</x:v>
      </x:c>
      <x:c r="C554" s="29" t="str">
        <x:v>Finance and insurance</x:v>
      </x:c>
      <x:c r="D554" s="2" t="str">
        <x:v>CES5552000001</x:v>
      </x:c>
      <x:c r="E554" s="20" t="n">
        <x:v>6747.3</x:v>
      </x:c>
      <x:c r="F554" s="7" t="b">
        <x:v>0</x:v>
      </x:c>
      <x:c r="G554" s="2" t="str">
        <x:v>2025Q3</x:v>
      </x:c>
      <x:c r="H554" s="2" t="str">
        <x:v>https://api.bls.gov/publicAPI/v2/timeseries/data/</x:v>
      </x:c>
    </x:row>
    <x:row r="555" ht="38" customHeight="1">
      <x:c r="A555" s="28" t="n">
        <x:v>45839</x:v>
      </x:c>
      <x:c r="B555" s="2" t="str">
        <x:v>53</x:v>
      </x:c>
      <x:c r="C555" s="29" t="str">
        <x:v>Real estate and rental and leasing</x:v>
      </x:c>
      <x:c r="D555" s="2" t="str">
        <x:v>CES5553000001</x:v>
      </x:c>
      <x:c r="E555" s="20" t="n">
        <x:v>2456.4</x:v>
      </x:c>
      <x:c r="F555" s="7" t="b">
        <x:v>0</x:v>
      </x:c>
      <x:c r="G555" s="2" t="str">
        <x:v>2025Q3</x:v>
      </x:c>
      <x:c r="H555" s="2" t="str">
        <x:v>https://api.bls.gov/publicAPI/v2/timeseries/data/</x:v>
      </x:c>
    </x:row>
    <x:row r="556" ht="38" customHeight="1">
      <x:c r="A556" s="28" t="n">
        <x:v>45839</x:v>
      </x:c>
      <x:c r="B556" s="2" t="str">
        <x:v>54</x:v>
      </x:c>
      <x:c r="C556" s="29" t="str">
        <x:v>Professional, scientific, and technical services</x:v>
      </x:c>
      <x:c r="D556" s="2" t="str">
        <x:v>CES6054000001</x:v>
      </x:c>
      <x:c r="E556" s="20" t="n">
        <x:v>10772.5</x:v>
      </x:c>
      <x:c r="F556" s="7" t="b">
        <x:v>0</x:v>
      </x:c>
      <x:c r="G556" s="2" t="str">
        <x:v>2025Q3</x:v>
      </x:c>
      <x:c r="H556" s="2" t="str">
        <x:v>https://api.bls.gov/publicAPI/v2/timeseries/data/</x:v>
      </x:c>
    </x:row>
    <x:row r="557" ht="38" customHeight="1">
      <x:c r="A557" s="28" t="n">
        <x:v>45839</x:v>
      </x:c>
      <x:c r="B557" s="2" t="str">
        <x:v>55</x:v>
      </x:c>
      <x:c r="C557" s="29" t="str">
        <x:v>Management of companies and enterprises</x:v>
      </x:c>
      <x:c r="D557" s="2" t="str">
        <x:v>CES6055000001</x:v>
      </x:c>
      <x:c r="E557" s="20" t="n">
        <x:v>2625.1</x:v>
      </x:c>
      <x:c r="F557" s="7" t="b">
        <x:v>0</x:v>
      </x:c>
      <x:c r="G557" s="2" t="str">
        <x:v>2025Q3</x:v>
      </x:c>
      <x:c r="H557" s="2" t="str">
        <x:v>https://api.bls.gov/publicAPI/v2/timeseries/data/</x:v>
      </x:c>
    </x:row>
    <x:row r="558" ht="38" customHeight="1">
      <x:c r="A558" s="28" t="n">
        <x:v>45839</x:v>
      </x:c>
      <x:c r="B558" s="2" t="str">
        <x:v>56</x:v>
      </x:c>
      <x:c r="C558" s="29" t="str">
        <x:v>Administrative, support, and waste services</x:v>
      </x:c>
      <x:c r="D558" s="2" t="str">
        <x:v>CES6056000001</x:v>
      </x:c>
      <x:c r="E558" s="20" t="n">
        <x:v>9004.9</x:v>
      </x:c>
      <x:c r="F558" s="7" t="b">
        <x:v>0</x:v>
      </x:c>
      <x:c r="G558" s="2" t="str">
        <x:v>2025Q3</x:v>
      </x:c>
      <x:c r="H558" s="2" t="str">
        <x:v>https://api.bls.gov/publicAPI/v2/timeseries/data/</x:v>
      </x:c>
    </x:row>
    <x:row r="559" ht="38" customHeight="1">
      <x:c r="A559" s="28" t="n">
        <x:v>45839</x:v>
      </x:c>
      <x:c r="B559" s="2" t="str">
        <x:v>61</x:v>
      </x:c>
      <x:c r="C559" s="29" t="str">
        <x:v>Private educational services</x:v>
      </x:c>
      <x:c r="D559" s="2" t="str">
        <x:v>CES6561000001</x:v>
      </x:c>
      <x:c r="E559" s="20" t="n">
        <x:v>4052</x:v>
      </x:c>
      <x:c r="F559" s="7" t="b">
        <x:v>0</x:v>
      </x:c>
      <x:c r="G559" s="2" t="str">
        <x:v>2025Q3</x:v>
      </x:c>
      <x:c r="H559" s="2" t="str">
        <x:v>https://api.bls.gov/publicAPI/v2/timeseries/data/</x:v>
      </x:c>
    </x:row>
    <x:row r="560" ht="38" customHeight="1">
      <x:c r="A560" s="28" t="n">
        <x:v>45839</x:v>
      </x:c>
      <x:c r="B560" s="2" t="str">
        <x:v>62</x:v>
      </x:c>
      <x:c r="C560" s="29" t="str">
        <x:v>Health care and social assistance</x:v>
      </x:c>
      <x:c r="D560" s="2" t="str">
        <x:v>CES6562000001</x:v>
      </x:c>
      <x:c r="E560" s="20" t="n">
        <x:v>23360.1</x:v>
      </x:c>
      <x:c r="F560" s="7" t="b">
        <x:v>0</x:v>
      </x:c>
      <x:c r="G560" s="2" t="str">
        <x:v>2025Q3</x:v>
      </x:c>
      <x:c r="H560" s="2" t="str">
        <x:v>https://api.bls.gov/publicAPI/v2/timeseries/data/</x:v>
      </x:c>
    </x:row>
    <x:row r="561" ht="38" customHeight="1">
      <x:c r="A561" s="28" t="n">
        <x:v>45839</x:v>
      </x:c>
      <x:c r="B561" s="2" t="str">
        <x:v>71</x:v>
      </x:c>
      <x:c r="C561" s="29" t="str">
        <x:v>Arts, entertainment, and recreation</x:v>
      </x:c>
      <x:c r="D561" s="2" t="str">
        <x:v>CES7071000001</x:v>
      </x:c>
      <x:c r="E561" s="20" t="n">
        <x:v>2695.7</x:v>
      </x:c>
      <x:c r="F561" s="7" t="b">
        <x:v>0</x:v>
      </x:c>
      <x:c r="G561" s="2" t="str">
        <x:v>2025Q3</x:v>
      </x:c>
      <x:c r="H561" s="2" t="str">
        <x:v>https://api.bls.gov/publicAPI/v2/timeseries/data/</x:v>
      </x:c>
    </x:row>
    <x:row r="562" ht="38" customHeight="1">
      <x:c r="A562" s="28" t="n">
        <x:v>45839</x:v>
      </x:c>
      <x:c r="B562" s="2" t="str">
        <x:v>72</x:v>
      </x:c>
      <x:c r="C562" s="29" t="str">
        <x:v>Accommodation and food services</x:v>
      </x:c>
      <x:c r="D562" s="2" t="str">
        <x:v>CES7072000001</x:v>
      </x:c>
      <x:c r="E562" s="20" t="n">
        <x:v>14151.9</x:v>
      </x:c>
      <x:c r="F562" s="7" t="b">
        <x:v>0</x:v>
      </x:c>
      <x:c r="G562" s="2" t="str">
        <x:v>2025Q3</x:v>
      </x:c>
      <x:c r="H562" s="2" t="str">
        <x:v>https://api.bls.gov/publicAPI/v2/timeseries/data/</x:v>
      </x:c>
    </x:row>
    <x:row r="563" ht="38" customHeight="1">
      <x:c r="A563" s="28" t="n">
        <x:v>45839</x:v>
      </x:c>
      <x:c r="B563" s="2" t="str">
        <x:v>81</x:v>
      </x:c>
      <x:c r="C563" s="29" t="str">
        <x:v>Other services, except government</x:v>
      </x:c>
      <x:c r="D563" s="2" t="str">
        <x:v>CES8000000001</x:v>
      </x:c>
      <x:c r="E563" s="20" t="n">
        <x:v>5989</x:v>
      </x:c>
      <x:c r="F563" s="7" t="b">
        <x:v>0</x:v>
      </x:c>
      <x:c r="G563" s="2" t="str">
        <x:v>2025Q3</x:v>
      </x:c>
      <x:c r="H563" s="2" t="str">
        <x:v>https://api.bls.gov/publicAPI/v2/timeseries/data/</x:v>
      </x:c>
    </x:row>
    <x:row r="564" ht="38" customHeight="1">
      <x:c r="A564" s="28" t="n">
        <x:v>45870</x:v>
      </x:c>
      <x:c r="B564" s="2" t="str">
        <x:v>21</x:v>
      </x:c>
      <x:c r="C564" s="29" t="str">
        <x:v>Mining, quarrying, and oil and gas extraction</x:v>
      </x:c>
      <x:c r="D564" s="2" t="str">
        <x:v>CES1021000001</x:v>
      </x:c>
      <x:c r="E564" s="20" t="n">
        <x:v>567.8</x:v>
      </x:c>
      <x:c r="F564" s="7" t="b">
        <x:v>0</x:v>
      </x:c>
      <x:c r="G564" s="2" t="str">
        <x:v>2025Q3</x:v>
      </x:c>
      <x:c r="H564" s="2" t="str">
        <x:v>https://api.bls.gov/publicAPI/v2/timeseries/data/</x:v>
      </x:c>
    </x:row>
    <x:row r="565" ht="38" customHeight="1">
      <x:c r="A565" s="28" t="n">
        <x:v>45870</x:v>
      </x:c>
      <x:c r="B565" s="2" t="str">
        <x:v>22</x:v>
      </x:c>
      <x:c r="C565" s="29" t="str">
        <x:v>Utilities</x:v>
      </x:c>
      <x:c r="D565" s="2" t="str">
        <x:v>CES4422000001</x:v>
      </x:c>
      <x:c r="E565" s="20" t="n">
        <x:v>601.4</x:v>
      </x:c>
      <x:c r="F565" s="7" t="b">
        <x:v>0</x:v>
      </x:c>
      <x:c r="G565" s="2" t="str">
        <x:v>2025Q3</x:v>
      </x:c>
      <x:c r="H565" s="2" t="str">
        <x:v>https://api.bls.gov/publicAPI/v2/timeseries/data/</x:v>
      </x:c>
    </x:row>
    <x:row r="566" ht="38" customHeight="1">
      <x:c r="A566" s="28" t="n">
        <x:v>45870</x:v>
      </x:c>
      <x:c r="B566" s="2" t="str">
        <x:v>23</x:v>
      </x:c>
      <x:c r="C566" s="29" t="str">
        <x:v>Construction</x:v>
      </x:c>
      <x:c r="D566" s="2" t="str">
        <x:v>CES2000000001</x:v>
      </x:c>
      <x:c r="E566" s="20" t="n">
        <x:v>8239</x:v>
      </x:c>
      <x:c r="F566" s="7" t="b">
        <x:v>0</x:v>
      </x:c>
      <x:c r="G566" s="2" t="str">
        <x:v>2025Q3</x:v>
      </x:c>
      <x:c r="H566" s="2" t="str">
        <x:v>https://api.bls.gov/publicAPI/v2/timeseries/data/</x:v>
      </x:c>
    </x:row>
    <x:row r="567" ht="38" customHeight="1">
      <x:c r="A567" s="28" t="n">
        <x:v>45870</x:v>
      </x:c>
      <x:c r="B567" s="2" t="str">
        <x:v>31-33</x:v>
      </x:c>
      <x:c r="C567" s="29" t="str">
        <x:v>Manufacturing</x:v>
      </x:c>
      <x:c r="D567" s="2" t="str">
        <x:v>CES3000000001</x:v>
      </x:c>
      <x:c r="E567" s="20" t="n">
        <x:v>12615</x:v>
      </x:c>
      <x:c r="F567" s="7" t="b">
        <x:v>0</x:v>
      </x:c>
      <x:c r="G567" s="2" t="str">
        <x:v>2025Q3</x:v>
      </x:c>
      <x:c r="H567" s="2" t="str">
        <x:v>https://api.bls.gov/publicAPI/v2/timeseries/data/</x:v>
      </x:c>
    </x:row>
    <x:row r="568" ht="38" customHeight="1">
      <x:c r="A568" s="28" t="n">
        <x:v>45870</x:v>
      </x:c>
      <x:c r="B568" s="2" t="str">
        <x:v>42</x:v>
      </x:c>
      <x:c r="C568" s="29" t="str">
        <x:v>Wholesale trade</x:v>
      </x:c>
      <x:c r="D568" s="2" t="str">
        <x:v>CES4142000001</x:v>
      </x:c>
      <x:c r="E568" s="20" t="n">
        <x:v>6043</x:v>
      </x:c>
      <x:c r="F568" s="7" t="b">
        <x:v>0</x:v>
      </x:c>
      <x:c r="G568" s="2" t="str">
        <x:v>2025Q3</x:v>
      </x:c>
      <x:c r="H568" s="2" t="str">
        <x:v>https://api.bls.gov/publicAPI/v2/timeseries/data/</x:v>
      </x:c>
    </x:row>
    <x:row r="569" ht="38" customHeight="1">
      <x:c r="A569" s="28" t="n">
        <x:v>45870</x:v>
      </x:c>
      <x:c r="B569" s="2" t="str">
        <x:v>44-45</x:v>
      </x:c>
      <x:c r="C569" s="29" t="str">
        <x:v>Retail trade</x:v>
      </x:c>
      <x:c r="D569" s="2" t="str">
        <x:v>CES4200000001</x:v>
      </x:c>
      <x:c r="E569" s="20" t="n">
        <x:v>15440.3</x:v>
      </x:c>
      <x:c r="F569" s="7" t="b">
        <x:v>0</x:v>
      </x:c>
      <x:c r="G569" s="2" t="str">
        <x:v>2025Q3</x:v>
      </x:c>
      <x:c r="H569" s="2" t="str">
        <x:v>https://api.bls.gov/publicAPI/v2/timeseries/data/</x:v>
      </x:c>
    </x:row>
    <x:row r="570" ht="38" customHeight="1">
      <x:c r="A570" s="28" t="n">
        <x:v>45870</x:v>
      </x:c>
      <x:c r="B570" s="2" t="str">
        <x:v>48-49</x:v>
      </x:c>
      <x:c r="C570" s="29" t="str">
        <x:v>Transportation and warehousing</x:v>
      </x:c>
      <x:c r="D570" s="2" t="str">
        <x:v>CES4300000001</x:v>
      </x:c>
      <x:c r="E570" s="20" t="n">
        <x:v>6657.8</x:v>
      </x:c>
      <x:c r="F570" s="7" t="b">
        <x:v>0</x:v>
      </x:c>
      <x:c r="G570" s="2" t="str">
        <x:v>2025Q3</x:v>
      </x:c>
      <x:c r="H570" s="2" t="str">
        <x:v>https://api.bls.gov/publicAPI/v2/timeseries/data/</x:v>
      </x:c>
    </x:row>
    <x:row r="571" ht="38" customHeight="1">
      <x:c r="A571" s="28" t="n">
        <x:v>45870</x:v>
      </x:c>
      <x:c r="B571" s="2" t="str">
        <x:v>51</x:v>
      </x:c>
      <x:c r="C571" s="29" t="str">
        <x:v>Information</x:v>
      </x:c>
      <x:c r="D571" s="2" t="str">
        <x:v>CES5000000001</x:v>
      </x:c>
      <x:c r="E571" s="20" t="n">
        <x:v>2860</x:v>
      </x:c>
      <x:c r="F571" s="7" t="b">
        <x:v>0</x:v>
      </x:c>
      <x:c r="G571" s="2" t="str">
        <x:v>2025Q3</x:v>
      </x:c>
      <x:c r="H571" s="2" t="str">
        <x:v>https://api.bls.gov/publicAPI/v2/timeseries/data/</x:v>
      </x:c>
    </x:row>
    <x:row r="572" ht="38" customHeight="1">
      <x:c r="A572" s="28" t="n">
        <x:v>45870</x:v>
      </x:c>
      <x:c r="B572" s="2" t="str">
        <x:v>52</x:v>
      </x:c>
      <x:c r="C572" s="29" t="str">
        <x:v>Finance and insurance</x:v>
      </x:c>
      <x:c r="D572" s="2" t="str">
        <x:v>CES5552000001</x:v>
      </x:c>
      <x:c r="E572" s="20" t="n">
        <x:v>6733.4</x:v>
      </x:c>
      <x:c r="F572" s="7" t="b">
        <x:v>0</x:v>
      </x:c>
      <x:c r="G572" s="2" t="str">
        <x:v>2025Q3</x:v>
      </x:c>
      <x:c r="H572" s="2" t="str">
        <x:v>https://api.bls.gov/publicAPI/v2/timeseries/data/</x:v>
      </x:c>
    </x:row>
    <x:row r="573" ht="38" customHeight="1">
      <x:c r="A573" s="28" t="n">
        <x:v>45870</x:v>
      </x:c>
      <x:c r="B573" s="2" t="str">
        <x:v>53</x:v>
      </x:c>
      <x:c r="C573" s="29" t="str">
        <x:v>Real estate and rental and leasing</x:v>
      </x:c>
      <x:c r="D573" s="2" t="str">
        <x:v>CES5553000001</x:v>
      </x:c>
      <x:c r="E573" s="20" t="n">
        <x:v>2451.5</x:v>
      </x:c>
      <x:c r="F573" s="7" t="b">
        <x:v>0</x:v>
      </x:c>
      <x:c r="G573" s="2" t="str">
        <x:v>2025Q3</x:v>
      </x:c>
      <x:c r="H573" s="2" t="str">
        <x:v>https://api.bls.gov/publicAPI/v2/timeseries/data/</x:v>
      </x:c>
    </x:row>
    <x:row r="574" ht="38" customHeight="1">
      <x:c r="A574" s="28" t="n">
        <x:v>45870</x:v>
      </x:c>
      <x:c r="B574" s="2" t="str">
        <x:v>54</x:v>
      </x:c>
      <x:c r="C574" s="29" t="str">
        <x:v>Professional, scientific, and technical services</x:v>
      </x:c>
      <x:c r="D574" s="2" t="str">
        <x:v>CES6054000001</x:v>
      </x:c>
      <x:c r="E574" s="20" t="n">
        <x:v>10765.7</x:v>
      </x:c>
      <x:c r="F574" s="7" t="b">
        <x:v>0</x:v>
      </x:c>
      <x:c r="G574" s="2" t="str">
        <x:v>2025Q3</x:v>
      </x:c>
      <x:c r="H574" s="2" t="str">
        <x:v>https://api.bls.gov/publicAPI/v2/timeseries/data/</x:v>
      </x:c>
    </x:row>
    <x:row r="575" ht="38" customHeight="1">
      <x:c r="A575" s="28" t="n">
        <x:v>45870</x:v>
      </x:c>
      <x:c r="B575" s="2" t="str">
        <x:v>55</x:v>
      </x:c>
      <x:c r="C575" s="29" t="str">
        <x:v>Management of companies and enterprises</x:v>
      </x:c>
      <x:c r="D575" s="2" t="str">
        <x:v>CES6055000001</x:v>
      </x:c>
      <x:c r="E575" s="20" t="n">
        <x:v>2625.8</x:v>
      </x:c>
      <x:c r="F575" s="7" t="b">
        <x:v>0</x:v>
      </x:c>
      <x:c r="G575" s="2" t="str">
        <x:v>2025Q3</x:v>
      </x:c>
      <x:c r="H575" s="2" t="str">
        <x:v>https://api.bls.gov/publicAPI/v2/timeseries/data/</x:v>
      </x:c>
    </x:row>
    <x:row r="576" ht="38" customHeight="1">
      <x:c r="A576" s="28" t="n">
        <x:v>45870</x:v>
      </x:c>
      <x:c r="B576" s="2" t="str">
        <x:v>56</x:v>
      </x:c>
      <x:c r="C576" s="29" t="str">
        <x:v>Administrative, support, and waste services</x:v>
      </x:c>
      <x:c r="D576" s="2" t="str">
        <x:v>CES6056000001</x:v>
      </x:c>
      <x:c r="E576" s="20" t="n">
        <x:v>8983.3</x:v>
      </x:c>
      <x:c r="F576" s="7" t="b">
        <x:v>0</x:v>
      </x:c>
      <x:c r="G576" s="2" t="str">
        <x:v>2025Q3</x:v>
      </x:c>
      <x:c r="H576" s="2" t="str">
        <x:v>https://api.bls.gov/publicAPI/v2/timeseries/data/</x:v>
      </x:c>
    </x:row>
    <x:row r="577" ht="38" customHeight="1">
      <x:c r="A577" s="28" t="n">
        <x:v>45870</x:v>
      </x:c>
      <x:c r="B577" s="2" t="str">
        <x:v>61</x:v>
      </x:c>
      <x:c r="C577" s="29" t="str">
        <x:v>Private educational services</x:v>
      </x:c>
      <x:c r="D577" s="2" t="str">
        <x:v>CES6561000001</x:v>
      </x:c>
      <x:c r="E577" s="20" t="n">
        <x:v>4052.2</x:v>
      </x:c>
      <x:c r="F577" s="7" t="b">
        <x:v>0</x:v>
      </x:c>
      <x:c r="G577" s="2" t="str">
        <x:v>2025Q3</x:v>
      </x:c>
      <x:c r="H577" s="2" t="str">
        <x:v>https://api.bls.gov/publicAPI/v2/timeseries/data/</x:v>
      </x:c>
    </x:row>
    <x:row r="578" ht="38" customHeight="1">
      <x:c r="A578" s="28" t="n">
        <x:v>45870</x:v>
      </x:c>
      <x:c r="B578" s="2" t="str">
        <x:v>62</x:v>
      </x:c>
      <x:c r="C578" s="29" t="str">
        <x:v>Health care and social assistance</x:v>
      </x:c>
      <x:c r="D578" s="2" t="str">
        <x:v>CES6562000001</x:v>
      </x:c>
      <x:c r="E578" s="20" t="n">
        <x:v>23382.9</x:v>
      </x:c>
      <x:c r="F578" s="7" t="b">
        <x:v>0</x:v>
      </x:c>
      <x:c r="G578" s="2" t="str">
        <x:v>2025Q3</x:v>
      </x:c>
      <x:c r="H578" s="2" t="str">
        <x:v>https://api.bls.gov/publicAPI/v2/timeseries/data/</x:v>
      </x:c>
    </x:row>
    <x:row r="579" ht="38" customHeight="1">
      <x:c r="A579" s="28" t="n">
        <x:v>45870</x:v>
      </x:c>
      <x:c r="B579" s="2" t="str">
        <x:v>71</x:v>
      </x:c>
      <x:c r="C579" s="29" t="str">
        <x:v>Arts, entertainment, and recreation</x:v>
      </x:c>
      <x:c r="D579" s="2" t="str">
        <x:v>CES7071000001</x:v>
      </x:c>
      <x:c r="E579" s="20" t="n">
        <x:v>2701.2</x:v>
      </x:c>
      <x:c r="F579" s="7" t="b">
        <x:v>0</x:v>
      </x:c>
      <x:c r="G579" s="2" t="str">
        <x:v>2025Q3</x:v>
      </x:c>
      <x:c r="H579" s="2" t="str">
        <x:v>https://api.bls.gov/publicAPI/v2/timeseries/data/</x:v>
      </x:c>
    </x:row>
    <x:row r="580" ht="38" customHeight="1">
      <x:c r="A580" s="28" t="n">
        <x:v>45870</x:v>
      </x:c>
      <x:c r="B580" s="2" t="str">
        <x:v>72</x:v>
      </x:c>
      <x:c r="C580" s="29" t="str">
        <x:v>Accommodation and food services</x:v>
      </x:c>
      <x:c r="D580" s="2" t="str">
        <x:v>CES7072000001</x:v>
      </x:c>
      <x:c r="E580" s="20" t="n">
        <x:v>14168.3</x:v>
      </x:c>
      <x:c r="F580" s="7" t="b">
        <x:v>0</x:v>
      </x:c>
      <x:c r="G580" s="2" t="str">
        <x:v>2025Q3</x:v>
      </x:c>
      <x:c r="H580" s="2" t="str">
        <x:v>https://api.bls.gov/publicAPI/v2/timeseries/data/</x:v>
      </x:c>
    </x:row>
    <x:row r="581" ht="38" customHeight="1">
      <x:c r="A581" s="28" t="n">
        <x:v>45870</x:v>
      </x:c>
      <x:c r="B581" s="2" t="str">
        <x:v>81</x:v>
      </x:c>
      <x:c r="C581" s="29" t="str">
        <x:v>Other services, except government</x:v>
      </x:c>
      <x:c r="D581" s="2" t="str">
        <x:v>CES8000000001</x:v>
      </x:c>
      <x:c r="E581" s="20" t="n">
        <x:v>6008</x:v>
      </x:c>
      <x:c r="F581" s="7" t="b">
        <x:v>0</x:v>
      </x:c>
      <x:c r="G581" s="2" t="str">
        <x:v>2025Q3</x:v>
      </x:c>
      <x:c r="H581" s="2" t="str">
        <x:v>https://api.bls.gov/publicAPI/v2/timeseries/data/</x:v>
      </x:c>
    </x:row>
    <x:row r="582" ht="38" customHeight="1">
      <x:c r="A582" s="28" t="n">
        <x:v>45901</x:v>
      </x:c>
      <x:c r="B582" s="2" t="str">
        <x:v>21</x:v>
      </x:c>
      <x:c r="C582" s="29" t="str">
        <x:v>Mining, quarrying, and oil and gas extraction</x:v>
      </x:c>
      <x:c r="D582" s="2" t="str">
        <x:v>CES1021000001</x:v>
      </x:c>
      <x:c r="E582" s="20" t="n">
        <x:v>566.1</x:v>
      </x:c>
      <x:c r="F582" s="7" t="b">
        <x:v>0</x:v>
      </x:c>
      <x:c r="G582" s="2" t="str">
        <x:v>2025Q3</x:v>
      </x:c>
      <x:c r="H582" s="2" t="str">
        <x:v>https://api.bls.gov/publicAPI/v2/timeseries/data/</x:v>
      </x:c>
    </x:row>
    <x:row r="583" ht="38" customHeight="1">
      <x:c r="A583" s="28" t="n">
        <x:v>45901</x:v>
      </x:c>
      <x:c r="B583" s="2" t="str">
        <x:v>22</x:v>
      </x:c>
      <x:c r="C583" s="29" t="str">
        <x:v>Utilities</x:v>
      </x:c>
      <x:c r="D583" s="2" t="str">
        <x:v>CES4422000001</x:v>
      </x:c>
      <x:c r="E583" s="20" t="n">
        <x:v>601.4</x:v>
      </x:c>
      <x:c r="F583" s="7" t="b">
        <x:v>0</x:v>
      </x:c>
      <x:c r="G583" s="2" t="str">
        <x:v>2025Q3</x:v>
      </x:c>
      <x:c r="H583" s="2" t="str">
        <x:v>https://api.bls.gov/publicAPI/v2/timeseries/data/</x:v>
      </x:c>
    </x:row>
    <x:row r="584" ht="38" customHeight="1">
      <x:c r="A584" s="28" t="n">
        <x:v>45901</x:v>
      </x:c>
      <x:c r="B584" s="2" t="str">
        <x:v>23</x:v>
      </x:c>
      <x:c r="C584" s="29" t="str">
        <x:v>Construction</x:v>
      </x:c>
      <x:c r="D584" s="2" t="str">
        <x:v>CES2000000001</x:v>
      </x:c>
      <x:c r="E584" s="20" t="n">
        <x:v>8255</x:v>
      </x:c>
      <x:c r="F584" s="7" t="b">
        <x:v>0</x:v>
      </x:c>
      <x:c r="G584" s="2" t="str">
        <x:v>2025Q3</x:v>
      </x:c>
      <x:c r="H584" s="2" t="str">
        <x:v>https://api.bls.gov/publicAPI/v2/timeseries/data/</x:v>
      </x:c>
    </x:row>
    <x:row r="585" ht="38" customHeight="1">
      <x:c r="A585" s="28" t="n">
        <x:v>45901</x:v>
      </x:c>
      <x:c r="B585" s="2" t="str">
        <x:v>31-33</x:v>
      </x:c>
      <x:c r="C585" s="29" t="str">
        <x:v>Manufacturing</x:v>
      </x:c>
      <x:c r="D585" s="2" t="str">
        <x:v>CES3000000001</x:v>
      </x:c>
      <x:c r="E585" s="20" t="n">
        <x:v>12612</x:v>
      </x:c>
      <x:c r="F585" s="7" t="b">
        <x:v>0</x:v>
      </x:c>
      <x:c r="G585" s="2" t="str">
        <x:v>2025Q3</x:v>
      </x:c>
      <x:c r="H585" s="2" t="str">
        <x:v>https://api.bls.gov/publicAPI/v2/timeseries/data/</x:v>
      </x:c>
    </x:row>
    <x:row r="586" ht="38" customHeight="1">
      <x:c r="A586" s="28" t="n">
        <x:v>45901</x:v>
      </x:c>
      <x:c r="B586" s="2" t="str">
        <x:v>42</x:v>
      </x:c>
      <x:c r="C586" s="29" t="str">
        <x:v>Wholesale trade</x:v>
      </x:c>
      <x:c r="D586" s="2" t="str">
        <x:v>CES4142000001</x:v>
      </x:c>
      <x:c r="E586" s="20" t="n">
        <x:v>6051.8</x:v>
      </x:c>
      <x:c r="F586" s="7" t="b">
        <x:v>0</x:v>
      </x:c>
      <x:c r="G586" s="2" t="str">
        <x:v>2025Q3</x:v>
      </x:c>
      <x:c r="H586" s="2" t="str">
        <x:v>https://api.bls.gov/publicAPI/v2/timeseries/data/</x:v>
      </x:c>
    </x:row>
    <x:row r="587" ht="38" customHeight="1">
      <x:c r="A587" s="28" t="n">
        <x:v>45901</x:v>
      </x:c>
      <x:c r="B587" s="2" t="str">
        <x:v>44-45</x:v>
      </x:c>
      <x:c r="C587" s="29" t="str">
        <x:v>Retail trade</x:v>
      </x:c>
      <x:c r="D587" s="2" t="str">
        <x:v>CES4200000001</x:v>
      </x:c>
      <x:c r="E587" s="20" t="n">
        <x:v>15453.4</x:v>
      </x:c>
      <x:c r="F587" s="7" t="b">
        <x:v>0</x:v>
      </x:c>
      <x:c r="G587" s="2" t="str">
        <x:v>2025Q3</x:v>
      </x:c>
      <x:c r="H587" s="2" t="str">
        <x:v>https://api.bls.gov/publicAPI/v2/timeseries/data/</x:v>
      </x:c>
    </x:row>
    <x:row r="588" ht="38" customHeight="1">
      <x:c r="A588" s="28" t="n">
        <x:v>45901</x:v>
      </x:c>
      <x:c r="B588" s="2" t="str">
        <x:v>48-49</x:v>
      </x:c>
      <x:c r="C588" s="29" t="str">
        <x:v>Transportation and warehousing</x:v>
      </x:c>
      <x:c r="D588" s="2" t="str">
        <x:v>CES4300000001</x:v>
      </x:c>
      <x:c r="E588" s="20" t="n">
        <x:v>6618.5</x:v>
      </x:c>
      <x:c r="F588" s="7" t="b">
        <x:v>0</x:v>
      </x:c>
      <x:c r="G588" s="2" t="str">
        <x:v>2025Q3</x:v>
      </x:c>
      <x:c r="H588" s="2" t="str">
        <x:v>https://api.bls.gov/publicAPI/v2/timeseries/data/</x:v>
      </x:c>
    </x:row>
    <x:row r="589" ht="38" customHeight="1">
      <x:c r="A589" s="28" t="n">
        <x:v>45901</x:v>
      </x:c>
      <x:c r="B589" s="2" t="str">
        <x:v>51</x:v>
      </x:c>
      <x:c r="C589" s="29" t="str">
        <x:v>Information</x:v>
      </x:c>
      <x:c r="D589" s="2" t="str">
        <x:v>CES5000000001</x:v>
      </x:c>
      <x:c r="E589" s="20" t="n">
        <x:v>2859</x:v>
      </x:c>
      <x:c r="F589" s="7" t="b">
        <x:v>0</x:v>
      </x:c>
      <x:c r="G589" s="2" t="str">
        <x:v>2025Q3</x:v>
      </x:c>
      <x:c r="H589" s="2" t="str">
        <x:v>https://api.bls.gov/publicAPI/v2/timeseries/data/</x:v>
      </x:c>
    </x:row>
    <x:row r="590" ht="38" customHeight="1">
      <x:c r="A590" s="28" t="n">
        <x:v>45901</x:v>
      </x:c>
      <x:c r="B590" s="2" t="str">
        <x:v>52</x:v>
      </x:c>
      <x:c r="C590" s="29" t="str">
        <x:v>Finance and insurance</x:v>
      </x:c>
      <x:c r="D590" s="2" t="str">
        <x:v>CES5552000001</x:v>
      </x:c>
      <x:c r="E590" s="20" t="n">
        <x:v>6737.9</x:v>
      </x:c>
      <x:c r="F590" s="7" t="b">
        <x:v>0</x:v>
      </x:c>
      <x:c r="G590" s="2" t="str">
        <x:v>2025Q3</x:v>
      </x:c>
      <x:c r="H590" s="2" t="str">
        <x:v>https://api.bls.gov/publicAPI/v2/timeseries/data/</x:v>
      </x:c>
    </x:row>
    <x:row r="591" ht="38" customHeight="1">
      <x:c r="A591" s="28" t="n">
        <x:v>45901</x:v>
      </x:c>
      <x:c r="B591" s="2" t="str">
        <x:v>53</x:v>
      </x:c>
      <x:c r="C591" s="29" t="str">
        <x:v>Real estate and rental and leasing</x:v>
      </x:c>
      <x:c r="D591" s="2" t="str">
        <x:v>CES5553000001</x:v>
      </x:c>
      <x:c r="E591" s="20" t="n">
        <x:v>2451.3</x:v>
      </x:c>
      <x:c r="F591" s="7" t="b">
        <x:v>0</x:v>
      </x:c>
      <x:c r="G591" s="2" t="str">
        <x:v>2025Q3</x:v>
      </x:c>
      <x:c r="H591" s="2" t="str">
        <x:v>https://api.bls.gov/publicAPI/v2/timeseries/data/</x:v>
      </x:c>
    </x:row>
    <x:row r="592" ht="38" customHeight="1">
      <x:c r="A592" s="28" t="n">
        <x:v>45901</x:v>
      </x:c>
      <x:c r="B592" s="2" t="str">
        <x:v>54</x:v>
      </x:c>
      <x:c r="C592" s="29" t="str">
        <x:v>Professional, scientific, and technical services</x:v>
      </x:c>
      <x:c r="D592" s="2" t="str">
        <x:v>CES6054000001</x:v>
      </x:c>
      <x:c r="E592" s="20" t="n">
        <x:v>10760.6</x:v>
      </x:c>
      <x:c r="F592" s="7" t="b">
        <x:v>0</x:v>
      </x:c>
      <x:c r="G592" s="2" t="str">
        <x:v>2025Q3</x:v>
      </x:c>
      <x:c r="H592" s="2" t="str">
        <x:v>https://api.bls.gov/publicAPI/v2/timeseries/data/</x:v>
      </x:c>
    </x:row>
    <x:row r="593" ht="38" customHeight="1">
      <x:c r="A593" s="28" t="n">
        <x:v>45901</x:v>
      </x:c>
      <x:c r="B593" s="2" t="str">
        <x:v>55</x:v>
      </x:c>
      <x:c r="C593" s="29" t="str">
        <x:v>Management of companies and enterprises</x:v>
      </x:c>
      <x:c r="D593" s="2" t="str">
        <x:v>CES6055000001</x:v>
      </x:c>
      <x:c r="E593" s="20" t="n">
        <x:v>2627.8</x:v>
      </x:c>
      <x:c r="F593" s="7" t="b">
        <x:v>0</x:v>
      </x:c>
      <x:c r="G593" s="2" t="str">
        <x:v>2025Q3</x:v>
      </x:c>
      <x:c r="H593" s="2" t="str">
        <x:v>https://api.bls.gov/publicAPI/v2/timeseries/data/</x:v>
      </x:c>
    </x:row>
    <x:row r="594" ht="38" customHeight="1">
      <x:c r="A594" s="28" t="n">
        <x:v>45901</x:v>
      </x:c>
      <x:c r="B594" s="2" t="str">
        <x:v>56</x:v>
      </x:c>
      <x:c r="C594" s="29" t="str">
        <x:v>Administrative, support, and waste services</x:v>
      </x:c>
      <x:c r="D594" s="2" t="str">
        <x:v>CES6056000001</x:v>
      </x:c>
      <x:c r="E594" s="20" t="n">
        <x:v>8970.1</x:v>
      </x:c>
      <x:c r="F594" s="7" t="b">
        <x:v>0</x:v>
      </x:c>
      <x:c r="G594" s="2" t="str">
        <x:v>2025Q3</x:v>
      </x:c>
      <x:c r="H594" s="2" t="str">
        <x:v>https://api.bls.gov/publicAPI/v2/timeseries/data/</x:v>
      </x:c>
    </x:row>
    <x:row r="595" ht="38" customHeight="1">
      <x:c r="A595" s="28" t="n">
        <x:v>45901</x:v>
      </x:c>
      <x:c r="B595" s="2" t="str">
        <x:v>61</x:v>
      </x:c>
      <x:c r="C595" s="29" t="str">
        <x:v>Private educational services</x:v>
      </x:c>
      <x:c r="D595" s="2" t="str">
        <x:v>CES6561000001</x:v>
      </x:c>
      <x:c r="E595" s="20" t="n">
        <x:v>4050.3</x:v>
      </x:c>
      <x:c r="F595" s="7" t="b">
        <x:v>0</x:v>
      </x:c>
      <x:c r="G595" s="2" t="str">
        <x:v>2025Q3</x:v>
      </x:c>
      <x:c r="H595" s="2" t="str">
        <x:v>https://api.bls.gov/publicAPI/v2/timeseries/data/</x:v>
      </x:c>
    </x:row>
    <x:row r="596" ht="38" customHeight="1">
      <x:c r="A596" s="28" t="n">
        <x:v>45901</x:v>
      </x:c>
      <x:c r="B596" s="2" t="str">
        <x:v>62</x:v>
      </x:c>
      <x:c r="C596" s="29" t="str">
        <x:v>Health care and social assistance</x:v>
      </x:c>
      <x:c r="D596" s="2" t="str">
        <x:v>CES6562000001</x:v>
      </x:c>
      <x:c r="E596" s="20" t="n">
        <x:v>23438.2</x:v>
      </x:c>
      <x:c r="F596" s="7" t="b">
        <x:v>0</x:v>
      </x:c>
      <x:c r="G596" s="2" t="str">
        <x:v>2025Q3</x:v>
      </x:c>
      <x:c r="H596" s="2" t="str">
        <x:v>https://api.bls.gov/publicAPI/v2/timeseries/data/</x:v>
      </x:c>
    </x:row>
    <x:row r="597" ht="38" customHeight="1">
      <x:c r="A597" s="28" t="n">
        <x:v>45901</x:v>
      </x:c>
      <x:c r="B597" s="2" t="str">
        <x:v>71</x:v>
      </x:c>
      <x:c r="C597" s="29" t="str">
        <x:v>Arts, entertainment, and recreation</x:v>
      </x:c>
      <x:c r="D597" s="2" t="str">
        <x:v>CES7071000001</x:v>
      </x:c>
      <x:c r="E597" s="20" t="n">
        <x:v>2701.7</x:v>
      </x:c>
      <x:c r="F597" s="7" t="b">
        <x:v>0</x:v>
      </x:c>
      <x:c r="G597" s="2" t="str">
        <x:v>2025Q3</x:v>
      </x:c>
      <x:c r="H597" s="2" t="str">
        <x:v>https://api.bls.gov/publicAPI/v2/timeseries/data/</x:v>
      </x:c>
    </x:row>
    <x:row r="598" ht="38" customHeight="1">
      <x:c r="A598" s="28" t="n">
        <x:v>45901</x:v>
      </x:c>
      <x:c r="B598" s="2" t="str">
        <x:v>72</x:v>
      </x:c>
      <x:c r="C598" s="29" t="str">
        <x:v>Accommodation and food services</x:v>
      </x:c>
      <x:c r="D598" s="2" t="str">
        <x:v>CES7072000001</x:v>
      </x:c>
      <x:c r="E598" s="20" t="n">
        <x:v>14205.3</x:v>
      </x:c>
      <x:c r="F598" s="7" t="b">
        <x:v>0</x:v>
      </x:c>
      <x:c r="G598" s="2" t="str">
        <x:v>2025Q3</x:v>
      </x:c>
      <x:c r="H598" s="2" t="str">
        <x:v>https://api.bls.gov/publicAPI/v2/timeseries/data/</x:v>
      </x:c>
    </x:row>
    <x:row r="599" ht="38" customHeight="1">
      <x:c r="A599" s="28" t="n">
        <x:v>45901</x:v>
      </x:c>
      <x:c r="B599" s="2" t="str">
        <x:v>81</x:v>
      </x:c>
      <x:c r="C599" s="29" t="str">
        <x:v>Other services, except government</x:v>
      </x:c>
      <x:c r="D599" s="2" t="str">
        <x:v>CES8000000001</x:v>
      </x:c>
      <x:c r="E599" s="20" t="n">
        <x:v>6005</x:v>
      </x:c>
      <x:c r="F599" s="7" t="b">
        <x:v>0</x:v>
      </x:c>
      <x:c r="G599" s="2" t="str">
        <x:v>2025Q3</x:v>
      </x:c>
      <x:c r="H599" s="2" t="str">
        <x:v>https://api.bls.gov/publicAPI/v2/timeseries/data/</x:v>
      </x:c>
    </x:row>
    <x:row r="600" ht="38" customHeight="1">
      <x:c r="A600" s="28" t="n">
        <x:v>45931</x:v>
      </x:c>
      <x:c r="B600" s="2" t="str">
        <x:v>21</x:v>
      </x:c>
      <x:c r="C600" s="29" t="str">
        <x:v>Mining, quarrying, and oil and gas extraction</x:v>
      </x:c>
      <x:c r="D600" s="2" t="str">
        <x:v>CES1021000001</x:v>
      </x:c>
      <x:c r="E600" s="20" t="n">
        <x:v>567.3</x:v>
      </x:c>
      <x:c r="F600" s="7" t="b">
        <x:v>0</x:v>
      </x:c>
      <x:c r="G600" s="2" t="str">
        <x:v>2025Q4</x:v>
      </x:c>
      <x:c r="H600" s="2" t="str">
        <x:v>https://api.bls.gov/publicAPI/v2/timeseries/data/</x:v>
      </x:c>
    </x:row>
    <x:row r="601" ht="38" customHeight="1">
      <x:c r="A601" s="28" t="n">
        <x:v>45931</x:v>
      </x:c>
      <x:c r="B601" s="2" t="str">
        <x:v>22</x:v>
      </x:c>
      <x:c r="C601" s="29" t="str">
        <x:v>Utilities</x:v>
      </x:c>
      <x:c r="D601" s="2" t="str">
        <x:v>CES4422000001</x:v>
      </x:c>
      <x:c r="E601" s="20" t="n">
        <x:v>601.9</x:v>
      </x:c>
      <x:c r="F601" s="7" t="b">
        <x:v>0</x:v>
      </x:c>
      <x:c r="G601" s="2" t="str">
        <x:v>2025Q4</x:v>
      </x:c>
      <x:c r="H601" s="2" t="str">
        <x:v>https://api.bls.gov/publicAPI/v2/timeseries/data/</x:v>
      </x:c>
    </x:row>
    <x:row r="602" ht="38" customHeight="1">
      <x:c r="A602" s="28" t="n">
        <x:v>45931</x:v>
      </x:c>
      <x:c r="B602" s="2" t="str">
        <x:v>23</x:v>
      </x:c>
      <x:c r="C602" s="29" t="str">
        <x:v>Construction</x:v>
      </x:c>
      <x:c r="D602" s="2" t="str">
        <x:v>CES2000000001</x:v>
      </x:c>
      <x:c r="E602" s="20" t="n">
        <x:v>8243</x:v>
      </x:c>
      <x:c r="F602" s="7" t="b">
        <x:v>0</x:v>
      </x:c>
      <x:c r="G602" s="2" t="str">
        <x:v>2025Q4</x:v>
      </x:c>
      <x:c r="H602" s="2" t="str">
        <x:v>https://api.bls.gov/publicAPI/v2/timeseries/data/</x:v>
      </x:c>
    </x:row>
    <x:row r="603" ht="38" customHeight="1">
      <x:c r="A603" s="28" t="n">
        <x:v>45931</x:v>
      </x:c>
      <x:c r="B603" s="2" t="str">
        <x:v>31-33</x:v>
      </x:c>
      <x:c r="C603" s="29" t="str">
        <x:v>Manufacturing</x:v>
      </x:c>
      <x:c r="D603" s="2" t="str">
        <x:v>CES3000000001</x:v>
      </x:c>
      <x:c r="E603" s="20" t="n">
        <x:v>12603</x:v>
      </x:c>
      <x:c r="F603" s="7" t="b">
        <x:v>0</x:v>
      </x:c>
      <x:c r="G603" s="2" t="str">
        <x:v>2025Q4</x:v>
      </x:c>
      <x:c r="H603" s="2" t="str">
        <x:v>https://api.bls.gov/publicAPI/v2/timeseries/data/</x:v>
      </x:c>
    </x:row>
    <x:row r="604" ht="38" customHeight="1">
      <x:c r="A604" s="28" t="n">
        <x:v>45931</x:v>
      </x:c>
      <x:c r="B604" s="2" t="str">
        <x:v>42</x:v>
      </x:c>
      <x:c r="C604" s="29" t="str">
        <x:v>Wholesale trade</x:v>
      </x:c>
      <x:c r="D604" s="2" t="str">
        <x:v>CES4142000001</x:v>
      </x:c>
      <x:c r="E604" s="20" t="n">
        <x:v>6054.6</x:v>
      </x:c>
      <x:c r="F604" s="7" t="b">
        <x:v>0</x:v>
      </x:c>
      <x:c r="G604" s="2" t="str">
        <x:v>2025Q4</x:v>
      </x:c>
      <x:c r="H604" s="2" t="str">
        <x:v>https://api.bls.gov/publicAPI/v2/timeseries/data/</x:v>
      </x:c>
    </x:row>
    <x:row r="605" ht="38" customHeight="1">
      <x:c r="A605" s="28" t="n">
        <x:v>45931</x:v>
      </x:c>
      <x:c r="B605" s="2" t="str">
        <x:v>44-45</x:v>
      </x:c>
      <x:c r="C605" s="29" t="str">
        <x:v>Retail trade</x:v>
      </x:c>
      <x:c r="D605" s="2" t="str">
        <x:v>CES4200000001</x:v>
      </x:c>
      <x:c r="E605" s="20" t="n">
        <x:v>15438</x:v>
      </x:c>
      <x:c r="F605" s="7" t="b">
        <x:v>0</x:v>
      </x:c>
      <x:c r="G605" s="2" t="str">
        <x:v>2025Q4</x:v>
      </x:c>
      <x:c r="H605" s="2" t="str">
        <x:v>https://api.bls.gov/publicAPI/v2/timeseries/data/</x:v>
      </x:c>
    </x:row>
    <x:row r="606" ht="38" customHeight="1">
      <x:c r="A606" s="28" t="n">
        <x:v>45931</x:v>
      </x:c>
      <x:c r="B606" s="2" t="str">
        <x:v>48-49</x:v>
      </x:c>
      <x:c r="C606" s="29" t="str">
        <x:v>Transportation and warehousing</x:v>
      </x:c>
      <x:c r="D606" s="2" t="str">
        <x:v>CES4300000001</x:v>
      </x:c>
      <x:c r="E606" s="20" t="n">
        <x:v>6619.1</x:v>
      </x:c>
      <x:c r="F606" s="7" t="b">
        <x:v>0</x:v>
      </x:c>
      <x:c r="G606" s="2" t="str">
        <x:v>2025Q4</x:v>
      </x:c>
      <x:c r="H606" s="2" t="str">
        <x:v>https://api.bls.gov/publicAPI/v2/timeseries/data/</x:v>
      </x:c>
    </x:row>
    <x:row r="607" ht="38" customHeight="1">
      <x:c r="A607" s="28" t="n">
        <x:v>45931</x:v>
      </x:c>
      <x:c r="B607" s="2" t="str">
        <x:v>51</x:v>
      </x:c>
      <x:c r="C607" s="29" t="str">
        <x:v>Information</x:v>
      </x:c>
      <x:c r="D607" s="2" t="str">
        <x:v>CES5000000001</x:v>
      </x:c>
      <x:c r="E607" s="20" t="n">
        <x:v>2853</x:v>
      </x:c>
      <x:c r="F607" s="7" t="b">
        <x:v>0</x:v>
      </x:c>
      <x:c r="G607" s="2" t="str">
        <x:v>2025Q4</x:v>
      </x:c>
      <x:c r="H607" s="2" t="str">
        <x:v>https://api.bls.gov/publicAPI/v2/timeseries/data/</x:v>
      </x:c>
    </x:row>
    <x:row r="608" ht="38" customHeight="1">
      <x:c r="A608" s="28" t="n">
        <x:v>45931</x:v>
      </x:c>
      <x:c r="B608" s="2" t="str">
        <x:v>52</x:v>
      </x:c>
      <x:c r="C608" s="29" t="str">
        <x:v>Finance and insurance</x:v>
      </x:c>
      <x:c r="D608" s="2" t="str">
        <x:v>CES5552000001</x:v>
      </x:c>
      <x:c r="E608" s="20" t="n">
        <x:v>6737.8</x:v>
      </x:c>
      <x:c r="F608" s="7" t="b">
        <x:v>0</x:v>
      </x:c>
      <x:c r="G608" s="2" t="str">
        <x:v>2025Q4</x:v>
      </x:c>
      <x:c r="H608" s="2" t="str">
        <x:v>https://api.bls.gov/publicAPI/v2/timeseries/data/</x:v>
      </x:c>
    </x:row>
    <x:row r="609" ht="38" customHeight="1">
      <x:c r="A609" s="28" t="n">
        <x:v>45931</x:v>
      </x:c>
      <x:c r="B609" s="2" t="str">
        <x:v>53</x:v>
      </x:c>
      <x:c r="C609" s="29" t="str">
        <x:v>Real estate and rental and leasing</x:v>
      </x:c>
      <x:c r="D609" s="2" t="str">
        <x:v>CES5553000001</x:v>
      </x:c>
      <x:c r="E609" s="20" t="n">
        <x:v>2445.8</x:v>
      </x:c>
      <x:c r="F609" s="7" t="b">
        <x:v>0</x:v>
      </x:c>
      <x:c r="G609" s="2" t="str">
        <x:v>2025Q4</x:v>
      </x:c>
      <x:c r="H609" s="2" t="str">
        <x:v>https://api.bls.gov/publicAPI/v2/timeseries/data/</x:v>
      </x:c>
    </x:row>
    <x:row r="610" ht="38" customHeight="1">
      <x:c r="A610" s="28" t="n">
        <x:v>45931</x:v>
      </x:c>
      <x:c r="B610" s="2" t="str">
        <x:v>54</x:v>
      </x:c>
      <x:c r="C610" s="29" t="str">
        <x:v>Professional, scientific, and technical services</x:v>
      </x:c>
      <x:c r="D610" s="2" t="str">
        <x:v>CES6054000001</x:v>
      </x:c>
      <x:c r="E610" s="20" t="n">
        <x:v>10754.1</x:v>
      </x:c>
      <x:c r="F610" s="7" t="b">
        <x:v>0</x:v>
      </x:c>
      <x:c r="G610" s="2" t="str">
        <x:v>2025Q4</x:v>
      </x:c>
      <x:c r="H610" s="2" t="str">
        <x:v>https://api.bls.gov/publicAPI/v2/timeseries/data/</x:v>
      </x:c>
    </x:row>
    <x:row r="611" ht="38" customHeight="1">
      <x:c r="A611" s="28" t="n">
        <x:v>45931</x:v>
      </x:c>
      <x:c r="B611" s="2" t="str">
        <x:v>55</x:v>
      </x:c>
      <x:c r="C611" s="29" t="str">
        <x:v>Management of companies and enterprises</x:v>
      </x:c>
      <x:c r="D611" s="2" t="str">
        <x:v>CES6055000001</x:v>
      </x:c>
      <x:c r="E611" s="20" t="n">
        <x:v>2625.2</x:v>
      </x:c>
      <x:c r="F611" s="7" t="b">
        <x:v>0</x:v>
      </x:c>
      <x:c r="G611" s="2" t="str">
        <x:v>2025Q4</x:v>
      </x:c>
      <x:c r="H611" s="2" t="str">
        <x:v>https://api.bls.gov/publicAPI/v2/timeseries/data/</x:v>
      </x:c>
    </x:row>
    <x:row r="612" ht="38" customHeight="1">
      <x:c r="A612" s="28" t="n">
        <x:v>45931</x:v>
      </x:c>
      <x:c r="B612" s="2" t="str">
        <x:v>56</x:v>
      </x:c>
      <x:c r="C612" s="29" t="str">
        <x:v>Administrative, support, and waste services</x:v>
      </x:c>
      <x:c r="D612" s="2" t="str">
        <x:v>CES6056000001</x:v>
      </x:c>
      <x:c r="E612" s="20" t="n">
        <x:v>8955.9</x:v>
      </x:c>
      <x:c r="F612" s="7" t="b">
        <x:v>0</x:v>
      </x:c>
      <x:c r="G612" s="2" t="str">
        <x:v>2025Q4</x:v>
      </x:c>
      <x:c r="H612" s="2" t="str">
        <x:v>https://api.bls.gov/publicAPI/v2/timeseries/data/</x:v>
      </x:c>
    </x:row>
    <x:row r="613" ht="38" customHeight="1">
      <x:c r="A613" s="28" t="n">
        <x:v>45931</x:v>
      </x:c>
      <x:c r="B613" s="2" t="str">
        <x:v>61</x:v>
      </x:c>
      <x:c r="C613" s="29" t="str">
        <x:v>Private educational services</x:v>
      </x:c>
      <x:c r="D613" s="2" t="str">
        <x:v>CES6561000001</x:v>
      </x:c>
      <x:c r="E613" s="20" t="n">
        <x:v>4047.2</x:v>
      </x:c>
      <x:c r="F613" s="7" t="b">
        <x:v>0</x:v>
      </x:c>
      <x:c r="G613" s="2" t="str">
        <x:v>2025Q4</x:v>
      </x:c>
      <x:c r="H613" s="2" t="str">
        <x:v>https://api.bls.gov/publicAPI/v2/timeseries/data/</x:v>
      </x:c>
    </x:row>
    <x:row r="614" ht="38" customHeight="1">
      <x:c r="A614" s="28" t="n">
        <x:v>45931</x:v>
      </x:c>
      <x:c r="B614" s="2" t="str">
        <x:v>62</x:v>
      </x:c>
      <x:c r="C614" s="29" t="str">
        <x:v>Health care and social assistance</x:v>
      </x:c>
      <x:c r="D614" s="2" t="str">
        <x:v>CES6562000001</x:v>
      </x:c>
      <x:c r="E614" s="20" t="n">
        <x:v>23485.8</x:v>
      </x:c>
      <x:c r="F614" s="7" t="b">
        <x:v>0</x:v>
      </x:c>
      <x:c r="G614" s="2" t="str">
        <x:v>2025Q4</x:v>
      </x:c>
      <x:c r="H614" s="2" t="str">
        <x:v>https://api.bls.gov/publicAPI/v2/timeseries/data/</x:v>
      </x:c>
    </x:row>
    <x:row r="615" ht="38" customHeight="1">
      <x:c r="A615" s="28" t="n">
        <x:v>45931</x:v>
      </x:c>
      <x:c r="B615" s="2" t="str">
        <x:v>71</x:v>
      </x:c>
      <x:c r="C615" s="29" t="str">
        <x:v>Arts, entertainment, and recreation</x:v>
      </x:c>
      <x:c r="D615" s="2" t="str">
        <x:v>CES7071000001</x:v>
      </x:c>
      <x:c r="E615" s="20" t="n">
        <x:v>2697.6</x:v>
      </x:c>
      <x:c r="F615" s="7" t="b">
        <x:v>0</x:v>
      </x:c>
      <x:c r="G615" s="2" t="str">
        <x:v>2025Q4</x:v>
      </x:c>
      <x:c r="H615" s="2" t="str">
        <x:v>https://api.bls.gov/publicAPI/v2/timeseries/data/</x:v>
      </x:c>
    </x:row>
    <x:row r="616" ht="38" customHeight="1">
      <x:c r="A616" s="28" t="n">
        <x:v>45931</x:v>
      </x:c>
      <x:c r="B616" s="2" t="str">
        <x:v>72</x:v>
      </x:c>
      <x:c r="C616" s="29" t="str">
        <x:v>Accommodation and food services</x:v>
      </x:c>
      <x:c r="D616" s="2" t="str">
        <x:v>CES7072000001</x:v>
      </x:c>
      <x:c r="E616" s="20" t="n">
        <x:v>14250.7</x:v>
      </x:c>
      <x:c r="F616" s="7" t="b">
        <x:v>0</x:v>
      </x:c>
      <x:c r="G616" s="2" t="str">
        <x:v>2025Q4</x:v>
      </x:c>
      <x:c r="H616" s="2" t="str">
        <x:v>https://api.bls.gov/publicAPI/v2/timeseries/data/</x:v>
      </x:c>
    </x:row>
    <x:row r="617" ht="38" customHeight="1">
      <x:c r="A617" s="28" t="n">
        <x:v>45931</x:v>
      </x:c>
      <x:c r="B617" s="2" t="str">
        <x:v>81</x:v>
      </x:c>
      <x:c r="C617" s="29" t="str">
        <x:v>Other services, except government</x:v>
      </x:c>
      <x:c r="D617" s="2" t="str">
        <x:v>CES8000000001</x:v>
      </x:c>
      <x:c r="E617" s="20" t="n">
        <x:v>5999</x:v>
      </x:c>
      <x:c r="F617" s="7" t="b">
        <x:v>0</x:v>
      </x:c>
      <x:c r="G617" s="2" t="str">
        <x:v>2025Q4</x:v>
      </x:c>
      <x:c r="H617" s="2" t="str">
        <x:v>https://api.bls.gov/publicAPI/v2/timeseries/data/</x:v>
      </x:c>
    </x:row>
    <x:row r="618" ht="38" customHeight="1">
      <x:c r="A618" s="28" t="n">
        <x:v>45962</x:v>
      </x:c>
      <x:c r="B618" s="2" t="str">
        <x:v>21</x:v>
      </x:c>
      <x:c r="C618" s="29" t="str">
        <x:v>Mining, quarrying, and oil and gas extraction</x:v>
      </x:c>
      <x:c r="D618" s="2" t="str">
        <x:v>CES1021000001</x:v>
      </x:c>
      <x:c r="E618" s="20" t="n">
        <x:v>566.6</x:v>
      </x:c>
      <x:c r="F618" s="7" t="b">
        <x:v>0</x:v>
      </x:c>
      <x:c r="G618" s="2" t="str">
        <x:v>2025Q4</x:v>
      </x:c>
      <x:c r="H618" s="2" t="str">
        <x:v>https://api.bls.gov/publicAPI/v2/timeseries/data/</x:v>
      </x:c>
    </x:row>
    <x:row r="619" ht="38" customHeight="1">
      <x:c r="A619" s="28" t="n">
        <x:v>45962</x:v>
      </x:c>
      <x:c r="B619" s="2" t="str">
        <x:v>22</x:v>
      </x:c>
      <x:c r="C619" s="29" t="str">
        <x:v>Utilities</x:v>
      </x:c>
      <x:c r="D619" s="2" t="str">
        <x:v>CES4422000001</x:v>
      </x:c>
      <x:c r="E619" s="20" t="n">
        <x:v>603.8</x:v>
      </x:c>
      <x:c r="F619" s="7" t="b">
        <x:v>0</x:v>
      </x:c>
      <x:c r="G619" s="2" t="str">
        <x:v>2025Q4</x:v>
      </x:c>
      <x:c r="H619" s="2" t="str">
        <x:v>https://api.bls.gov/publicAPI/v2/timeseries/data/</x:v>
      </x:c>
    </x:row>
    <x:row r="620" ht="38" customHeight="1">
      <x:c r="A620" s="28" t="n">
        <x:v>45962</x:v>
      </x:c>
      <x:c r="B620" s="2" t="str">
        <x:v>23</x:v>
      </x:c>
      <x:c r="C620" s="29" t="str">
        <x:v>Construction</x:v>
      </x:c>
      <x:c r="D620" s="2" t="str">
        <x:v>CES2000000001</x:v>
      </x:c>
      <x:c r="E620" s="20" t="n">
        <x:v>8279</x:v>
      </x:c>
      <x:c r="F620" s="7" t="b">
        <x:v>0</x:v>
      </x:c>
      <x:c r="G620" s="2" t="str">
        <x:v>2025Q4</x:v>
      </x:c>
      <x:c r="H620" s="2" t="str">
        <x:v>https://api.bls.gov/publicAPI/v2/timeseries/data/</x:v>
      </x:c>
    </x:row>
    <x:row r="621" ht="38" customHeight="1">
      <x:c r="A621" s="28" t="n">
        <x:v>45962</x:v>
      </x:c>
      <x:c r="B621" s="2" t="str">
        <x:v>31-33</x:v>
      </x:c>
      <x:c r="C621" s="29" t="str">
        <x:v>Manufacturing</x:v>
      </x:c>
      <x:c r="D621" s="2" t="str">
        <x:v>CES3000000001</x:v>
      </x:c>
      <x:c r="E621" s="20" t="n">
        <x:v>12593</x:v>
      </x:c>
      <x:c r="F621" s="7" t="b">
        <x:v>0</x:v>
      </x:c>
      <x:c r="G621" s="2" t="str">
        <x:v>2025Q4</x:v>
      </x:c>
      <x:c r="H621" s="2" t="str">
        <x:v>https://api.bls.gov/publicAPI/v2/timeseries/data/</x:v>
      </x:c>
    </x:row>
    <x:row r="622" ht="38" customHeight="1">
      <x:c r="A622" s="28" t="n">
        <x:v>45962</x:v>
      </x:c>
      <x:c r="B622" s="2" t="str">
        <x:v>42</x:v>
      </x:c>
      <x:c r="C622" s="29" t="str">
        <x:v>Wholesale trade</x:v>
      </x:c>
      <x:c r="D622" s="2" t="str">
        <x:v>CES4142000001</x:v>
      </x:c>
      <x:c r="E622" s="20" t="n">
        <x:v>6048.2</x:v>
      </x:c>
      <x:c r="F622" s="7" t="b">
        <x:v>0</x:v>
      </x:c>
      <x:c r="G622" s="2" t="str">
        <x:v>2025Q4</x:v>
      </x:c>
      <x:c r="H622" s="2" t="str">
        <x:v>https://api.bls.gov/publicAPI/v2/timeseries/data/</x:v>
      </x:c>
    </x:row>
    <x:row r="623" ht="38" customHeight="1">
      <x:c r="A623" s="28" t="n">
        <x:v>45962</x:v>
      </x:c>
      <x:c r="B623" s="2" t="str">
        <x:v>44-45</x:v>
      </x:c>
      <x:c r="C623" s="29" t="str">
        <x:v>Retail trade</x:v>
      </x:c>
      <x:c r="D623" s="2" t="str">
        <x:v>CES4200000001</x:v>
      </x:c>
      <x:c r="E623" s="20" t="n">
        <x:v>15437.1</x:v>
      </x:c>
      <x:c r="F623" s="7" t="b">
        <x:v>0</x:v>
      </x:c>
      <x:c r="G623" s="2" t="str">
        <x:v>2025Q4</x:v>
      </x:c>
      <x:c r="H623" s="2" t="str">
        <x:v>https://api.bls.gov/publicAPI/v2/timeseries/data/</x:v>
      </x:c>
    </x:row>
    <x:row r="624" ht="38" customHeight="1">
      <x:c r="A624" s="28" t="n">
        <x:v>45962</x:v>
      </x:c>
      <x:c r="B624" s="2" t="str">
        <x:v>48-49</x:v>
      </x:c>
      <x:c r="C624" s="29" t="str">
        <x:v>Transportation and warehousing</x:v>
      </x:c>
      <x:c r="D624" s="2" t="str">
        <x:v>CES4300000001</x:v>
      </x:c>
      <x:c r="E624" s="20" t="n">
        <x:v>6560.2</x:v>
      </x:c>
      <x:c r="F624" s="7" t="b">
        <x:v>0</x:v>
      </x:c>
      <x:c r="G624" s="2" t="str">
        <x:v>2025Q4</x:v>
      </x:c>
      <x:c r="H624" s="2" t="str">
        <x:v>https://api.bls.gov/publicAPI/v2/timeseries/data/</x:v>
      </x:c>
    </x:row>
    <x:row r="625" ht="38" customHeight="1">
      <x:c r="A625" s="28" t="n">
        <x:v>45962</x:v>
      </x:c>
      <x:c r="B625" s="2" t="str">
        <x:v>51</x:v>
      </x:c>
      <x:c r="C625" s="29" t="str">
        <x:v>Information</x:v>
      </x:c>
      <x:c r="D625" s="2" t="str">
        <x:v>CES5000000001</x:v>
      </x:c>
      <x:c r="E625" s="20" t="n">
        <x:v>2848</x:v>
      </x:c>
      <x:c r="F625" s="7" t="b">
        <x:v>0</x:v>
      </x:c>
      <x:c r="G625" s="2" t="str">
        <x:v>2025Q4</x:v>
      </x:c>
      <x:c r="H625" s="2" t="str">
        <x:v>https://api.bls.gov/publicAPI/v2/timeseries/data/</x:v>
      </x:c>
    </x:row>
    <x:row r="626" ht="38" customHeight="1">
      <x:c r="A626" s="28" t="n">
        <x:v>45962</x:v>
      </x:c>
      <x:c r="B626" s="2" t="str">
        <x:v>52</x:v>
      </x:c>
      <x:c r="C626" s="29" t="str">
        <x:v>Finance and insurance</x:v>
      </x:c>
      <x:c r="D626" s="2" t="str">
        <x:v>CES5552000001</x:v>
      </x:c>
      <x:c r="E626" s="20" t="n">
        <x:v>6735.3</x:v>
      </x:c>
      <x:c r="F626" s="7" t="b">
        <x:v>0</x:v>
      </x:c>
      <x:c r="G626" s="2" t="str">
        <x:v>2025Q4</x:v>
      </x:c>
      <x:c r="H626" s="2" t="str">
        <x:v>https://api.bls.gov/publicAPI/v2/timeseries/data/</x:v>
      </x:c>
    </x:row>
    <x:row r="627" ht="38" customHeight="1">
      <x:c r="A627" s="28" t="n">
        <x:v>45962</x:v>
      </x:c>
      <x:c r="B627" s="2" t="str">
        <x:v>53</x:v>
      </x:c>
      <x:c r="C627" s="29" t="str">
        <x:v>Real estate and rental and leasing</x:v>
      </x:c>
      <x:c r="D627" s="2" t="str">
        <x:v>CES5553000001</x:v>
      </x:c>
      <x:c r="E627" s="20" t="n">
        <x:v>2450</x:v>
      </x:c>
      <x:c r="F627" s="7" t="b">
        <x:v>0</x:v>
      </x:c>
      <x:c r="G627" s="2" t="str">
        <x:v>2025Q4</x:v>
      </x:c>
      <x:c r="H627" s="2" t="str">
        <x:v>https://api.bls.gov/publicAPI/v2/timeseries/data/</x:v>
      </x:c>
    </x:row>
    <x:row r="628" ht="38" customHeight="1">
      <x:c r="A628" s="28" t="n">
        <x:v>45962</x:v>
      </x:c>
      <x:c r="B628" s="2" t="str">
        <x:v>54</x:v>
      </x:c>
      <x:c r="C628" s="29" t="str">
        <x:v>Professional, scientific, and technical services</x:v>
      </x:c>
      <x:c r="D628" s="2" t="str">
        <x:v>CES6054000001</x:v>
      </x:c>
      <x:c r="E628" s="20" t="n">
        <x:v>10790.8</x:v>
      </x:c>
      <x:c r="F628" s="7" t="b">
        <x:v>0</x:v>
      </x:c>
      <x:c r="G628" s="2" t="str">
        <x:v>2025Q4</x:v>
      </x:c>
      <x:c r="H628" s="2" t="str">
        <x:v>https://api.bls.gov/publicAPI/v2/timeseries/data/</x:v>
      </x:c>
    </x:row>
    <x:row r="629" ht="38" customHeight="1">
      <x:c r="A629" s="28" t="n">
        <x:v>45962</x:v>
      </x:c>
      <x:c r="B629" s="2" t="str">
        <x:v>55</x:v>
      </x:c>
      <x:c r="C629" s="29" t="str">
        <x:v>Management of companies and enterprises</x:v>
      </x:c>
      <x:c r="D629" s="2" t="str">
        <x:v>CES6055000001</x:v>
      </x:c>
      <x:c r="E629" s="20" t="n">
        <x:v>2626.4</x:v>
      </x:c>
      <x:c r="F629" s="7" t="b">
        <x:v>0</x:v>
      </x:c>
      <x:c r="G629" s="2" t="str">
        <x:v>2025Q4</x:v>
      </x:c>
      <x:c r="H629" s="2" t="str">
        <x:v>https://api.bls.gov/publicAPI/v2/timeseries/data/</x:v>
      </x:c>
    </x:row>
    <x:row r="630" ht="38" customHeight="1">
      <x:c r="A630" s="28" t="n">
        <x:v>45962</x:v>
      </x:c>
      <x:c r="B630" s="2" t="str">
        <x:v>56</x:v>
      </x:c>
      <x:c r="C630" s="29" t="str">
        <x:v>Administrative, support, and waste services</x:v>
      </x:c>
      <x:c r="D630" s="2" t="str">
        <x:v>CES6056000001</x:v>
      </x:c>
      <x:c r="E630" s="20" t="n">
        <x:v>8973.9</x:v>
      </x:c>
      <x:c r="F630" s="7" t="b">
        <x:v>0</x:v>
      </x:c>
      <x:c r="G630" s="2" t="str">
        <x:v>2025Q4</x:v>
      </x:c>
      <x:c r="H630" s="2" t="str">
        <x:v>https://api.bls.gov/publicAPI/v2/timeseries/data/</x:v>
      </x:c>
    </x:row>
    <x:row r="631" ht="38" customHeight="1">
      <x:c r="A631" s="28" t="n">
        <x:v>45962</x:v>
      </x:c>
      <x:c r="B631" s="2" t="str">
        <x:v>61</x:v>
      </x:c>
      <x:c r="C631" s="29" t="str">
        <x:v>Private educational services</x:v>
      </x:c>
      <x:c r="D631" s="2" t="str">
        <x:v>CES6561000001</x:v>
      </x:c>
      <x:c r="E631" s="20" t="n">
        <x:v>4043.3</x:v>
      </x:c>
      <x:c r="F631" s="7" t="b">
        <x:v>0</x:v>
      </x:c>
      <x:c r="G631" s="2" t="str">
        <x:v>2025Q4</x:v>
      </x:c>
      <x:c r="H631" s="2" t="str">
        <x:v>https://api.bls.gov/publicAPI/v2/timeseries/data/</x:v>
      </x:c>
    </x:row>
    <x:row r="632" ht="38" customHeight="1">
      <x:c r="A632" s="28" t="n">
        <x:v>45962</x:v>
      </x:c>
      <x:c r="B632" s="2" t="str">
        <x:v>62</x:v>
      </x:c>
      <x:c r="C632" s="29" t="str">
        <x:v>Health care and social assistance</x:v>
      </x:c>
      <x:c r="D632" s="2" t="str">
        <x:v>CES6562000001</x:v>
      </x:c>
      <x:c r="E632" s="20" t="n">
        <x:v>23545.7</x:v>
      </x:c>
      <x:c r="F632" s="7" t="b">
        <x:v>0</x:v>
      </x:c>
      <x:c r="G632" s="2" t="str">
        <x:v>2025Q4</x:v>
      </x:c>
      <x:c r="H632" s="2" t="str">
        <x:v>https://api.bls.gov/publicAPI/v2/timeseries/data/</x:v>
      </x:c>
    </x:row>
    <x:row r="633" ht="38" customHeight="1">
      <x:c r="A633" s="28" t="n">
        <x:v>45962</x:v>
      </x:c>
      <x:c r="B633" s="2" t="str">
        <x:v>71</x:v>
      </x:c>
      <x:c r="C633" s="29" t="str">
        <x:v>Arts, entertainment, and recreation</x:v>
      </x:c>
      <x:c r="D633" s="2" t="str">
        <x:v>CES7071000001</x:v>
      </x:c>
      <x:c r="E633" s="20" t="n">
        <x:v>2664.8</x:v>
      </x:c>
      <x:c r="F633" s="7" t="b">
        <x:v>0</x:v>
      </x:c>
      <x:c r="G633" s="2" t="str">
        <x:v>2025Q4</x:v>
      </x:c>
      <x:c r="H633" s="2" t="str">
        <x:v>https://api.bls.gov/publicAPI/v2/timeseries/data/</x:v>
      </x:c>
    </x:row>
    <x:row r="634" ht="38" customHeight="1">
      <x:c r="A634" s="28" t="n">
        <x:v>45962</x:v>
      </x:c>
      <x:c r="B634" s="2" t="str">
        <x:v>72</x:v>
      </x:c>
      <x:c r="C634" s="29" t="str">
        <x:v>Accommodation and food services</x:v>
      </x:c>
      <x:c r="D634" s="2" t="str">
        <x:v>CES7072000001</x:v>
      </x:c>
      <x:c r="E634" s="20" t="n">
        <x:v>14271.6</x:v>
      </x:c>
      <x:c r="F634" s="7" t="b">
        <x:v>0</x:v>
      </x:c>
      <x:c r="G634" s="2" t="str">
        <x:v>2025Q4</x:v>
      </x:c>
      <x:c r="H634" s="2" t="str">
        <x:v>https://api.bls.gov/publicAPI/v2/timeseries/data/</x:v>
      </x:c>
    </x:row>
    <x:row r="635" ht="38" customHeight="1">
      <x:c r="A635" s="28" t="n">
        <x:v>45962</x:v>
      </x:c>
      <x:c r="B635" s="2" t="str">
        <x:v>81</x:v>
      </x:c>
      <x:c r="C635" s="29" t="str">
        <x:v>Other services, except government</x:v>
      </x:c>
      <x:c r="D635" s="2" t="str">
        <x:v>CES8000000001</x:v>
      </x:c>
      <x:c r="E635" s="20" t="n">
        <x:v>6015</x:v>
      </x:c>
      <x:c r="F635" s="7" t="b">
        <x:v>0</x:v>
      </x:c>
      <x:c r="G635" s="2" t="str">
        <x:v>2025Q4</x:v>
      </x:c>
      <x:c r="H635" s="2" t="str">
        <x:v>https://api.bls.gov/publicAPI/v2/timeseries/data/</x:v>
      </x:c>
    </x:row>
    <x:row r="636" ht="38" customHeight="1">
      <x:c r="A636" s="28" t="n">
        <x:v>45992</x:v>
      </x:c>
      <x:c r="B636" s="2" t="str">
        <x:v>21</x:v>
      </x:c>
      <x:c r="C636" s="29" t="str">
        <x:v>Mining, quarrying, and oil and gas extraction</x:v>
      </x:c>
      <x:c r="D636" s="2" t="str">
        <x:v>CES1021000001</x:v>
      </x:c>
      <x:c r="E636" s="20" t="n">
        <x:v>566.3</x:v>
      </x:c>
      <x:c r="F636" s="7" t="b">
        <x:v>0</x:v>
      </x:c>
      <x:c r="G636" s="2" t="str">
        <x:v>2025Q4</x:v>
      </x:c>
      <x:c r="H636" s="2" t="str">
        <x:v>https://api.bls.gov/publicAPI/v2/timeseries/data/</x:v>
      </x:c>
    </x:row>
    <x:row r="637" ht="38" customHeight="1">
      <x:c r="A637" s="28" t="n">
        <x:v>45992</x:v>
      </x:c>
      <x:c r="B637" s="2" t="str">
        <x:v>22</x:v>
      </x:c>
      <x:c r="C637" s="29" t="str">
        <x:v>Utilities</x:v>
      </x:c>
      <x:c r="D637" s="2" t="str">
        <x:v>CES4422000001</x:v>
      </x:c>
      <x:c r="E637" s="20" t="n">
        <x:v>604.5</x:v>
      </x:c>
      <x:c r="F637" s="7" t="b">
        <x:v>0</x:v>
      </x:c>
      <x:c r="G637" s="2" t="str">
        <x:v>2025Q4</x:v>
      </x:c>
      <x:c r="H637" s="2" t="str">
        <x:v>https://api.bls.gov/publicAPI/v2/timeseries/data/</x:v>
      </x:c>
    </x:row>
    <x:row r="638" ht="38" customHeight="1">
      <x:c r="A638" s="28" t="n">
        <x:v>45992</x:v>
      </x:c>
      <x:c r="B638" s="2" t="str">
        <x:v>23</x:v>
      </x:c>
      <x:c r="C638" s="29" t="str">
        <x:v>Construction</x:v>
      </x:c>
      <x:c r="D638" s="2" t="str">
        <x:v>CES2000000001</x:v>
      </x:c>
      <x:c r="E638" s="20" t="n">
        <x:v>8272</x:v>
      </x:c>
      <x:c r="F638" s="7" t="b">
        <x:v>0</x:v>
      </x:c>
      <x:c r="G638" s="2" t="str">
        <x:v>2025Q4</x:v>
      </x:c>
      <x:c r="H638" s="2" t="str">
        <x:v>https://api.bls.gov/publicAPI/v2/timeseries/data/</x:v>
      </x:c>
    </x:row>
    <x:row r="639" ht="38" customHeight="1">
      <x:c r="A639" s="28" t="n">
        <x:v>45992</x:v>
      </x:c>
      <x:c r="B639" s="2" t="str">
        <x:v>31-33</x:v>
      </x:c>
      <x:c r="C639" s="29" t="str">
        <x:v>Manufacturing</x:v>
      </x:c>
      <x:c r="D639" s="2" t="str">
        <x:v>CES3000000001</x:v>
      </x:c>
      <x:c r="E639" s="20" t="n">
        <x:v>12580</x:v>
      </x:c>
      <x:c r="F639" s="7" t="b">
        <x:v>0</x:v>
      </x:c>
      <x:c r="G639" s="2" t="str">
        <x:v>2025Q4</x:v>
      </x:c>
      <x:c r="H639" s="2" t="str">
        <x:v>https://api.bls.gov/publicAPI/v2/timeseries/data/</x:v>
      </x:c>
    </x:row>
    <x:row r="640" ht="38" customHeight="1">
      <x:c r="A640" s="28" t="n">
        <x:v>45992</x:v>
      </x:c>
      <x:c r="B640" s="2" t="str">
        <x:v>42</x:v>
      </x:c>
      <x:c r="C640" s="29" t="str">
        <x:v>Wholesale trade</x:v>
      </x:c>
      <x:c r="D640" s="2" t="str">
        <x:v>CES4142000001</x:v>
      </x:c>
      <x:c r="E640" s="20" t="n">
        <x:v>6042.5</x:v>
      </x:c>
      <x:c r="F640" s="7" t="b">
        <x:v>0</x:v>
      </x:c>
      <x:c r="G640" s="2" t="str">
        <x:v>2025Q4</x:v>
      </x:c>
      <x:c r="H640" s="2" t="str">
        <x:v>https://api.bls.gov/publicAPI/v2/timeseries/data/</x:v>
      </x:c>
    </x:row>
    <x:row r="641" ht="38" customHeight="1">
      <x:c r="A641" s="28" t="n">
        <x:v>45992</x:v>
      </x:c>
      <x:c r="B641" s="2" t="str">
        <x:v>44-45</x:v>
      </x:c>
      <x:c r="C641" s="29" t="str">
        <x:v>Retail trade</x:v>
      </x:c>
      <x:c r="D641" s="2" t="str">
        <x:v>CES4200000001</x:v>
      </x:c>
      <x:c r="E641" s="20" t="n">
        <x:v>15413.5</x:v>
      </x:c>
      <x:c r="F641" s="7" t="b">
        <x:v>0</x:v>
      </x:c>
      <x:c r="G641" s="2" t="str">
        <x:v>2025Q4</x:v>
      </x:c>
      <x:c r="H641" s="2" t="str">
        <x:v>https://api.bls.gov/publicAPI/v2/timeseries/data/</x:v>
      </x:c>
    </x:row>
    <x:row r="642" ht="38" customHeight="1">
      <x:c r="A642" s="28" t="n">
        <x:v>45992</x:v>
      </x:c>
      <x:c r="B642" s="2" t="str">
        <x:v>48-49</x:v>
      </x:c>
      <x:c r="C642" s="29" t="str">
        <x:v>Transportation and warehousing</x:v>
      </x:c>
      <x:c r="D642" s="2" t="str">
        <x:v>CES4300000001</x:v>
      </x:c>
      <x:c r="E642" s="20" t="n">
        <x:v>6555.4</x:v>
      </x:c>
      <x:c r="F642" s="7" t="b">
        <x:v>0</x:v>
      </x:c>
      <x:c r="G642" s="2" t="str">
        <x:v>2025Q4</x:v>
      </x:c>
      <x:c r="H642" s="2" t="str">
        <x:v>https://api.bls.gov/publicAPI/v2/timeseries/data/</x:v>
      </x:c>
    </x:row>
    <x:row r="643" ht="38" customHeight="1">
      <x:c r="A643" s="28" t="n">
        <x:v>45992</x:v>
      </x:c>
      <x:c r="B643" s="2" t="str">
        <x:v>51</x:v>
      </x:c>
      <x:c r="C643" s="29" t="str">
        <x:v>Information</x:v>
      </x:c>
      <x:c r="D643" s="2" t="str">
        <x:v>CES5000000001</x:v>
      </x:c>
      <x:c r="E643" s="20" t="n">
        <x:v>2842</x:v>
      </x:c>
      <x:c r="F643" s="7" t="b">
        <x:v>0</x:v>
      </x:c>
      <x:c r="G643" s="2" t="str">
        <x:v>2025Q4</x:v>
      </x:c>
      <x:c r="H643" s="2" t="str">
        <x:v>https://api.bls.gov/publicAPI/v2/timeseries/data/</x:v>
      </x:c>
    </x:row>
    <x:row r="644" ht="38" customHeight="1">
      <x:c r="A644" s="28" t="n">
        <x:v>45992</x:v>
      </x:c>
      <x:c r="B644" s="2" t="str">
        <x:v>52</x:v>
      </x:c>
      <x:c r="C644" s="29" t="str">
        <x:v>Finance and insurance</x:v>
      </x:c>
      <x:c r="D644" s="2" t="str">
        <x:v>CES5552000001</x:v>
      </x:c>
      <x:c r="E644" s="20" t="n">
        <x:v>6734.2</x:v>
      </x:c>
      <x:c r="F644" s="7" t="b">
        <x:v>0</x:v>
      </x:c>
      <x:c r="G644" s="2" t="str">
        <x:v>2025Q4</x:v>
      </x:c>
      <x:c r="H644" s="2" t="str">
        <x:v>https://api.bls.gov/publicAPI/v2/timeseries/data/</x:v>
      </x:c>
    </x:row>
    <x:row r="645" ht="38" customHeight="1">
      <x:c r="A645" s="28" t="n">
        <x:v>45992</x:v>
      </x:c>
      <x:c r="B645" s="2" t="str">
        <x:v>53</x:v>
      </x:c>
      <x:c r="C645" s="29" t="str">
        <x:v>Real estate and rental and leasing</x:v>
      </x:c>
      <x:c r="D645" s="2" t="str">
        <x:v>CES5553000001</x:v>
      </x:c>
      <x:c r="E645" s="20" t="n">
        <x:v>2451.7</x:v>
      </x:c>
      <x:c r="F645" s="7" t="b">
        <x:v>0</x:v>
      </x:c>
      <x:c r="G645" s="2" t="str">
        <x:v>2025Q4</x:v>
      </x:c>
      <x:c r="H645" s="2" t="str">
        <x:v>https://api.bls.gov/publicAPI/v2/timeseries/data/</x:v>
      </x:c>
    </x:row>
    <x:row r="646" ht="38" customHeight="1">
      <x:c r="A646" s="28" t="n">
        <x:v>45992</x:v>
      </x:c>
      <x:c r="B646" s="2" t="str">
        <x:v>54</x:v>
      </x:c>
      <x:c r="C646" s="29" t="str">
        <x:v>Professional, scientific, and technical services</x:v>
      </x:c>
      <x:c r="D646" s="2" t="str">
        <x:v>CES6054000001</x:v>
      </x:c>
      <x:c r="E646" s="20" t="n">
        <x:v>10784.6</x:v>
      </x:c>
      <x:c r="F646" s="7" t="b">
        <x:v>0</x:v>
      </x:c>
      <x:c r="G646" s="2" t="str">
        <x:v>2025Q4</x:v>
      </x:c>
      <x:c r="H646" s="2" t="str">
        <x:v>https://api.bls.gov/publicAPI/v2/timeseries/data/</x:v>
      </x:c>
    </x:row>
    <x:row r="647" ht="38" customHeight="1">
      <x:c r="A647" s="28" t="n">
        <x:v>45992</x:v>
      </x:c>
      <x:c r="B647" s="2" t="str">
        <x:v>55</x:v>
      </x:c>
      <x:c r="C647" s="29" t="str">
        <x:v>Management of companies and enterprises</x:v>
      </x:c>
      <x:c r="D647" s="2" t="str">
        <x:v>CES6055000001</x:v>
      </x:c>
      <x:c r="E647" s="20" t="n">
        <x:v>2622</x:v>
      </x:c>
      <x:c r="F647" s="7" t="b">
        <x:v>0</x:v>
      </x:c>
      <x:c r="G647" s="2" t="str">
        <x:v>2025Q4</x:v>
      </x:c>
      <x:c r="H647" s="2" t="str">
        <x:v>https://api.bls.gov/publicAPI/v2/timeseries/data/</x:v>
      </x:c>
    </x:row>
    <x:row r="648" ht="38" customHeight="1">
      <x:c r="A648" s="28" t="n">
        <x:v>45992</x:v>
      </x:c>
      <x:c r="B648" s="2" t="str">
        <x:v>56</x:v>
      </x:c>
      <x:c r="C648" s="29" t="str">
        <x:v>Administrative, support, and waste services</x:v>
      </x:c>
      <x:c r="D648" s="2" t="str">
        <x:v>CES6056000001</x:v>
      </x:c>
      <x:c r="E648" s="20" t="n">
        <x:v>8965</x:v>
      </x:c>
      <x:c r="F648" s="7" t="b">
        <x:v>0</x:v>
      </x:c>
      <x:c r="G648" s="2" t="str">
        <x:v>2025Q4</x:v>
      </x:c>
      <x:c r="H648" s="2" t="str">
        <x:v>https://api.bls.gov/publicAPI/v2/timeseries/data/</x:v>
      </x:c>
    </x:row>
    <x:row r="649" ht="38" customHeight="1">
      <x:c r="A649" s="28" t="n">
        <x:v>45992</x:v>
      </x:c>
      <x:c r="B649" s="2" t="str">
        <x:v>61</x:v>
      </x:c>
      <x:c r="C649" s="29" t="str">
        <x:v>Private educational services</x:v>
      </x:c>
      <x:c r="D649" s="2" t="str">
        <x:v>CES6561000001</x:v>
      </x:c>
      <x:c r="E649" s="20" t="n">
        <x:v>4039.3</x:v>
      </x:c>
      <x:c r="F649" s="7" t="b">
        <x:v>0</x:v>
      </x:c>
      <x:c r="G649" s="2" t="str">
        <x:v>2025Q4</x:v>
      </x:c>
      <x:c r="H649" s="2" t="str">
        <x:v>https://api.bls.gov/publicAPI/v2/timeseries/data/</x:v>
      </x:c>
    </x:row>
    <x:row r="650" ht="38" customHeight="1">
      <x:c r="A650" s="28" t="n">
        <x:v>45992</x:v>
      </x:c>
      <x:c r="B650" s="2" t="str">
        <x:v>62</x:v>
      </x:c>
      <x:c r="C650" s="29" t="str">
        <x:v>Health care and social assistance</x:v>
      </x:c>
      <x:c r="D650" s="2" t="str">
        <x:v>CES6562000001</x:v>
      </x:c>
      <x:c r="E650" s="20" t="n">
        <x:v>23587.5</x:v>
      </x:c>
      <x:c r="F650" s="7" t="b">
        <x:v>0</x:v>
      </x:c>
      <x:c r="G650" s="2" t="str">
        <x:v>2025Q4</x:v>
      </x:c>
      <x:c r="H650" s="2" t="str">
        <x:v>https://api.bls.gov/publicAPI/v2/timeseries/data/</x:v>
      </x:c>
    </x:row>
    <x:row r="651" ht="38" customHeight="1">
      <x:c r="A651" s="28" t="n">
        <x:v>45992</x:v>
      </x:c>
      <x:c r="B651" s="2" t="str">
        <x:v>71</x:v>
      </x:c>
      <x:c r="C651" s="29" t="str">
        <x:v>Arts, entertainment, and recreation</x:v>
      </x:c>
      <x:c r="D651" s="2" t="str">
        <x:v>CES7071000001</x:v>
      </x:c>
      <x:c r="E651" s="20" t="n">
        <x:v>2679.5</x:v>
      </x:c>
      <x:c r="F651" s="7" t="b">
        <x:v>0</x:v>
      </x:c>
      <x:c r="G651" s="2" t="str">
        <x:v>2025Q4</x:v>
      </x:c>
      <x:c r="H651" s="2" t="str">
        <x:v>https://api.bls.gov/publicAPI/v2/timeseries/data/</x:v>
      </x:c>
    </x:row>
    <x:row r="652" ht="38" customHeight="1">
      <x:c r="A652" s="28" t="n">
        <x:v>45992</x:v>
      </x:c>
      <x:c r="B652" s="2" t="str">
        <x:v>72</x:v>
      </x:c>
      <x:c r="C652" s="29" t="str">
        <x:v>Accommodation and food services</x:v>
      </x:c>
      <x:c r="D652" s="2" t="str">
        <x:v>CES7072000001</x:v>
      </x:c>
      <x:c r="E652" s="20" t="n">
        <x:v>14281.8</x:v>
      </x:c>
      <x:c r="F652" s="7" t="b">
        <x:v>0</x:v>
      </x:c>
      <x:c r="G652" s="2" t="str">
        <x:v>2025Q4</x:v>
      </x:c>
      <x:c r="H652" s="2" t="str">
        <x:v>https://api.bls.gov/publicAPI/v2/timeseries/data/</x:v>
      </x:c>
    </x:row>
    <x:row r="653" ht="38" customHeight="1">
      <x:c r="A653" s="28" t="n">
        <x:v>45992</x:v>
      </x:c>
      <x:c r="B653" s="2" t="str">
        <x:v>81</x:v>
      </x:c>
      <x:c r="C653" s="29" t="str">
        <x:v>Other services, except government</x:v>
      </x:c>
      <x:c r="D653" s="2" t="str">
        <x:v>CES8000000001</x:v>
      </x:c>
      <x:c r="E653" s="20" t="n">
        <x:v>6023</x:v>
      </x:c>
      <x:c r="F653" s="7" t="b">
        <x:v>0</x:v>
      </x:c>
      <x:c r="G653" s="2" t="str">
        <x:v>2025Q4</x:v>
      </x:c>
      <x:c r="H653" s="2" t="str">
        <x:v>https://api.bls.gov/publicAPI/v2/timeseries/data/</x:v>
      </x:c>
    </x:row>
    <x:row r="654" ht="38" customHeight="1">
      <x:c r="A654" s="28" t="n">
        <x:v>46023</x:v>
      </x:c>
      <x:c r="B654" s="2" t="str">
        <x:v>21</x:v>
      </x:c>
      <x:c r="C654" s="29" t="str">
        <x:v>Mining, quarrying, and oil and gas extraction</x:v>
      </x:c>
      <x:c r="D654" s="2" t="str">
        <x:v>CES1021000001</x:v>
      </x:c>
      <x:c r="E654" s="20" t="n">
        <x:v>565</x:v>
      </x:c>
      <x:c r="F654" s="7" t="b">
        <x:v>0</x:v>
      </x:c>
      <x:c r="G654" s="2" t="str">
        <x:v>2026Q1</x:v>
      </x:c>
      <x:c r="H654" s="2" t="str">
        <x:v>https://api.bls.gov/publicAPI/v2/timeseries/data/</x:v>
      </x:c>
    </x:row>
    <x:row r="655" ht="38" customHeight="1">
      <x:c r="A655" s="28" t="n">
        <x:v>46023</x:v>
      </x:c>
      <x:c r="B655" s="2" t="str">
        <x:v>22</x:v>
      </x:c>
      <x:c r="C655" s="29" t="str">
        <x:v>Utilities</x:v>
      </x:c>
      <x:c r="D655" s="2" t="str">
        <x:v>CES4422000001</x:v>
      </x:c>
      <x:c r="E655" s="20" t="n">
        <x:v>604.7</x:v>
      </x:c>
      <x:c r="F655" s="7" t="b">
        <x:v>0</x:v>
      </x:c>
      <x:c r="G655" s="2" t="str">
        <x:v>2026Q1</x:v>
      </x:c>
      <x:c r="H655" s="2" t="str">
        <x:v>https://api.bls.gov/publicAPI/v2/timeseries/data/</x:v>
      </x:c>
    </x:row>
    <x:row r="656" ht="38" customHeight="1">
      <x:c r="A656" s="28" t="n">
        <x:v>46023</x:v>
      </x:c>
      <x:c r="B656" s="2" t="str">
        <x:v>23</x:v>
      </x:c>
      <x:c r="C656" s="29" t="str">
        <x:v>Construction</x:v>
      </x:c>
      <x:c r="D656" s="2" t="str">
        <x:v>CES2000000001</x:v>
      </x:c>
      <x:c r="E656" s="20" t="n">
        <x:v>8317</x:v>
      </x:c>
      <x:c r="F656" s="7" t="b">
        <x:v>0</x:v>
      </x:c>
      <x:c r="G656" s="2" t="str">
        <x:v>2026Q1</x:v>
      </x:c>
      <x:c r="H656" s="2" t="str">
        <x:v>https://api.bls.gov/publicAPI/v2/timeseries/data/</x:v>
      </x:c>
    </x:row>
    <x:row r="657" ht="38" customHeight="1">
      <x:c r="A657" s="28" t="n">
        <x:v>46023</x:v>
      </x:c>
      <x:c r="B657" s="2" t="str">
        <x:v>31-33</x:v>
      </x:c>
      <x:c r="C657" s="29" t="str">
        <x:v>Manufacturing</x:v>
      </x:c>
      <x:c r="D657" s="2" t="str">
        <x:v>CES3000000001</x:v>
      </x:c>
      <x:c r="E657" s="20" t="n">
        <x:v>12582</x:v>
      </x:c>
      <x:c r="F657" s="7" t="b">
        <x:v>0</x:v>
      </x:c>
      <x:c r="G657" s="2" t="str">
        <x:v>2026Q1</x:v>
      </x:c>
      <x:c r="H657" s="2" t="str">
        <x:v>https://api.bls.gov/publicAPI/v2/timeseries/data/</x:v>
      </x:c>
    </x:row>
    <x:row r="658" ht="38" customHeight="1">
      <x:c r="A658" s="28" t="n">
        <x:v>46023</x:v>
      </x:c>
      <x:c r="B658" s="2" t="str">
        <x:v>42</x:v>
      </x:c>
      <x:c r="C658" s="29" t="str">
        <x:v>Wholesale trade</x:v>
      </x:c>
      <x:c r="D658" s="2" t="str">
        <x:v>CES4142000001</x:v>
      </x:c>
      <x:c r="E658" s="20" t="n">
        <x:v>6044.6</x:v>
      </x:c>
      <x:c r="F658" s="7" t="b">
        <x:v>0</x:v>
      </x:c>
      <x:c r="G658" s="2" t="str">
        <x:v>2026Q1</x:v>
      </x:c>
      <x:c r="H658" s="2" t="str">
        <x:v>https://api.bls.gov/publicAPI/v2/timeseries/data/</x:v>
      </x:c>
    </x:row>
    <x:row r="659" ht="38" customHeight="1">
      <x:c r="A659" s="28" t="n">
        <x:v>46023</x:v>
      </x:c>
      <x:c r="B659" s="2" t="str">
        <x:v>44-45</x:v>
      </x:c>
      <x:c r="C659" s="29" t="str">
        <x:v>Retail trade</x:v>
      </x:c>
      <x:c r="D659" s="2" t="str">
        <x:v>CES4200000001</x:v>
      </x:c>
      <x:c r="E659" s="20" t="n">
        <x:v>15426.2</x:v>
      </x:c>
      <x:c r="F659" s="7" t="b">
        <x:v>0</x:v>
      </x:c>
      <x:c r="G659" s="2" t="str">
        <x:v>2026Q1</x:v>
      </x:c>
      <x:c r="H659" s="2" t="str">
        <x:v>https://api.bls.gov/publicAPI/v2/timeseries/data/</x:v>
      </x:c>
    </x:row>
    <x:row r="660" ht="38" customHeight="1">
      <x:c r="A660" s="28" t="n">
        <x:v>46023</x:v>
      </x:c>
      <x:c r="B660" s="2" t="str">
        <x:v>48-49</x:v>
      </x:c>
      <x:c r="C660" s="29" t="str">
        <x:v>Transportation and warehousing</x:v>
      </x:c>
      <x:c r="D660" s="2" t="str">
        <x:v>CES4300000001</x:v>
      </x:c>
      <x:c r="E660" s="20" t="n">
        <x:v>6578</x:v>
      </x:c>
      <x:c r="F660" s="7" t="b">
        <x:v>0</x:v>
      </x:c>
      <x:c r="G660" s="2" t="str">
        <x:v>2026Q1</x:v>
      </x:c>
      <x:c r="H660" s="2" t="str">
        <x:v>https://api.bls.gov/publicAPI/v2/timeseries/data/</x:v>
      </x:c>
    </x:row>
    <x:row r="661" ht="38" customHeight="1">
      <x:c r="A661" s="28" t="n">
        <x:v>46023</x:v>
      </x:c>
      <x:c r="B661" s="2" t="str">
        <x:v>51</x:v>
      </x:c>
      <x:c r="C661" s="29" t="str">
        <x:v>Information</x:v>
      </x:c>
      <x:c r="D661" s="2" t="str">
        <x:v>CES5000000001</x:v>
      </x:c>
      <x:c r="E661" s="20" t="n">
        <x:v>2815</x:v>
      </x:c>
      <x:c r="F661" s="7" t="b">
        <x:v>0</x:v>
      </x:c>
      <x:c r="G661" s="2" t="str">
        <x:v>2026Q1</x:v>
      </x:c>
      <x:c r="H661" s="2" t="str">
        <x:v>https://api.bls.gov/publicAPI/v2/timeseries/data/</x:v>
      </x:c>
    </x:row>
    <x:row r="662" ht="38" customHeight="1">
      <x:c r="A662" s="28" t="n">
        <x:v>46023</x:v>
      </x:c>
      <x:c r="B662" s="2" t="str">
        <x:v>52</x:v>
      </x:c>
      <x:c r="C662" s="29" t="str">
        <x:v>Finance and insurance</x:v>
      </x:c>
      <x:c r="D662" s="2" t="str">
        <x:v>CES5552000001</x:v>
      </x:c>
      <x:c r="E662" s="20" t="n">
        <x:v>6710.4</x:v>
      </x:c>
      <x:c r="F662" s="7" t="b">
        <x:v>0</x:v>
      </x:c>
      <x:c r="G662" s="2" t="str">
        <x:v>2026Q1</x:v>
      </x:c>
      <x:c r="H662" s="2" t="str">
        <x:v>https://api.bls.gov/publicAPI/v2/timeseries/data/</x:v>
      </x:c>
    </x:row>
    <x:row r="663" ht="38" customHeight="1">
      <x:c r="A663" s="28" t="n">
        <x:v>46023</x:v>
      </x:c>
      <x:c r="B663" s="2" t="str">
        <x:v>53</x:v>
      </x:c>
      <x:c r="C663" s="29" t="str">
        <x:v>Real estate and rental and leasing</x:v>
      </x:c>
      <x:c r="D663" s="2" t="str">
        <x:v>CES5553000001</x:v>
      </x:c>
      <x:c r="E663" s="20" t="n">
        <x:v>2436.8</x:v>
      </x:c>
      <x:c r="F663" s="7" t="b">
        <x:v>0</x:v>
      </x:c>
      <x:c r="G663" s="2" t="str">
        <x:v>2026Q1</x:v>
      </x:c>
      <x:c r="H663" s="2" t="str">
        <x:v>https://api.bls.gov/publicAPI/v2/timeseries/data/</x:v>
      </x:c>
    </x:row>
    <x:row r="664" ht="38" customHeight="1">
      <x:c r="A664" s="28" t="n">
        <x:v>46023</x:v>
      </x:c>
      <x:c r="B664" s="2" t="str">
        <x:v>54</x:v>
      </x:c>
      <x:c r="C664" s="29" t="str">
        <x:v>Professional, scientific, and technical services</x:v>
      </x:c>
      <x:c r="D664" s="2" t="str">
        <x:v>CES6054000001</x:v>
      </x:c>
      <x:c r="E664" s="20" t="n">
        <x:v>10790.4</x:v>
      </x:c>
      <x:c r="F664" s="7" t="b">
        <x:v>0</x:v>
      </x:c>
      <x:c r="G664" s="2" t="str">
        <x:v>2026Q1</x:v>
      </x:c>
      <x:c r="H664" s="2" t="str">
        <x:v>https://api.bls.gov/publicAPI/v2/timeseries/data/</x:v>
      </x:c>
    </x:row>
    <x:row r="665" ht="38" customHeight="1">
      <x:c r="A665" s="28" t="n">
        <x:v>46023</x:v>
      </x:c>
      <x:c r="B665" s="2" t="str">
        <x:v>55</x:v>
      </x:c>
      <x:c r="C665" s="29" t="str">
        <x:v>Management of companies and enterprises</x:v>
      </x:c>
      <x:c r="D665" s="2" t="str">
        <x:v>CES6055000001</x:v>
      </x:c>
      <x:c r="E665" s="20" t="n">
        <x:v>2619.6</x:v>
      </x:c>
      <x:c r="F665" s="7" t="b">
        <x:v>0</x:v>
      </x:c>
      <x:c r="G665" s="2" t="str">
        <x:v>2026Q1</x:v>
      </x:c>
      <x:c r="H665" s="2" t="str">
        <x:v>https://api.bls.gov/publicAPI/v2/timeseries/data/</x:v>
      </x:c>
    </x:row>
    <x:row r="666" ht="38" customHeight="1">
      <x:c r="A666" s="28" t="n">
        <x:v>46023</x:v>
      </x:c>
      <x:c r="B666" s="2" t="str">
        <x:v>56</x:v>
      </x:c>
      <x:c r="C666" s="29" t="str">
        <x:v>Administrative, support, and waste services</x:v>
      </x:c>
      <x:c r="D666" s="2" t="str">
        <x:v>CES6056000001</x:v>
      </x:c>
      <x:c r="E666" s="20" t="n">
        <x:v>8998.2</x:v>
      </x:c>
      <x:c r="F666" s="7" t="b">
        <x:v>0</x:v>
      </x:c>
      <x:c r="G666" s="2" t="str">
        <x:v>2026Q1</x:v>
      </x:c>
      <x:c r="H666" s="2" t="str">
        <x:v>https://api.bls.gov/publicAPI/v2/timeseries/data/</x:v>
      </x:c>
    </x:row>
    <x:row r="667" ht="38" customHeight="1">
      <x:c r="A667" s="28" t="n">
        <x:v>46023</x:v>
      </x:c>
      <x:c r="B667" s="2" t="str">
        <x:v>61</x:v>
      </x:c>
      <x:c r="C667" s="29" t="str">
        <x:v>Private educational services</x:v>
      </x:c>
      <x:c r="D667" s="2" t="str">
        <x:v>CES6561000001</x:v>
      </x:c>
      <x:c r="E667" s="20" t="n">
        <x:v>4052</x:v>
      </x:c>
      <x:c r="F667" s="7" t="b">
        <x:v>0</x:v>
      </x:c>
      <x:c r="G667" s="2" t="str">
        <x:v>2026Q1</x:v>
      </x:c>
      <x:c r="H667" s="2" t="str">
        <x:v>https://api.bls.gov/publicAPI/v2/timeseries/data/</x:v>
      </x:c>
    </x:row>
    <x:row r="668" ht="38" customHeight="1">
      <x:c r="A668" s="28" t="n">
        <x:v>46023</x:v>
      </x:c>
      <x:c r="B668" s="2" t="str">
        <x:v>62</x:v>
      </x:c>
      <x:c r="C668" s="29" t="str">
        <x:v>Health care and social assistance</x:v>
      </x:c>
      <x:c r="D668" s="2" t="str">
        <x:v>CES6562000001</x:v>
      </x:c>
      <x:c r="E668" s="20" t="n">
        <x:v>23694.4</x:v>
      </x:c>
      <x:c r="F668" s="7" t="b">
        <x:v>0</x:v>
      </x:c>
      <x:c r="G668" s="2" t="str">
        <x:v>2026Q1</x:v>
      </x:c>
      <x:c r="H668" s="2" t="str">
        <x:v>https://api.bls.gov/publicAPI/v2/timeseries/data/</x:v>
      </x:c>
    </x:row>
    <x:row r="669" ht="38" customHeight="1">
      <x:c r="A669" s="28" t="n">
        <x:v>46023</x:v>
      </x:c>
      <x:c r="B669" s="2" t="str">
        <x:v>71</x:v>
      </x:c>
      <x:c r="C669" s="29" t="str">
        <x:v>Arts, entertainment, and recreation</x:v>
      </x:c>
      <x:c r="D669" s="2" t="str">
        <x:v>CES7071000001</x:v>
      </x:c>
      <x:c r="E669" s="20" t="n">
        <x:v>2668.6</x:v>
      </x:c>
      <x:c r="F669" s="7" t="b">
        <x:v>0</x:v>
      </x:c>
      <x:c r="G669" s="2" t="str">
        <x:v>2026Q1</x:v>
      </x:c>
      <x:c r="H669" s="2" t="str">
        <x:v>https://api.bls.gov/publicAPI/v2/timeseries/data/</x:v>
      </x:c>
    </x:row>
    <x:row r="670" ht="38" customHeight="1">
      <x:c r="A670" s="28" t="n">
        <x:v>46023</x:v>
      </x:c>
      <x:c r="B670" s="2" t="str">
        <x:v>72</x:v>
      </x:c>
      <x:c r="C670" s="29" t="str">
        <x:v>Accommodation and food services</x:v>
      </x:c>
      <x:c r="D670" s="2" t="str">
        <x:v>CES7072000001</x:v>
      </x:c>
      <x:c r="E670" s="20" t="n">
        <x:v>14296.9</x:v>
      </x:c>
      <x:c r="F670" s="7" t="b">
        <x:v>0</x:v>
      </x:c>
      <x:c r="G670" s="2" t="str">
        <x:v>2026Q1</x:v>
      </x:c>
      <x:c r="H670" s="2" t="str">
        <x:v>https://api.bls.gov/publicAPI/v2/timeseries/data/</x:v>
      </x:c>
    </x:row>
    <x:row r="671" ht="38" customHeight="1">
      <x:c r="A671" s="28" t="n">
        <x:v>46023</x:v>
      </x:c>
      <x:c r="B671" s="2" t="str">
        <x:v>81</x:v>
      </x:c>
      <x:c r="C671" s="29" t="str">
        <x:v>Other services, except government</x:v>
      </x:c>
      <x:c r="D671" s="2" t="str">
        <x:v>CES8000000001</x:v>
      </x:c>
      <x:c r="E671" s="20" t="n">
        <x:v>6026</x:v>
      </x:c>
      <x:c r="F671" s="7" t="b">
        <x:v>0</x:v>
      </x:c>
      <x:c r="G671" s="2" t="str">
        <x:v>2026Q1</x:v>
      </x:c>
      <x:c r="H671" s="2" t="str">
        <x:v>https://api.bls.gov/publicAPI/v2/timeseries/data/</x:v>
      </x:c>
    </x:row>
    <x:row r="672" ht="38" customHeight="1">
      <x:c r="A672" s="28" t="n">
        <x:v>46054</x:v>
      </x:c>
      <x:c r="B672" s="2" t="str">
        <x:v>21</x:v>
      </x:c>
      <x:c r="C672" s="29" t="str">
        <x:v>Mining, quarrying, and oil and gas extraction</x:v>
      </x:c>
      <x:c r="D672" s="2" t="str">
        <x:v>CES1021000001</x:v>
      </x:c>
      <x:c r="E672" s="20" t="n">
        <x:v>564.7</x:v>
      </x:c>
      <x:c r="F672" s="7" t="b">
        <x:v>0</x:v>
      </x:c>
      <x:c r="G672" s="2" t="str">
        <x:v>2026Q1</x:v>
      </x:c>
      <x:c r="H672" s="2" t="str">
        <x:v>https://api.bls.gov/publicAPI/v2/timeseries/data/</x:v>
      </x:c>
    </x:row>
    <x:row r="673" ht="38" customHeight="1">
      <x:c r="A673" s="28" t="n">
        <x:v>46054</x:v>
      </x:c>
      <x:c r="B673" s="2" t="str">
        <x:v>22</x:v>
      </x:c>
      <x:c r="C673" s="29" t="str">
        <x:v>Utilities</x:v>
      </x:c>
      <x:c r="D673" s="2" t="str">
        <x:v>CES4422000001</x:v>
      </x:c>
      <x:c r="E673" s="20" t="n">
        <x:v>606.3</x:v>
      </x:c>
      <x:c r="F673" s="7" t="b">
        <x:v>0</x:v>
      </x:c>
      <x:c r="G673" s="2" t="str">
        <x:v>2026Q1</x:v>
      </x:c>
      <x:c r="H673" s="2" t="str">
        <x:v>https://api.bls.gov/publicAPI/v2/timeseries/data/</x:v>
      </x:c>
    </x:row>
    <x:row r="674" ht="38" customHeight="1">
      <x:c r="A674" s="28" t="n">
        <x:v>46054</x:v>
      </x:c>
      <x:c r="B674" s="2" t="str">
        <x:v>23</x:v>
      </x:c>
      <x:c r="C674" s="29" t="str">
        <x:v>Construction</x:v>
      </x:c>
      <x:c r="D674" s="2" t="str">
        <x:v>CES2000000001</x:v>
      </x:c>
      <x:c r="E674" s="20" t="n">
        <x:v>8296</x:v>
      </x:c>
      <x:c r="F674" s="7" t="b">
        <x:v>0</x:v>
      </x:c>
      <x:c r="G674" s="2" t="str">
        <x:v>2026Q1</x:v>
      </x:c>
      <x:c r="H674" s="2" t="str">
        <x:v>https://api.bls.gov/publicAPI/v2/timeseries/data/</x:v>
      </x:c>
    </x:row>
    <x:row r="675" ht="38" customHeight="1">
      <x:c r="A675" s="28" t="n">
        <x:v>46054</x:v>
      </x:c>
      <x:c r="B675" s="2" t="str">
        <x:v>31-33</x:v>
      </x:c>
      <x:c r="C675" s="29" t="str">
        <x:v>Manufacturing</x:v>
      </x:c>
      <x:c r="D675" s="2" t="str">
        <x:v>CES3000000001</x:v>
      </x:c>
      <x:c r="E675" s="20" t="n">
        <x:v>12583</x:v>
      </x:c>
      <x:c r="F675" s="7" t="b">
        <x:v>0</x:v>
      </x:c>
      <x:c r="G675" s="2" t="str">
        <x:v>2026Q1</x:v>
      </x:c>
      <x:c r="H675" s="2" t="str">
        <x:v>https://api.bls.gov/publicAPI/v2/timeseries/data/</x:v>
      </x:c>
    </x:row>
    <x:row r="676" ht="38" customHeight="1">
      <x:c r="A676" s="28" t="n">
        <x:v>46054</x:v>
      </x:c>
      <x:c r="B676" s="2" t="str">
        <x:v>42</x:v>
      </x:c>
      <x:c r="C676" s="29" t="str">
        <x:v>Wholesale trade</x:v>
      </x:c>
      <x:c r="D676" s="2" t="str">
        <x:v>CES4142000001</x:v>
      </x:c>
      <x:c r="E676" s="20" t="n">
        <x:v>6053</x:v>
      </x:c>
      <x:c r="F676" s="7" t="b">
        <x:v>0</x:v>
      </x:c>
      <x:c r="G676" s="2" t="str">
        <x:v>2026Q1</x:v>
      </x:c>
      <x:c r="H676" s="2" t="str">
        <x:v>https://api.bls.gov/publicAPI/v2/timeseries/data/</x:v>
      </x:c>
    </x:row>
    <x:row r="677" ht="38" customHeight="1">
      <x:c r="A677" s="28" t="n">
        <x:v>46054</x:v>
      </x:c>
      <x:c r="B677" s="2" t="str">
        <x:v>44-45</x:v>
      </x:c>
      <x:c r="C677" s="29" t="str">
        <x:v>Retail trade</x:v>
      </x:c>
      <x:c r="D677" s="2" t="str">
        <x:v>CES4200000001</x:v>
      </x:c>
      <x:c r="E677" s="20" t="n">
        <x:v>15425.9</x:v>
      </x:c>
      <x:c r="F677" s="7" t="b">
        <x:v>0</x:v>
      </x:c>
      <x:c r="G677" s="2" t="str">
        <x:v>2026Q1</x:v>
      </x:c>
      <x:c r="H677" s="2" t="str">
        <x:v>https://api.bls.gov/publicAPI/v2/timeseries/data/</x:v>
      </x:c>
    </x:row>
    <x:row r="678" ht="38" customHeight="1">
      <x:c r="A678" s="28" t="n">
        <x:v>46054</x:v>
      </x:c>
      <x:c r="B678" s="2" t="str">
        <x:v>48-49</x:v>
      </x:c>
      <x:c r="C678" s="29" t="str">
        <x:v>Transportation and warehousing</x:v>
      </x:c>
      <x:c r="D678" s="2" t="str">
        <x:v>CES4300000001</x:v>
      </x:c>
      <x:c r="E678" s="20" t="n">
        <x:v>6532.5</x:v>
      </x:c>
      <x:c r="F678" s="7" t="b">
        <x:v>0</x:v>
      </x:c>
      <x:c r="G678" s="2" t="str">
        <x:v>2026Q1</x:v>
      </x:c>
      <x:c r="H678" s="2" t="str">
        <x:v>https://api.bls.gov/publicAPI/v2/timeseries/data/</x:v>
      </x:c>
    </x:row>
    <x:row r="679" ht="38" customHeight="1">
      <x:c r="A679" s="28" t="n">
        <x:v>46054</x:v>
      </x:c>
      <x:c r="B679" s="2" t="str">
        <x:v>51</x:v>
      </x:c>
      <x:c r="C679" s="29" t="str">
        <x:v>Information</x:v>
      </x:c>
      <x:c r="D679" s="2" t="str">
        <x:v>CES5000000001</x:v>
      </x:c>
      <x:c r="E679" s="20" t="n">
        <x:v>2792</x:v>
      </x:c>
      <x:c r="F679" s="7" t="b">
        <x:v>0</x:v>
      </x:c>
      <x:c r="G679" s="2" t="str">
        <x:v>2026Q1</x:v>
      </x:c>
      <x:c r="H679" s="2" t="str">
        <x:v>https://api.bls.gov/publicAPI/v2/timeseries/data/</x:v>
      </x:c>
    </x:row>
    <x:row r="680" ht="38" customHeight="1">
      <x:c r="A680" s="28" t="n">
        <x:v>46054</x:v>
      </x:c>
      <x:c r="B680" s="2" t="str">
        <x:v>52</x:v>
      </x:c>
      <x:c r="C680" s="29" t="str">
        <x:v>Finance and insurance</x:v>
      </x:c>
      <x:c r="D680" s="2" t="str">
        <x:v>CES5552000001</x:v>
      </x:c>
      <x:c r="E680" s="20" t="n">
        <x:v>6707.7</x:v>
      </x:c>
      <x:c r="F680" s="7" t="b">
        <x:v>0</x:v>
      </x:c>
      <x:c r="G680" s="2" t="str">
        <x:v>2026Q1</x:v>
      </x:c>
      <x:c r="H680" s="2" t="str">
        <x:v>https://api.bls.gov/publicAPI/v2/timeseries/data/</x:v>
      </x:c>
    </x:row>
    <x:row r="681" ht="38" customHeight="1">
      <x:c r="A681" s="28" t="n">
        <x:v>46054</x:v>
      </x:c>
      <x:c r="B681" s="2" t="str">
        <x:v>53</x:v>
      </x:c>
      <x:c r="C681" s="29" t="str">
        <x:v>Real estate and rental and leasing</x:v>
      </x:c>
      <x:c r="D681" s="2" t="str">
        <x:v>CES5553000001</x:v>
      </x:c>
      <x:c r="E681" s="20" t="n">
        <x:v>2441.1</x:v>
      </x:c>
      <x:c r="F681" s="7" t="b">
        <x:v>0</x:v>
      </x:c>
      <x:c r="G681" s="2" t="str">
        <x:v>2026Q1</x:v>
      </x:c>
      <x:c r="H681" s="2" t="str">
        <x:v>https://api.bls.gov/publicAPI/v2/timeseries/data/</x:v>
      </x:c>
    </x:row>
    <x:row r="682" ht="38" customHeight="1">
      <x:c r="A682" s="28" t="n">
        <x:v>46054</x:v>
      </x:c>
      <x:c r="B682" s="2" t="str">
        <x:v>54</x:v>
      </x:c>
      <x:c r="C682" s="29" t="str">
        <x:v>Professional, scientific, and technical services</x:v>
      </x:c>
      <x:c r="D682" s="2" t="str">
        <x:v>CES6054000001</x:v>
      </x:c>
      <x:c r="E682" s="20" t="n">
        <x:v>10810</x:v>
      </x:c>
      <x:c r="F682" s="7" t="b">
        <x:v>0</x:v>
      </x:c>
      <x:c r="G682" s="2" t="str">
        <x:v>2026Q1</x:v>
      </x:c>
      <x:c r="H682" s="2" t="str">
        <x:v>https://api.bls.gov/publicAPI/v2/timeseries/data/</x:v>
      </x:c>
    </x:row>
    <x:row r="683" ht="38" customHeight="1">
      <x:c r="A683" s="28" t="n">
        <x:v>46054</x:v>
      </x:c>
      <x:c r="B683" s="2" t="str">
        <x:v>55</x:v>
      </x:c>
      <x:c r="C683" s="29" t="str">
        <x:v>Management of companies and enterprises</x:v>
      </x:c>
      <x:c r="D683" s="2" t="str">
        <x:v>CES6055000001</x:v>
      </x:c>
      <x:c r="E683" s="20" t="n">
        <x:v>2618</x:v>
      </x:c>
      <x:c r="F683" s="7" t="b">
        <x:v>0</x:v>
      </x:c>
      <x:c r="G683" s="2" t="str">
        <x:v>2026Q1</x:v>
      </x:c>
      <x:c r="H683" s="2" t="str">
        <x:v>https://api.bls.gov/publicAPI/v2/timeseries/data/</x:v>
      </x:c>
    </x:row>
    <x:row r="684" ht="38" customHeight="1">
      <x:c r="A684" s="28" t="n">
        <x:v>46054</x:v>
      </x:c>
      <x:c r="B684" s="2" t="str">
        <x:v>56</x:v>
      </x:c>
      <x:c r="C684" s="29" t="str">
        <x:v>Administrative, support, and waste services</x:v>
      </x:c>
      <x:c r="D684" s="2" t="str">
        <x:v>CES6056000001</x:v>
      </x:c>
      <x:c r="E684" s="20" t="n">
        <x:v>8984.1</x:v>
      </x:c>
      <x:c r="F684" s="7" t="b">
        <x:v>0</x:v>
      </x:c>
      <x:c r="G684" s="2" t="str">
        <x:v>2026Q1</x:v>
      </x:c>
      <x:c r="H684" s="2" t="str">
        <x:v>https://api.bls.gov/publicAPI/v2/timeseries/data/</x:v>
      </x:c>
    </x:row>
    <x:row r="685" ht="38" customHeight="1">
      <x:c r="A685" s="28" t="n">
        <x:v>46054</x:v>
      </x:c>
      <x:c r="B685" s="2" t="str">
        <x:v>61</x:v>
      </x:c>
      <x:c r="C685" s="29" t="str">
        <x:v>Private educational services</x:v>
      </x:c>
      <x:c r="D685" s="2" t="str">
        <x:v>CES6561000001</x:v>
      </x:c>
      <x:c r="E685" s="20" t="n">
        <x:v>4033.1</x:v>
      </x:c>
      <x:c r="F685" s="7" t="b">
        <x:v>0</x:v>
      </x:c>
      <x:c r="G685" s="2" t="str">
        <x:v>2026Q1</x:v>
      </x:c>
      <x:c r="H685" s="2" t="str">
        <x:v>https://api.bls.gov/publicAPI/v2/timeseries/data/</x:v>
      </x:c>
    </x:row>
    <x:row r="686" ht="38" customHeight="1">
      <x:c r="A686" s="28" t="n">
        <x:v>46054</x:v>
      </x:c>
      <x:c r="B686" s="2" t="str">
        <x:v>62</x:v>
      </x:c>
      <x:c r="C686" s="29" t="str">
        <x:v>Health care and social assistance</x:v>
      </x:c>
      <x:c r="D686" s="2" t="str">
        <x:v>CES6562000001</x:v>
      </x:c>
      <x:c r="E686" s="20" t="n">
        <x:v>23664</x:v>
      </x:c>
      <x:c r="F686" s="7" t="b">
        <x:v>0</x:v>
      </x:c>
      <x:c r="G686" s="2" t="str">
        <x:v>2026Q1</x:v>
      </x:c>
      <x:c r="H686" s="2" t="str">
        <x:v>https://api.bls.gov/publicAPI/v2/timeseries/data/</x:v>
      </x:c>
    </x:row>
    <x:row r="687" ht="38" customHeight="1">
      <x:c r="A687" s="28" t="n">
        <x:v>46054</x:v>
      </x:c>
      <x:c r="B687" s="2" t="str">
        <x:v>71</x:v>
      </x:c>
      <x:c r="C687" s="29" t="str">
        <x:v>Arts, entertainment, and recreation</x:v>
      </x:c>
      <x:c r="D687" s="2" t="str">
        <x:v>CES7071000001</x:v>
      </x:c>
      <x:c r="E687" s="20" t="n">
        <x:v>2685.9</x:v>
      </x:c>
      <x:c r="F687" s="7" t="b">
        <x:v>0</x:v>
      </x:c>
      <x:c r="G687" s="2" t="str">
        <x:v>2026Q1</x:v>
      </x:c>
      <x:c r="H687" s="2" t="str">
        <x:v>https://api.bls.gov/publicAPI/v2/timeseries/data/</x:v>
      </x:c>
    </x:row>
    <x:row r="688" ht="38" customHeight="1">
      <x:c r="A688" s="28" t="n">
        <x:v>46054</x:v>
      </x:c>
      <x:c r="B688" s="2" t="str">
        <x:v>72</x:v>
      </x:c>
      <x:c r="C688" s="29" t="str">
        <x:v>Accommodation and food services</x:v>
      </x:c>
      <x:c r="D688" s="2" t="str">
        <x:v>CES7072000001</x:v>
      </x:c>
      <x:c r="E688" s="20" t="n">
        <x:v>14249.5</x:v>
      </x:c>
      <x:c r="F688" s="7" t="b">
        <x:v>0</x:v>
      </x:c>
      <x:c r="G688" s="2" t="str">
        <x:v>2026Q1</x:v>
      </x:c>
      <x:c r="H688" s="2" t="str">
        <x:v>https://api.bls.gov/publicAPI/v2/timeseries/data/</x:v>
      </x:c>
    </x:row>
    <x:row r="689" ht="38" customHeight="1">
      <x:c r="A689" s="28" t="n">
        <x:v>46054</x:v>
      </x:c>
      <x:c r="B689" s="2" t="str">
        <x:v>81</x:v>
      </x:c>
      <x:c r="C689" s="29" t="str">
        <x:v>Other services, except government</x:v>
      </x:c>
      <x:c r="D689" s="2" t="str">
        <x:v>CES8000000001</x:v>
      </x:c>
      <x:c r="E689" s="20" t="n">
        <x:v>6032</x:v>
      </x:c>
      <x:c r="F689" s="7" t="b">
        <x:v>0</x:v>
      </x:c>
      <x:c r="G689" s="2" t="str">
        <x:v>2026Q1</x:v>
      </x:c>
      <x:c r="H689" s="2" t="str">
        <x:v>https://api.bls.gov/publicAPI/v2/timeseries/data/</x:v>
      </x:c>
    </x:row>
    <x:row r="690" ht="38" customHeight="1">
      <x:c r="A690" s="28" t="n">
        <x:v>46082</x:v>
      </x:c>
      <x:c r="B690" s="2" t="str">
        <x:v>21</x:v>
      </x:c>
      <x:c r="C690" s="29" t="str">
        <x:v>Mining, quarrying, and oil and gas extraction</x:v>
      </x:c>
      <x:c r="D690" s="2" t="str">
        <x:v>CES1021000001</x:v>
      </x:c>
      <x:c r="E690" s="20" t="n">
        <x:v>566.1</x:v>
      </x:c>
      <x:c r="F690" s="7" t="b">
        <x:v>0</x:v>
      </x:c>
      <x:c r="G690" s="2" t="str">
        <x:v>2026Q1</x:v>
      </x:c>
      <x:c r="H690" s="2" t="str">
        <x:v>https://api.bls.gov/publicAPI/v2/timeseries/data/</x:v>
      </x:c>
    </x:row>
    <x:row r="691" ht="38" customHeight="1">
      <x:c r="A691" s="28" t="n">
        <x:v>46082</x:v>
      </x:c>
      <x:c r="B691" s="2" t="str">
        <x:v>22</x:v>
      </x:c>
      <x:c r="C691" s="29" t="str">
        <x:v>Utilities</x:v>
      </x:c>
      <x:c r="D691" s="2" t="str">
        <x:v>CES4422000001</x:v>
      </x:c>
      <x:c r="E691" s="20" t="n">
        <x:v>605.8</x:v>
      </x:c>
      <x:c r="F691" s="7" t="b">
        <x:v>0</x:v>
      </x:c>
      <x:c r="G691" s="2" t="str">
        <x:v>2026Q1</x:v>
      </x:c>
      <x:c r="H691" s="2" t="str">
        <x:v>https://api.bls.gov/publicAPI/v2/timeseries/data/</x:v>
      </x:c>
    </x:row>
    <x:row r="692" ht="38" customHeight="1">
      <x:c r="A692" s="28" t="n">
        <x:v>46082</x:v>
      </x:c>
      <x:c r="B692" s="2" t="str">
        <x:v>23</x:v>
      </x:c>
      <x:c r="C692" s="29" t="str">
        <x:v>Construction</x:v>
      </x:c>
      <x:c r="D692" s="2" t="str">
        <x:v>CES2000000001</x:v>
      </x:c>
      <x:c r="E692" s="20" t="n">
        <x:v>8311</x:v>
      </x:c>
      <x:c r="F692" s="7" t="b">
        <x:v>0</x:v>
      </x:c>
      <x:c r="G692" s="2" t="str">
        <x:v>2026Q1</x:v>
      </x:c>
      <x:c r="H692" s="2" t="str">
        <x:v>https://api.bls.gov/publicAPI/v2/timeseries/data/</x:v>
      </x:c>
    </x:row>
    <x:row r="693" ht="38" customHeight="1">
      <x:c r="A693" s="28" t="n">
        <x:v>46082</x:v>
      </x:c>
      <x:c r="B693" s="2" t="str">
        <x:v>31-33</x:v>
      </x:c>
      <x:c r="C693" s="29" t="str">
        <x:v>Manufacturing</x:v>
      </x:c>
      <x:c r="D693" s="2" t="str">
        <x:v>CES3000000001</x:v>
      </x:c>
      <x:c r="E693" s="20" t="n">
        <x:v>12598</x:v>
      </x:c>
      <x:c r="F693" s="7" t="b">
        <x:v>0</x:v>
      </x:c>
      <x:c r="G693" s="2" t="str">
        <x:v>2026Q1</x:v>
      </x:c>
      <x:c r="H693" s="2" t="str">
        <x:v>https://api.bls.gov/publicAPI/v2/timeseries/data/</x:v>
      </x:c>
    </x:row>
    <x:row r="694" ht="38" customHeight="1">
      <x:c r="A694" s="28" t="n">
        <x:v>46082</x:v>
      </x:c>
      <x:c r="B694" s="2" t="str">
        <x:v>42</x:v>
      </x:c>
      <x:c r="C694" s="29" t="str">
        <x:v>Wholesale trade</x:v>
      </x:c>
      <x:c r="D694" s="2" t="str">
        <x:v>CES4142000001</x:v>
      </x:c>
      <x:c r="E694" s="20" t="n">
        <x:v>6051.3</x:v>
      </x:c>
      <x:c r="F694" s="7" t="b">
        <x:v>0</x:v>
      </x:c>
      <x:c r="G694" s="2" t="str">
        <x:v>2026Q1</x:v>
      </x:c>
      <x:c r="H694" s="2" t="str">
        <x:v>https://api.bls.gov/publicAPI/v2/timeseries/data/</x:v>
      </x:c>
    </x:row>
    <x:row r="695" ht="38" customHeight="1">
      <x:c r="A695" s="28" t="n">
        <x:v>46082</x:v>
      </x:c>
      <x:c r="B695" s="2" t="str">
        <x:v>44-45</x:v>
      </x:c>
      <x:c r="C695" s="29" t="str">
        <x:v>Retail trade</x:v>
      </x:c>
      <x:c r="D695" s="2" t="str">
        <x:v>CES4200000001</x:v>
      </x:c>
      <x:c r="E695" s="20" t="n">
        <x:v>15435.5</x:v>
      </x:c>
      <x:c r="F695" s="7" t="b">
        <x:v>0</x:v>
      </x:c>
      <x:c r="G695" s="2" t="str">
        <x:v>2026Q1</x:v>
      </x:c>
      <x:c r="H695" s="2" t="str">
        <x:v>https://api.bls.gov/publicAPI/v2/timeseries/data/</x:v>
      </x:c>
    </x:row>
    <x:row r="696" ht="38" customHeight="1">
      <x:c r="A696" s="28" t="n">
        <x:v>46082</x:v>
      </x:c>
      <x:c r="B696" s="2" t="str">
        <x:v>48-49</x:v>
      </x:c>
      <x:c r="C696" s="29" t="str">
        <x:v>Transportation and warehousing</x:v>
      </x:c>
      <x:c r="D696" s="2" t="str">
        <x:v>CES4300000001</x:v>
      </x:c>
      <x:c r="E696" s="20" t="n">
        <x:v>6557.6</x:v>
      </x:c>
      <x:c r="F696" s="7" t="b">
        <x:v>0</x:v>
      </x:c>
      <x:c r="G696" s="2" t="str">
        <x:v>2026Q1</x:v>
      </x:c>
      <x:c r="H696" s="2" t="str">
        <x:v>https://api.bls.gov/publicAPI/v2/timeseries/data/</x:v>
      </x:c>
    </x:row>
    <x:row r="697" ht="38" customHeight="1">
      <x:c r="A697" s="28" t="n">
        <x:v>46082</x:v>
      </x:c>
      <x:c r="B697" s="2" t="str">
        <x:v>51</x:v>
      </x:c>
      <x:c r="C697" s="29" t="str">
        <x:v>Information</x:v>
      </x:c>
      <x:c r="D697" s="2" t="str">
        <x:v>CES5000000001</x:v>
      </x:c>
      <x:c r="E697" s="20" t="n">
        <x:v>2793</x:v>
      </x:c>
      <x:c r="F697" s="7" t="b">
        <x:v>0</x:v>
      </x:c>
      <x:c r="G697" s="2" t="str">
        <x:v>2026Q1</x:v>
      </x:c>
      <x:c r="H697" s="2" t="str">
        <x:v>https://api.bls.gov/publicAPI/v2/timeseries/data/</x:v>
      </x:c>
    </x:row>
    <x:row r="698" ht="38" customHeight="1">
      <x:c r="A698" s="28" t="n">
        <x:v>46082</x:v>
      </x:c>
      <x:c r="B698" s="2" t="str">
        <x:v>52</x:v>
      </x:c>
      <x:c r="C698" s="29" t="str">
        <x:v>Finance and insurance</x:v>
      </x:c>
      <x:c r="D698" s="2" t="str">
        <x:v>CES5552000001</x:v>
      </x:c>
      <x:c r="E698" s="20" t="n">
        <x:v>6688</x:v>
      </x:c>
      <x:c r="F698" s="7" t="b">
        <x:v>0</x:v>
      </x:c>
      <x:c r="G698" s="2" t="str">
        <x:v>2026Q1</x:v>
      </x:c>
      <x:c r="H698" s="2" t="str">
        <x:v>https://api.bls.gov/publicAPI/v2/timeseries/data/</x:v>
      </x:c>
    </x:row>
    <x:row r="699" ht="38" customHeight="1">
      <x:c r="A699" s="28" t="n">
        <x:v>46082</x:v>
      </x:c>
      <x:c r="B699" s="2" t="str">
        <x:v>53</x:v>
      </x:c>
      <x:c r="C699" s="29" t="str">
        <x:v>Real estate and rental and leasing</x:v>
      </x:c>
      <x:c r="D699" s="2" t="str">
        <x:v>CES5553000001</x:v>
      </x:c>
      <x:c r="E699" s="20" t="n">
        <x:v>2443.7</x:v>
      </x:c>
      <x:c r="F699" s="7" t="b">
        <x:v>0</x:v>
      </x:c>
      <x:c r="G699" s="2" t="str">
        <x:v>2026Q1</x:v>
      </x:c>
      <x:c r="H699" s="2" t="str">
        <x:v>https://api.bls.gov/publicAPI/v2/timeseries/data/</x:v>
      </x:c>
    </x:row>
    <x:row r="700" ht="38" customHeight="1">
      <x:c r="A700" s="28" t="n">
        <x:v>46082</x:v>
      </x:c>
      <x:c r="B700" s="2" t="str">
        <x:v>54</x:v>
      </x:c>
      <x:c r="C700" s="29" t="str">
        <x:v>Professional, scientific, and technical services</x:v>
      </x:c>
      <x:c r="D700" s="2" t="str">
        <x:v>CES6054000001</x:v>
      </x:c>
      <x:c r="E700" s="20" t="n">
        <x:v>10795.6</x:v>
      </x:c>
      <x:c r="F700" s="7" t="b">
        <x:v>0</x:v>
      </x:c>
      <x:c r="G700" s="2" t="str">
        <x:v>2026Q1</x:v>
      </x:c>
      <x:c r="H700" s="2" t="str">
        <x:v>https://api.bls.gov/publicAPI/v2/timeseries/data/</x:v>
      </x:c>
    </x:row>
    <x:row r="701" ht="38" customHeight="1">
      <x:c r="A701" s="28" t="n">
        <x:v>46082</x:v>
      </x:c>
      <x:c r="B701" s="2" t="str">
        <x:v>55</x:v>
      </x:c>
      <x:c r="C701" s="29" t="str">
        <x:v>Management of companies and enterprises</x:v>
      </x:c>
      <x:c r="D701" s="2" t="str">
        <x:v>CES6055000001</x:v>
      </x:c>
      <x:c r="E701" s="20" t="n">
        <x:v>2616.2</x:v>
      </x:c>
      <x:c r="F701" s="7" t="b">
        <x:v>0</x:v>
      </x:c>
      <x:c r="G701" s="2" t="str">
        <x:v>2026Q1</x:v>
      </x:c>
      <x:c r="H701" s="2" t="str">
        <x:v>https://api.bls.gov/publicAPI/v2/timeseries/data/</x:v>
      </x:c>
    </x:row>
    <x:row r="702" ht="38" customHeight="1">
      <x:c r="A702" s="28" t="n">
        <x:v>46082</x:v>
      </x:c>
      <x:c r="B702" s="2" t="str">
        <x:v>56</x:v>
      </x:c>
      <x:c r="C702" s="29" t="str">
        <x:v>Administrative, support, and waste services</x:v>
      </x:c>
      <x:c r="D702" s="2" t="str">
        <x:v>CES6056000001</x:v>
      </x:c>
      <x:c r="E702" s="20" t="n">
        <x:v>9028.6</x:v>
      </x:c>
      <x:c r="F702" s="7" t="b">
        <x:v>0</x:v>
      </x:c>
      <x:c r="G702" s="2" t="str">
        <x:v>2026Q1</x:v>
      </x:c>
      <x:c r="H702" s="2" t="str">
        <x:v>https://api.bls.gov/publicAPI/v2/timeseries/data/</x:v>
      </x:c>
    </x:row>
    <x:row r="703" ht="38" customHeight="1">
      <x:c r="A703" s="28" t="n">
        <x:v>46082</x:v>
      </x:c>
      <x:c r="B703" s="2" t="str">
        <x:v>61</x:v>
      </x:c>
      <x:c r="C703" s="29" t="str">
        <x:v>Private educational services</x:v>
      </x:c>
      <x:c r="D703" s="2" t="str">
        <x:v>CES6561000001</x:v>
      </x:c>
      <x:c r="E703" s="20" t="n">
        <x:v>4035.6</x:v>
      </x:c>
      <x:c r="F703" s="7" t="b">
        <x:v>0</x:v>
      </x:c>
      <x:c r="G703" s="2" t="str">
        <x:v>2026Q1</x:v>
      </x:c>
      <x:c r="H703" s="2" t="str">
        <x:v>https://api.bls.gov/publicAPI/v2/timeseries/data/</x:v>
      </x:c>
    </x:row>
    <x:row r="704" ht="38" customHeight="1">
      <x:c r="A704" s="28" t="n">
        <x:v>46082</x:v>
      </x:c>
      <x:c r="B704" s="2" t="str">
        <x:v>62</x:v>
      </x:c>
      <x:c r="C704" s="29" t="str">
        <x:v>Health care and social assistance</x:v>
      </x:c>
      <x:c r="D704" s="2" t="str">
        <x:v>CES6562000001</x:v>
      </x:c>
      <x:c r="E704" s="20" t="n">
        <x:v>23756.7</x:v>
      </x:c>
      <x:c r="F704" s="7" t="b">
        <x:v>0</x:v>
      </x:c>
      <x:c r="G704" s="2" t="str">
        <x:v>2026Q1</x:v>
      </x:c>
      <x:c r="H704" s="2" t="str">
        <x:v>https://api.bls.gov/publicAPI/v2/timeseries/data/</x:v>
      </x:c>
    </x:row>
    <x:row r="705" ht="38" customHeight="1">
      <x:c r="A705" s="28" t="n">
        <x:v>46082</x:v>
      </x:c>
      <x:c r="B705" s="2" t="str">
        <x:v>71</x:v>
      </x:c>
      <x:c r="C705" s="29" t="str">
        <x:v>Arts, entertainment, and recreation</x:v>
      </x:c>
      <x:c r="D705" s="2" t="str">
        <x:v>CES7071000001</x:v>
      </x:c>
      <x:c r="E705" s="20" t="n">
        <x:v>2687.4</x:v>
      </x:c>
      <x:c r="F705" s="7" t="b">
        <x:v>0</x:v>
      </x:c>
      <x:c r="G705" s="2" t="str">
        <x:v>2026Q1</x:v>
      </x:c>
      <x:c r="H705" s="2" t="str">
        <x:v>https://api.bls.gov/publicAPI/v2/timeseries/data/</x:v>
      </x:c>
    </x:row>
    <x:row r="706" ht="38" customHeight="1">
      <x:c r="A706" s="28" t="n">
        <x:v>46082</x:v>
      </x:c>
      <x:c r="B706" s="2" t="str">
        <x:v>72</x:v>
      </x:c>
      <x:c r="C706" s="29" t="str">
        <x:v>Accommodation and food services</x:v>
      </x:c>
      <x:c r="D706" s="2" t="str">
        <x:v>CES7072000001</x:v>
      </x:c>
      <x:c r="E706" s="20" t="n">
        <x:v>14291.6</x:v>
      </x:c>
      <x:c r="F706" s="7" t="b">
        <x:v>0</x:v>
      </x:c>
      <x:c r="G706" s="2" t="str">
        <x:v>2026Q1</x:v>
      </x:c>
      <x:c r="H706" s="2" t="str">
        <x:v>https://api.bls.gov/publicAPI/v2/timeseries/data/</x:v>
      </x:c>
    </x:row>
    <x:row r="707" ht="38" customHeight="1">
      <x:c r="A707" s="28" t="n">
        <x:v>46082</x:v>
      </x:c>
      <x:c r="B707" s="2" t="str">
        <x:v>81</x:v>
      </x:c>
      <x:c r="C707" s="29" t="str">
        <x:v>Other services, except government</x:v>
      </x:c>
      <x:c r="D707" s="2" t="str">
        <x:v>CES8000000001</x:v>
      </x:c>
      <x:c r="E707" s="20" t="n">
        <x:v>6018</x:v>
      </x:c>
      <x:c r="F707" s="7" t="b">
        <x:v>0</x:v>
      </x:c>
      <x:c r="G707" s="2" t="str">
        <x:v>2026Q1</x:v>
      </x:c>
      <x:c r="H707" s="2" t="str">
        <x:v>https://api.bls.gov/publicAPI/v2/timeseries/data/</x:v>
      </x:c>
    </x:row>
    <x:row r="708" ht="38" customHeight="1">
      <x:c r="A708" s="28" t="n">
        <x:v>46113</x:v>
      </x:c>
      <x:c r="B708" s="2" t="str">
        <x:v>21</x:v>
      </x:c>
      <x:c r="C708" s="29" t="str">
        <x:v>Mining, quarrying, and oil and gas extraction</x:v>
      </x:c>
      <x:c r="D708" s="2" t="str">
        <x:v>CES1021000001</x:v>
      </x:c>
      <x:c r="E708" s="20" t="n">
        <x:v>568.4</x:v>
      </x:c>
      <x:c r="F708" s="7" t="b">
        <x:v>0</x:v>
      </x:c>
      <x:c r="G708" s="2" t="str">
        <x:v>2026Q2</x:v>
      </x:c>
      <x:c r="H708" s="2" t="str">
        <x:v>https://api.bls.gov/publicAPI/v2/timeseries/data/</x:v>
      </x:c>
    </x:row>
    <x:row r="709" ht="38" customHeight="1">
      <x:c r="A709" s="28" t="n">
        <x:v>46113</x:v>
      </x:c>
      <x:c r="B709" s="2" t="str">
        <x:v>22</x:v>
      </x:c>
      <x:c r="C709" s="29" t="str">
        <x:v>Utilities</x:v>
      </x:c>
      <x:c r="D709" s="2" t="str">
        <x:v>CES4422000001</x:v>
      </x:c>
      <x:c r="E709" s="20" t="n">
        <x:v>606.8</x:v>
      </x:c>
      <x:c r="F709" s="7" t="b">
        <x:v>0</x:v>
      </x:c>
      <x:c r="G709" s="2" t="str">
        <x:v>2026Q2</x:v>
      </x:c>
      <x:c r="H709" s="2" t="str">
        <x:v>https://api.bls.gov/publicAPI/v2/timeseries/data/</x:v>
      </x:c>
    </x:row>
    <x:row r="710" ht="38" customHeight="1">
      <x:c r="A710" s="28" t="n">
        <x:v>46113</x:v>
      </x:c>
      <x:c r="B710" s="2" t="str">
        <x:v>23</x:v>
      </x:c>
      <x:c r="C710" s="29" t="str">
        <x:v>Construction</x:v>
      </x:c>
      <x:c r="D710" s="2" t="str">
        <x:v>CES2000000001</x:v>
      </x:c>
      <x:c r="E710" s="20" t="n">
        <x:v>8314</x:v>
      </x:c>
      <x:c r="F710" s="7" t="b">
        <x:v>0</x:v>
      </x:c>
      <x:c r="G710" s="2" t="str">
        <x:v>2026Q2</x:v>
      </x:c>
      <x:c r="H710" s="2" t="str">
        <x:v>https://api.bls.gov/publicAPI/v2/timeseries/data/</x:v>
      </x:c>
    </x:row>
    <x:row r="711" ht="38" customHeight="1">
      <x:c r="A711" s="28" t="n">
        <x:v>46113</x:v>
      </x:c>
      <x:c r="B711" s="2" t="str">
        <x:v>31-33</x:v>
      </x:c>
      <x:c r="C711" s="29" t="str">
        <x:v>Manufacturing</x:v>
      </x:c>
      <x:c r="D711" s="2" t="str">
        <x:v>CES3000000001</x:v>
      </x:c>
      <x:c r="E711" s="20" t="n">
        <x:v>12597</x:v>
      </x:c>
      <x:c r="F711" s="7" t="b">
        <x:v>0</x:v>
      </x:c>
      <x:c r="G711" s="2" t="str">
        <x:v>2026Q2</x:v>
      </x:c>
      <x:c r="H711" s="2" t="str">
        <x:v>https://api.bls.gov/publicAPI/v2/timeseries/data/</x:v>
      </x:c>
    </x:row>
    <x:row r="712" ht="38" customHeight="1">
      <x:c r="A712" s="28" t="n">
        <x:v>46113</x:v>
      </x:c>
      <x:c r="B712" s="2" t="str">
        <x:v>42</x:v>
      </x:c>
      <x:c r="C712" s="29" t="str">
        <x:v>Wholesale trade</x:v>
      </x:c>
      <x:c r="D712" s="2" t="str">
        <x:v>CES4142000001</x:v>
      </x:c>
      <x:c r="E712" s="20" t="n">
        <x:v>6051.9</x:v>
      </x:c>
      <x:c r="F712" s="7" t="b">
        <x:v>0</x:v>
      </x:c>
      <x:c r="G712" s="2" t="str">
        <x:v>2026Q2</x:v>
      </x:c>
      <x:c r="H712" s="2" t="str">
        <x:v>https://api.bls.gov/publicAPI/v2/timeseries/data/</x:v>
      </x:c>
    </x:row>
    <x:row r="713" ht="38" customHeight="1">
      <x:c r="A713" s="28" t="n">
        <x:v>46113</x:v>
      </x:c>
      <x:c r="B713" s="2" t="str">
        <x:v>44-45</x:v>
      </x:c>
      <x:c r="C713" s="29" t="str">
        <x:v>Retail trade</x:v>
      </x:c>
      <x:c r="D713" s="2" t="str">
        <x:v>CES4200000001</x:v>
      </x:c>
      <x:c r="E713" s="20" t="n">
        <x:v>15459</x:v>
      </x:c>
      <x:c r="F713" s="7" t="b">
        <x:v>0</x:v>
      </x:c>
      <x:c r="G713" s="2" t="str">
        <x:v>2026Q2</x:v>
      </x:c>
      <x:c r="H713" s="2" t="str">
        <x:v>https://api.bls.gov/publicAPI/v2/timeseries/data/</x:v>
      </x:c>
    </x:row>
    <x:row r="714" ht="38" customHeight="1">
      <x:c r="A714" s="28" t="n">
        <x:v>46113</x:v>
      </x:c>
      <x:c r="B714" s="2" t="str">
        <x:v>48-49</x:v>
      </x:c>
      <x:c r="C714" s="29" t="str">
        <x:v>Transportation and warehousing</x:v>
      </x:c>
      <x:c r="D714" s="2" t="str">
        <x:v>CES4300000001</x:v>
      </x:c>
      <x:c r="E714" s="20" t="n">
        <x:v>6597</x:v>
      </x:c>
      <x:c r="F714" s="7" t="b">
        <x:v>0</x:v>
      </x:c>
      <x:c r="G714" s="2" t="str">
        <x:v>2026Q2</x:v>
      </x:c>
      <x:c r="H714" s="2" t="str">
        <x:v>https://api.bls.gov/publicAPI/v2/timeseries/data/</x:v>
      </x:c>
    </x:row>
    <x:row r="715" ht="38" customHeight="1">
      <x:c r="A715" s="28" t="n">
        <x:v>46113</x:v>
      </x:c>
      <x:c r="B715" s="2" t="str">
        <x:v>51</x:v>
      </x:c>
      <x:c r="C715" s="29" t="str">
        <x:v>Information</x:v>
      </x:c>
      <x:c r="D715" s="2" t="str">
        <x:v>CES5000000001</x:v>
      </x:c>
      <x:c r="E715" s="20" t="n">
        <x:v>2787</x:v>
      </x:c>
      <x:c r="F715" s="7" t="b">
        <x:v>0</x:v>
      </x:c>
      <x:c r="G715" s="2" t="str">
        <x:v>2026Q2</x:v>
      </x:c>
      <x:c r="H715" s="2" t="str">
        <x:v>https://api.bls.gov/publicAPI/v2/timeseries/data/</x:v>
      </x:c>
    </x:row>
    <x:row r="716" ht="38" customHeight="1">
      <x:c r="A716" s="28" t="n">
        <x:v>46113</x:v>
      </x:c>
      <x:c r="B716" s="2" t="str">
        <x:v>52</x:v>
      </x:c>
      <x:c r="C716" s="29" t="str">
        <x:v>Finance and insurance</x:v>
      </x:c>
      <x:c r="D716" s="2" t="str">
        <x:v>CES5552000001</x:v>
      </x:c>
      <x:c r="E716" s="20" t="n">
        <x:v>6684.8</x:v>
      </x:c>
      <x:c r="F716" s="7" t="b">
        <x:v>0</x:v>
      </x:c>
      <x:c r="G716" s="2" t="str">
        <x:v>2026Q2</x:v>
      </x:c>
      <x:c r="H716" s="2" t="str">
        <x:v>https://api.bls.gov/publicAPI/v2/timeseries/data/</x:v>
      </x:c>
    </x:row>
    <x:row r="717" ht="38" customHeight="1">
      <x:c r="A717" s="28" t="n">
        <x:v>46113</x:v>
      </x:c>
      <x:c r="B717" s="2" t="str">
        <x:v>53</x:v>
      </x:c>
      <x:c r="C717" s="29" t="str">
        <x:v>Real estate and rental and leasing</x:v>
      </x:c>
      <x:c r="D717" s="2" t="str">
        <x:v>CES5553000001</x:v>
      </x:c>
      <x:c r="E717" s="20" t="n">
        <x:v>2441.4</x:v>
      </x:c>
      <x:c r="F717" s="7" t="b">
        <x:v>0</x:v>
      </x:c>
      <x:c r="G717" s="2" t="str">
        <x:v>2026Q2</x:v>
      </x:c>
      <x:c r="H717" s="2" t="str">
        <x:v>https://api.bls.gov/publicAPI/v2/timeseries/data/</x:v>
      </x:c>
    </x:row>
    <x:row r="718" ht="38" customHeight="1">
      <x:c r="A718" s="28" t="n">
        <x:v>46113</x:v>
      </x:c>
      <x:c r="B718" s="2" t="str">
        <x:v>54</x:v>
      </x:c>
      <x:c r="C718" s="29" t="str">
        <x:v>Professional, scientific, and technical services</x:v>
      </x:c>
      <x:c r="D718" s="2" t="str">
        <x:v>CES6054000001</x:v>
      </x:c>
      <x:c r="E718" s="20" t="n">
        <x:v>10808.9</x:v>
      </x:c>
      <x:c r="F718" s="7" t="b">
        <x:v>0</x:v>
      </x:c>
      <x:c r="G718" s="2" t="str">
        <x:v>2026Q2</x:v>
      </x:c>
      <x:c r="H718" s="2" t="str">
        <x:v>https://api.bls.gov/publicAPI/v2/timeseries/data/</x:v>
      </x:c>
    </x:row>
    <x:row r="719" ht="38" customHeight="1">
      <x:c r="A719" s="28" t="n">
        <x:v>46113</x:v>
      </x:c>
      <x:c r="B719" s="2" t="str">
        <x:v>55</x:v>
      </x:c>
      <x:c r="C719" s="29" t="str">
        <x:v>Management of companies and enterprises</x:v>
      </x:c>
      <x:c r="D719" s="2" t="str">
        <x:v>CES6055000001</x:v>
      </x:c>
      <x:c r="E719" s="20" t="n">
        <x:v>2613.4</x:v>
      </x:c>
      <x:c r="F719" s="7" t="b">
        <x:v>0</x:v>
      </x:c>
      <x:c r="G719" s="2" t="str">
        <x:v>2026Q2</x:v>
      </x:c>
      <x:c r="H719" s="2" t="str">
        <x:v>https://api.bls.gov/publicAPI/v2/timeseries/data/</x:v>
      </x:c>
    </x:row>
    <x:row r="720" ht="38" customHeight="1">
      <x:c r="A720" s="28" t="n">
        <x:v>46113</x:v>
      </x:c>
      <x:c r="B720" s="2" t="str">
        <x:v>56</x:v>
      </x:c>
      <x:c r="C720" s="29" t="str">
        <x:v>Administrative, support, and waste services</x:v>
      </x:c>
      <x:c r="D720" s="2" t="str">
        <x:v>CES6056000001</x:v>
      </x:c>
      <x:c r="E720" s="20" t="n">
        <x:v>9037.5</x:v>
      </x:c>
      <x:c r="F720" s="7" t="b">
        <x:v>0</x:v>
      </x:c>
      <x:c r="G720" s="2" t="str">
        <x:v>2026Q2</x:v>
      </x:c>
      <x:c r="H720" s="2" t="str">
        <x:v>https://api.bls.gov/publicAPI/v2/timeseries/data/</x:v>
      </x:c>
    </x:row>
    <x:row r="721" ht="38" customHeight="1">
      <x:c r="A721" s="28" t="n">
        <x:v>46113</x:v>
      </x:c>
      <x:c r="B721" s="2" t="str">
        <x:v>61</x:v>
      </x:c>
      <x:c r="C721" s="29" t="str">
        <x:v>Private educational services</x:v>
      </x:c>
      <x:c r="D721" s="2" t="str">
        <x:v>CES6561000001</x:v>
      </x:c>
      <x:c r="E721" s="20" t="n">
        <x:v>4044.8</x:v>
      </x:c>
      <x:c r="F721" s="7" t="b">
        <x:v>0</x:v>
      </x:c>
      <x:c r="G721" s="2" t="str">
        <x:v>2026Q2</x:v>
      </x:c>
      <x:c r="H721" s="2" t="str">
        <x:v>https://api.bls.gov/publicAPI/v2/timeseries/data/</x:v>
      </x:c>
    </x:row>
    <x:row r="722" ht="38" customHeight="1">
      <x:c r="A722" s="28" t="n">
        <x:v>46113</x:v>
      </x:c>
      <x:c r="B722" s="2" t="str">
        <x:v>62</x:v>
      </x:c>
      <x:c r="C722" s="29" t="str">
        <x:v>Health care and social assistance</x:v>
      </x:c>
      <x:c r="D722" s="2" t="str">
        <x:v>CES6562000001</x:v>
      </x:c>
      <x:c r="E722" s="20" t="n">
        <x:v>23813.8</x:v>
      </x:c>
      <x:c r="F722" s="7" t="b">
        <x:v>0</x:v>
      </x:c>
      <x:c r="G722" s="2" t="str">
        <x:v>2026Q2</x:v>
      </x:c>
      <x:c r="H722" s="2" t="str">
        <x:v>https://api.bls.gov/publicAPI/v2/timeseries/data/</x:v>
      </x:c>
    </x:row>
    <x:row r="723" ht="38" customHeight="1">
      <x:c r="A723" s="28" t="n">
        <x:v>46113</x:v>
      </x:c>
      <x:c r="B723" s="2" t="str">
        <x:v>71</x:v>
      </x:c>
      <x:c r="C723" s="29" t="str">
        <x:v>Arts, entertainment, and recreation</x:v>
      </x:c>
      <x:c r="D723" s="2" t="str">
        <x:v>CES7071000001</x:v>
      </x:c>
      <x:c r="E723" s="20" t="n">
        <x:v>2687.9</x:v>
      </x:c>
      <x:c r="F723" s="7" t="b">
        <x:v>0</x:v>
      </x:c>
      <x:c r="G723" s="2" t="str">
        <x:v>2026Q2</x:v>
      </x:c>
      <x:c r="H723" s="2" t="str">
        <x:v>https://api.bls.gov/publicAPI/v2/timeseries/data/</x:v>
      </x:c>
    </x:row>
    <x:row r="724" ht="38" customHeight="1">
      <x:c r="A724" s="28" t="n">
        <x:v>46113</x:v>
      </x:c>
      <x:c r="B724" s="2" t="str">
        <x:v>72</x:v>
      </x:c>
      <x:c r="C724" s="29" t="str">
        <x:v>Accommodation and food services</x:v>
      </x:c>
      <x:c r="D724" s="2" t="str">
        <x:v>CES7072000001</x:v>
      </x:c>
      <x:c r="E724" s="20" t="n">
        <x:v>14284.2</x:v>
      </x:c>
      <x:c r="F724" s="7" t="b">
        <x:v>0</x:v>
      </x:c>
      <x:c r="G724" s="2" t="str">
        <x:v>2026Q2</x:v>
      </x:c>
      <x:c r="H724" s="2" t="str">
        <x:v>https://api.bls.gov/publicAPI/v2/timeseries/data/</x:v>
      </x:c>
    </x:row>
    <x:row r="725" ht="38" customHeight="1">
      <x:c r="A725" s="28" t="n">
        <x:v>46113</x:v>
      </x:c>
      <x:c r="B725" s="2" t="str">
        <x:v>81</x:v>
      </x:c>
      <x:c r="C725" s="29" t="str">
        <x:v>Other services, except government</x:v>
      </x:c>
      <x:c r="D725" s="2" t="str">
        <x:v>CES8000000001</x:v>
      </x:c>
      <x:c r="E725" s="20" t="n">
        <x:v>6029</x:v>
      </x:c>
      <x:c r="F725" s="7" t="b">
        <x:v>0</x:v>
      </x:c>
      <x:c r="G725" s="2" t="str">
        <x:v>2026Q2</x:v>
      </x:c>
      <x:c r="H725" s="2" t="str">
        <x:v>https://api.bls.gov/publicAPI/v2/timeseries/data/</x:v>
      </x:c>
    </x:row>
    <x:row r="726" ht="38" customHeight="1">
      <x:c r="A726" s="28" t="n">
        <x:v>46143</x:v>
      </x:c>
      <x:c r="B726" s="2" t="str">
        <x:v>21</x:v>
      </x:c>
      <x:c r="C726" s="29" t="str">
        <x:v>Mining, quarrying, and oil and gas extraction</x:v>
      </x:c>
      <x:c r="D726" s="2" t="str">
        <x:v>CES1021000001</x:v>
      </x:c>
      <x:c r="E726" s="20" t="n">
        <x:v>572.6</x:v>
      </x:c>
      <x:c r="F726" s="7" t="b">
        <x:v>0</x:v>
      </x:c>
      <x:c r="G726" s="2" t="str">
        <x:v>2026Q2</x:v>
      </x:c>
      <x:c r="H726" s="2" t="str">
        <x:v>https://api.bls.gov/publicAPI/v2/timeseries/data/</x:v>
      </x:c>
    </x:row>
    <x:row r="727" ht="38" customHeight="1">
      <x:c r="A727" s="28" t="n">
        <x:v>46143</x:v>
      </x:c>
      <x:c r="B727" s="2" t="str">
        <x:v>22</x:v>
      </x:c>
      <x:c r="C727" s="29" t="str">
        <x:v>Utilities</x:v>
      </x:c>
      <x:c r="D727" s="2" t="str">
        <x:v>CES4422000001</x:v>
      </x:c>
      <x:c r="E727" s="20" t="n">
        <x:v>607.6</x:v>
      </x:c>
      <x:c r="F727" s="7" t="b">
        <x:v>0</x:v>
      </x:c>
      <x:c r="G727" s="2" t="str">
        <x:v>2026Q2</x:v>
      </x:c>
      <x:c r="H727" s="2" t="str">
        <x:v>https://api.bls.gov/publicAPI/v2/timeseries/data/</x:v>
      </x:c>
    </x:row>
    <x:row r="728" ht="38" customHeight="1">
      <x:c r="A728" s="28" t="n">
        <x:v>46143</x:v>
      </x:c>
      <x:c r="B728" s="2" t="str">
        <x:v>23</x:v>
      </x:c>
      <x:c r="C728" s="29" t="str">
        <x:v>Construction</x:v>
      </x:c>
      <x:c r="D728" s="2" t="str">
        <x:v>CES2000000001</x:v>
      </x:c>
      <x:c r="E728" s="20" t="n">
        <x:v>8316</x:v>
      </x:c>
      <x:c r="F728" s="7" t="b">
        <x:v>0</x:v>
      </x:c>
      <x:c r="G728" s="2" t="str">
        <x:v>2026Q2</x:v>
      </x:c>
      <x:c r="H728" s="2" t="str">
        <x:v>https://api.bls.gov/publicAPI/v2/timeseries/data/</x:v>
      </x:c>
    </x:row>
    <x:row r="729" ht="38" customHeight="1">
      <x:c r="A729" s="28" t="n">
        <x:v>46143</x:v>
      </x:c>
      <x:c r="B729" s="2" t="str">
        <x:v>31-33</x:v>
      </x:c>
      <x:c r="C729" s="29" t="str">
        <x:v>Manufacturing</x:v>
      </x:c>
      <x:c r="D729" s="2" t="str">
        <x:v>CES3000000001</x:v>
      </x:c>
      <x:c r="E729" s="20" t="n">
        <x:v>12595</x:v>
      </x:c>
      <x:c r="F729" s="7" t="b">
        <x:v>0</x:v>
      </x:c>
      <x:c r="G729" s="2" t="str">
        <x:v>2026Q2</x:v>
      </x:c>
      <x:c r="H729" s="2" t="str">
        <x:v>https://api.bls.gov/publicAPI/v2/timeseries/data/</x:v>
      </x:c>
    </x:row>
    <x:row r="730" ht="38" customHeight="1">
      <x:c r="A730" s="28" t="n">
        <x:v>46143</x:v>
      </x:c>
      <x:c r="B730" s="2" t="str">
        <x:v>42</x:v>
      </x:c>
      <x:c r="C730" s="29" t="str">
        <x:v>Wholesale trade</x:v>
      </x:c>
      <x:c r="D730" s="2" t="str">
        <x:v>CES4142000001</x:v>
      </x:c>
      <x:c r="E730" s="20" t="n">
        <x:v>6054.4</x:v>
      </x:c>
      <x:c r="F730" s="7" t="b">
        <x:v>0</x:v>
      </x:c>
      <x:c r="G730" s="2" t="str">
        <x:v>2026Q2</x:v>
      </x:c>
      <x:c r="H730" s="2" t="str">
        <x:v>https://api.bls.gov/publicAPI/v2/timeseries/data/</x:v>
      </x:c>
    </x:row>
    <x:row r="731" ht="38" customHeight="1">
      <x:c r="A731" s="28" t="n">
        <x:v>46143</x:v>
      </x:c>
      <x:c r="B731" s="2" t="str">
        <x:v>44-45</x:v>
      </x:c>
      <x:c r="C731" s="29" t="str">
        <x:v>Retail trade</x:v>
      </x:c>
      <x:c r="D731" s="2" t="str">
        <x:v>CES4200000001</x:v>
      </x:c>
      <x:c r="E731" s="20" t="n">
        <x:v>15464</x:v>
      </x:c>
      <x:c r="F731" s="7" t="b">
        <x:v>0</x:v>
      </x:c>
      <x:c r="G731" s="2" t="str">
        <x:v>2026Q2</x:v>
      </x:c>
      <x:c r="H731" s="2" t="str">
        <x:v>https://api.bls.gov/publicAPI/v2/timeseries/data/</x:v>
      </x:c>
    </x:row>
    <x:row r="732" ht="38" customHeight="1">
      <x:c r="A732" s="28" t="n">
        <x:v>46143</x:v>
      </x:c>
      <x:c r="B732" s="2" t="str">
        <x:v>48-49</x:v>
      </x:c>
      <x:c r="C732" s="29" t="str">
        <x:v>Transportation and warehousing</x:v>
      </x:c>
      <x:c r="D732" s="2" t="str">
        <x:v>CES4300000001</x:v>
      </x:c>
      <x:c r="E732" s="20" t="n">
        <x:v>6597.8</x:v>
      </x:c>
      <x:c r="F732" s="7" t="b">
        <x:v>0</x:v>
      </x:c>
      <x:c r="G732" s="2" t="str">
        <x:v>2026Q2</x:v>
      </x:c>
      <x:c r="H732" s="2" t="str">
        <x:v>https://api.bls.gov/publicAPI/v2/timeseries/data/</x:v>
      </x:c>
    </x:row>
    <x:row r="733" ht="38" customHeight="1">
      <x:c r="A733" s="28" t="n">
        <x:v>46143</x:v>
      </x:c>
      <x:c r="B733" s="2" t="str">
        <x:v>51</x:v>
      </x:c>
      <x:c r="C733" s="29" t="str">
        <x:v>Information</x:v>
      </x:c>
      <x:c r="D733" s="2" t="str">
        <x:v>CES5000000001</x:v>
      </x:c>
      <x:c r="E733" s="20" t="n">
        <x:v>2782</x:v>
      </x:c>
      <x:c r="F733" s="7" t="b">
        <x:v>0</x:v>
      </x:c>
      <x:c r="G733" s="2" t="str">
        <x:v>2026Q2</x:v>
      </x:c>
      <x:c r="H733" s="2" t="str">
        <x:v>https://api.bls.gov/publicAPI/v2/timeseries/data/</x:v>
      </x:c>
    </x:row>
    <x:row r="734" ht="38" customHeight="1">
      <x:c r="A734" s="28" t="n">
        <x:v>46143</x:v>
      </x:c>
      <x:c r="B734" s="2" t="str">
        <x:v>52</x:v>
      </x:c>
      <x:c r="C734" s="29" t="str">
        <x:v>Finance and insurance</x:v>
      </x:c>
      <x:c r="D734" s="2" t="str">
        <x:v>CES5552000001</x:v>
      </x:c>
      <x:c r="E734" s="20" t="n">
        <x:v>6666.6</x:v>
      </x:c>
      <x:c r="F734" s="7" t="b">
        <x:v>0</x:v>
      </x:c>
      <x:c r="G734" s="2" t="str">
        <x:v>2026Q2</x:v>
      </x:c>
      <x:c r="H734" s="2" t="str">
        <x:v>https://api.bls.gov/publicAPI/v2/timeseries/data/</x:v>
      </x:c>
    </x:row>
    <x:row r="735" ht="38" customHeight="1">
      <x:c r="A735" s="28" t="n">
        <x:v>46143</x:v>
      </x:c>
      <x:c r="B735" s="2" t="str">
        <x:v>53</x:v>
      </x:c>
      <x:c r="C735" s="29" t="str">
        <x:v>Real estate and rental and leasing</x:v>
      </x:c>
      <x:c r="D735" s="2" t="str">
        <x:v>CES5553000001</x:v>
      </x:c>
      <x:c r="E735" s="20" t="n">
        <x:v>2439.1</x:v>
      </x:c>
      <x:c r="F735" s="7" t="b">
        <x:v>0</x:v>
      </x:c>
      <x:c r="G735" s="2" t="str">
        <x:v>2026Q2</x:v>
      </x:c>
      <x:c r="H735" s="2" t="str">
        <x:v>https://api.bls.gov/publicAPI/v2/timeseries/data/</x:v>
      </x:c>
    </x:row>
    <x:row r="736" ht="38" customHeight="1">
      <x:c r="A736" s="28" t="n">
        <x:v>46143</x:v>
      </x:c>
      <x:c r="B736" s="2" t="str">
        <x:v>54</x:v>
      </x:c>
      <x:c r="C736" s="29" t="str">
        <x:v>Professional, scientific, and technical services</x:v>
      </x:c>
      <x:c r="D736" s="2" t="str">
        <x:v>CES6054000001</x:v>
      </x:c>
      <x:c r="E736" s="20" t="n">
        <x:v>10815.8</x:v>
      </x:c>
      <x:c r="F736" s="7" t="b">
        <x:v>0</x:v>
      </x:c>
      <x:c r="G736" s="2" t="str">
        <x:v>2026Q2</x:v>
      </x:c>
      <x:c r="H736" s="2" t="str">
        <x:v>https://api.bls.gov/publicAPI/v2/timeseries/data/</x:v>
      </x:c>
    </x:row>
    <x:row r="737" ht="38" customHeight="1">
      <x:c r="A737" s="28" t="n">
        <x:v>46143</x:v>
      </x:c>
      <x:c r="B737" s="2" t="str">
        <x:v>55</x:v>
      </x:c>
      <x:c r="C737" s="29" t="str">
        <x:v>Management of companies and enterprises</x:v>
      </x:c>
      <x:c r="D737" s="2" t="str">
        <x:v>CES6055000001</x:v>
      </x:c>
      <x:c r="E737" s="20" t="n">
        <x:v>2617.5</x:v>
      </x:c>
      <x:c r="F737" s="7" t="b">
        <x:v>0</x:v>
      </x:c>
      <x:c r="G737" s="2" t="str">
        <x:v>2026Q2</x:v>
      </x:c>
      <x:c r="H737" s="2" t="str">
        <x:v>https://api.bls.gov/publicAPI/v2/timeseries/data/</x:v>
      </x:c>
    </x:row>
    <x:row r="738" ht="38" customHeight="1">
      <x:c r="A738" s="28" t="n">
        <x:v>46143</x:v>
      </x:c>
      <x:c r="B738" s="2" t="str">
        <x:v>56</x:v>
      </x:c>
      <x:c r="C738" s="29" t="str">
        <x:v>Administrative, support, and waste services</x:v>
      </x:c>
      <x:c r="D738" s="2" t="str">
        <x:v>CES6056000001</x:v>
      </x:c>
      <x:c r="E738" s="20" t="n">
        <x:v>9033</x:v>
      </x:c>
      <x:c r="F738" s="7" t="b">
        <x:v>0</x:v>
      </x:c>
      <x:c r="G738" s="2" t="str">
        <x:v>2026Q2</x:v>
      </x:c>
      <x:c r="H738" s="2" t="str">
        <x:v>https://api.bls.gov/publicAPI/v2/timeseries/data/</x:v>
      </x:c>
    </x:row>
    <x:row r="739" ht="38" customHeight="1">
      <x:c r="A739" s="28" t="n">
        <x:v>46143</x:v>
      </x:c>
      <x:c r="B739" s="2" t="str">
        <x:v>61</x:v>
      </x:c>
      <x:c r="C739" s="29" t="str">
        <x:v>Private educational services</x:v>
      </x:c>
      <x:c r="D739" s="2" t="str">
        <x:v>CES6561000001</x:v>
      </x:c>
      <x:c r="E739" s="20" t="n">
        <x:v>4034</x:v>
      </x:c>
      <x:c r="F739" s="7" t="b">
        <x:v>0</x:v>
      </x:c>
      <x:c r="G739" s="2" t="str">
        <x:v>2026Q2</x:v>
      </x:c>
      <x:c r="H739" s="2" t="str">
        <x:v>https://api.bls.gov/publicAPI/v2/timeseries/data/</x:v>
      </x:c>
    </x:row>
    <x:row r="740" ht="38" customHeight="1">
      <x:c r="A740" s="28" t="n">
        <x:v>46143</x:v>
      </x:c>
      <x:c r="B740" s="2" t="str">
        <x:v>62</x:v>
      </x:c>
      <x:c r="C740" s="29" t="str">
        <x:v>Health care and social assistance</x:v>
      </x:c>
      <x:c r="D740" s="2" t="str">
        <x:v>CES6562000001</x:v>
      </x:c>
      <x:c r="E740" s="20" t="n">
        <x:v>23848.6</x:v>
      </x:c>
      <x:c r="F740" s="7" t="b">
        <x:v>0</x:v>
      </x:c>
      <x:c r="G740" s="2" t="str">
        <x:v>2026Q2</x:v>
      </x:c>
      <x:c r="H740" s="2" t="str">
        <x:v>https://api.bls.gov/publicAPI/v2/timeseries/data/</x:v>
      </x:c>
    </x:row>
    <x:row r="741" ht="38" customHeight="1">
      <x:c r="A741" s="28" t="n">
        <x:v>46143</x:v>
      </x:c>
      <x:c r="B741" s="2" t="str">
        <x:v>71</x:v>
      </x:c>
      <x:c r="C741" s="29" t="str">
        <x:v>Arts, entertainment, and recreation</x:v>
      </x:c>
      <x:c r="D741" s="2" t="str">
        <x:v>CES7071000001</x:v>
      </x:c>
      <x:c r="E741" s="20" t="n">
        <x:v>2690.3</x:v>
      </x:c>
      <x:c r="F741" s="7" t="b">
        <x:v>0</x:v>
      </x:c>
      <x:c r="G741" s="2" t="str">
        <x:v>2026Q2</x:v>
      </x:c>
      <x:c r="H741" s="2" t="str">
        <x:v>https://api.bls.gov/publicAPI/v2/timeseries/data/</x:v>
      </x:c>
    </x:row>
    <x:row r="742" ht="38" customHeight="1">
      <x:c r="A742" s="28" t="n">
        <x:v>46143</x:v>
      </x:c>
      <x:c r="B742" s="2" t="str">
        <x:v>72</x:v>
      </x:c>
      <x:c r="C742" s="29" t="str">
        <x:v>Accommodation and food services</x:v>
      </x:c>
      <x:c r="D742" s="2" t="str">
        <x:v>CES7072000001</x:v>
      </x:c>
      <x:c r="E742" s="20" t="n">
        <x:v>14323.2</x:v>
      </x:c>
      <x:c r="F742" s="7" t="b">
        <x:v>0</x:v>
      </x:c>
      <x:c r="G742" s="2" t="str">
        <x:v>2026Q2</x:v>
      </x:c>
      <x:c r="H742" s="2" t="str">
        <x:v>https://api.bls.gov/publicAPI/v2/timeseries/data/</x:v>
      </x:c>
    </x:row>
    <x:row r="743" ht="38" customHeight="1">
      <x:c r="A743" s="28" t="n">
        <x:v>46143</x:v>
      </x:c>
      <x:c r="B743" s="2" t="str">
        <x:v>81</x:v>
      </x:c>
      <x:c r="C743" s="29" t="str">
        <x:v>Other services, except government</x:v>
      </x:c>
      <x:c r="D743" s="2" t="str">
        <x:v>CES8000000001</x:v>
      </x:c>
      <x:c r="E743" s="20" t="n">
        <x:v>6031</x:v>
      </x:c>
      <x:c r="F743" s="7" t="b">
        <x:v>0</x:v>
      </x:c>
      <x:c r="G743" s="2" t="str">
        <x:v>2026Q2</x:v>
      </x:c>
      <x:c r="H743" s="2" t="str">
        <x:v>https://api.bls.gov/publicAPI/v2/timeseries/data/</x:v>
      </x:c>
    </x:row>
    <x:row r="744" ht="38" customHeight="1">
      <x:c r="A744" s="28" t="n">
        <x:v>46174</x:v>
      </x:c>
      <x:c r="B744" s="2" t="str">
        <x:v>21</x:v>
      </x:c>
      <x:c r="C744" s="29" t="str">
        <x:v>Mining, quarrying, and oil and gas extraction</x:v>
      </x:c>
      <x:c r="D744" s="2" t="str">
        <x:v>CES1021000001</x:v>
      </x:c>
      <x:c r="E744" s="20" t="n">
        <x:v>570.5</x:v>
      </x:c>
      <x:c r="F744" s="7" t="b">
        <x:v>0</x:v>
      </x:c>
      <x:c r="G744" s="2" t="str">
        <x:v>2026Q2</x:v>
      </x:c>
      <x:c r="H744" s="2" t="str">
        <x:v>https://api.bls.gov/publicAPI/v2/timeseries/data/</x:v>
      </x:c>
    </x:row>
    <x:row r="745" ht="38" customHeight="1">
      <x:c r="A745" s="28" t="n">
        <x:v>46174</x:v>
      </x:c>
      <x:c r="B745" s="2" t="str">
        <x:v>22</x:v>
      </x:c>
      <x:c r="C745" s="29" t="str">
        <x:v>Utilities</x:v>
      </x:c>
      <x:c r="D745" s="2" t="str">
        <x:v>CES4422000001</x:v>
      </x:c>
      <x:c r="E745" s="20" t="n">
        <x:v>607.8</x:v>
      </x:c>
      <x:c r="F745" s="7" t="b">
        <x:v>0</x:v>
      </x:c>
      <x:c r="G745" s="2" t="str">
        <x:v>2026Q2</x:v>
      </x:c>
      <x:c r="H745" s="2" t="str">
        <x:v>https://api.bls.gov/publicAPI/v2/timeseries/data/</x:v>
      </x:c>
    </x:row>
    <x:row r="746" ht="38" customHeight="1">
      <x:c r="A746" s="28" t="n">
        <x:v>46174</x:v>
      </x:c>
      <x:c r="B746" s="2" t="str">
        <x:v>23</x:v>
      </x:c>
      <x:c r="C746" s="29" t="str">
        <x:v>Construction</x:v>
      </x:c>
      <x:c r="D746" s="2" t="str">
        <x:v>CES2000000001</x:v>
      </x:c>
      <x:c r="E746" s="20" t="n">
        <x:v>8319</x:v>
      </x:c>
      <x:c r="F746" s="7" t="b">
        <x:v>0</x:v>
      </x:c>
      <x:c r="G746" s="2" t="str">
        <x:v>2026Q2</x:v>
      </x:c>
      <x:c r="H746" s="2" t="str">
        <x:v>https://api.bls.gov/publicAPI/v2/timeseries/data/</x:v>
      </x:c>
    </x:row>
    <x:row r="747" ht="38" customHeight="1">
      <x:c r="A747" s="28" t="n">
        <x:v>46174</x:v>
      </x:c>
      <x:c r="B747" s="2" t="str">
        <x:v>31-33</x:v>
      </x:c>
      <x:c r="C747" s="29" t="str">
        <x:v>Manufacturing</x:v>
      </x:c>
      <x:c r="D747" s="2" t="str">
        <x:v>CES3000000001</x:v>
      </x:c>
      <x:c r="E747" s="20" t="n">
        <x:v>12608</x:v>
      </x:c>
      <x:c r="F747" s="7" t="b">
        <x:v>0</x:v>
      </x:c>
      <x:c r="G747" s="2" t="str">
        <x:v>2026Q2</x:v>
      </x:c>
      <x:c r="H747" s="2" t="str">
        <x:v>https://api.bls.gov/publicAPI/v2/timeseries/data/</x:v>
      </x:c>
    </x:row>
    <x:row r="748" ht="38" customHeight="1">
      <x:c r="A748" s="28" t="n">
        <x:v>46174</x:v>
      </x:c>
      <x:c r="B748" s="2" t="str">
        <x:v>42</x:v>
      </x:c>
      <x:c r="C748" s="29" t="str">
        <x:v>Wholesale trade</x:v>
      </x:c>
      <x:c r="D748" s="2" t="str">
        <x:v>CES4142000001</x:v>
      </x:c>
      <x:c r="E748" s="20" t="n">
        <x:v>6059</x:v>
      </x:c>
      <x:c r="F748" s="7" t="b">
        <x:v>0</x:v>
      </x:c>
      <x:c r="G748" s="2" t="str">
        <x:v>2026Q2</x:v>
      </x:c>
      <x:c r="H748" s="2" t="str">
        <x:v>https://api.bls.gov/publicAPI/v2/timeseries/data/</x:v>
      </x:c>
    </x:row>
    <x:row r="749" ht="38" customHeight="1">
      <x:c r="A749" s="28" t="n">
        <x:v>46174</x:v>
      </x:c>
      <x:c r="B749" s="2" t="str">
        <x:v>44-45</x:v>
      </x:c>
      <x:c r="C749" s="29" t="str">
        <x:v>Retail trade</x:v>
      </x:c>
      <x:c r="D749" s="2" t="str">
        <x:v>CES4200000001</x:v>
      </x:c>
      <x:c r="E749" s="20" t="n">
        <x:v>15473.6</x:v>
      </x:c>
      <x:c r="F749" s="7" t="b">
        <x:v>0</x:v>
      </x:c>
      <x:c r="G749" s="2" t="str">
        <x:v>2026Q2</x:v>
      </x:c>
      <x:c r="H749" s="2" t="str">
        <x:v>https://api.bls.gov/publicAPI/v2/timeseries/data/</x:v>
      </x:c>
    </x:row>
    <x:row r="750" ht="38" customHeight="1">
      <x:c r="A750" s="28" t="n">
        <x:v>46174</x:v>
      </x:c>
      <x:c r="B750" s="2" t="str">
        <x:v>48-49</x:v>
      </x:c>
      <x:c r="C750" s="29" t="str">
        <x:v>Transportation and warehousing</x:v>
      </x:c>
      <x:c r="D750" s="2" t="str">
        <x:v>CES4300000001</x:v>
      </x:c>
      <x:c r="E750" s="20" t="n">
        <x:v>6587.5</x:v>
      </x:c>
      <x:c r="F750" s="7" t="b">
        <x:v>0</x:v>
      </x:c>
      <x:c r="G750" s="2" t="str">
        <x:v>2026Q2</x:v>
      </x:c>
      <x:c r="H750" s="2" t="str">
        <x:v>https://api.bls.gov/publicAPI/v2/timeseries/data/</x:v>
      </x:c>
    </x:row>
    <x:row r="751" ht="38" customHeight="1">
      <x:c r="A751" s="28" t="n">
        <x:v>46174</x:v>
      </x:c>
      <x:c r="B751" s="2" t="str">
        <x:v>51</x:v>
      </x:c>
      <x:c r="C751" s="29" t="str">
        <x:v>Information</x:v>
      </x:c>
      <x:c r="D751" s="2" t="str">
        <x:v>CES5000000001</x:v>
      </x:c>
      <x:c r="E751" s="20" t="n">
        <x:v>2763</x:v>
      </x:c>
      <x:c r="F751" s="7" t="b">
        <x:v>0</x:v>
      </x:c>
      <x:c r="G751" s="2" t="str">
        <x:v>2026Q2</x:v>
      </x:c>
      <x:c r="H751" s="2" t="str">
        <x:v>https://api.bls.gov/publicAPI/v2/timeseries/data/</x:v>
      </x:c>
    </x:row>
    <x:row r="752" ht="38" customHeight="1">
      <x:c r="A752" s="28" t="n">
        <x:v>46174</x:v>
      </x:c>
      <x:c r="B752" s="2" t="str">
        <x:v>52</x:v>
      </x:c>
      <x:c r="C752" s="29" t="str">
        <x:v>Finance and insurance</x:v>
      </x:c>
      <x:c r="D752" s="2" t="str">
        <x:v>CES5552000001</x:v>
      </x:c>
      <x:c r="E752" s="20" t="n">
        <x:v>6671.5</x:v>
      </x:c>
      <x:c r="F752" s="7" t="b">
        <x:v>0</x:v>
      </x:c>
      <x:c r="G752" s="2" t="str">
        <x:v>2026Q2</x:v>
      </x:c>
      <x:c r="H752" s="2" t="str">
        <x:v>https://api.bls.gov/publicAPI/v2/timeseries/data/</x:v>
      </x:c>
    </x:row>
    <x:row r="753" ht="38" customHeight="1">
      <x:c r="A753" s="28" t="n">
        <x:v>46174</x:v>
      </x:c>
      <x:c r="B753" s="2" t="str">
        <x:v>53</x:v>
      </x:c>
      <x:c r="C753" s="29" t="str">
        <x:v>Real estate and rental and leasing</x:v>
      </x:c>
      <x:c r="D753" s="2" t="str">
        <x:v>CES5553000001</x:v>
      </x:c>
      <x:c r="E753" s="20" t="n">
        <x:v>2436.8</x:v>
      </x:c>
      <x:c r="F753" s="7" t="b">
        <x:v>0</x:v>
      </x:c>
      <x:c r="G753" s="2" t="str">
        <x:v>2026Q2</x:v>
      </x:c>
      <x:c r="H753" s="2" t="str">
        <x:v>https://api.bls.gov/publicAPI/v2/timeseries/data/</x:v>
      </x:c>
    </x:row>
    <x:row r="754" ht="38" customHeight="1">
      <x:c r="A754" s="28" t="n">
        <x:v>46174</x:v>
      </x:c>
      <x:c r="B754" s="2" t="str">
        <x:v>54</x:v>
      </x:c>
      <x:c r="C754" s="29" t="str">
        <x:v>Professional, scientific, and technical services</x:v>
      </x:c>
      <x:c r="D754" s="2" t="str">
        <x:v>CES6054000001</x:v>
      </x:c>
      <x:c r="E754" s="20" t="n">
        <x:v>10833.6</x:v>
      </x:c>
      <x:c r="F754" s="7" t="b">
        <x:v>0</x:v>
      </x:c>
      <x:c r="G754" s="2" t="str">
        <x:v>2026Q2</x:v>
      </x:c>
      <x:c r="H754" s="2" t="str">
        <x:v>https://api.bls.gov/publicAPI/v2/timeseries/data/</x:v>
      </x:c>
    </x:row>
    <x:row r="755" ht="38" customHeight="1">
      <x:c r="A755" s="28" t="n">
        <x:v>46174</x:v>
      </x:c>
      <x:c r="B755" s="2" t="str">
        <x:v>55</x:v>
      </x:c>
      <x:c r="C755" s="29" t="str">
        <x:v>Management of companies and enterprises</x:v>
      </x:c>
      <x:c r="D755" s="2" t="str">
        <x:v>CES6055000001</x:v>
      </x:c>
      <x:c r="E755" s="20" t="n">
        <x:v>2616.8</x:v>
      </x:c>
      <x:c r="F755" s="7" t="b">
        <x:v>0</x:v>
      </x:c>
      <x:c r="G755" s="2" t="str">
        <x:v>2026Q2</x:v>
      </x:c>
      <x:c r="H755" s="2" t="str">
        <x:v>https://api.bls.gov/publicAPI/v2/timeseries/data/</x:v>
      </x:c>
    </x:row>
    <x:row r="756" ht="38" customHeight="1">
      <x:c r="A756" s="28" t="n">
        <x:v>46174</x:v>
      </x:c>
      <x:c r="B756" s="2" t="str">
        <x:v>56</x:v>
      </x:c>
      <x:c r="C756" s="29" t="str">
        <x:v>Administrative, support, and waste services</x:v>
      </x:c>
      <x:c r="D756" s="2" t="str">
        <x:v>CES6056000001</x:v>
      </x:c>
      <x:c r="E756" s="20" t="n">
        <x:v>9051.5</x:v>
      </x:c>
      <x:c r="F756" s="7" t="b">
        <x:v>0</x:v>
      </x:c>
      <x:c r="G756" s="2" t="str">
        <x:v>2026Q2</x:v>
      </x:c>
      <x:c r="H756" s="2" t="str">
        <x:v>https://api.bls.gov/publicAPI/v2/timeseries/data/</x:v>
      </x:c>
    </x:row>
    <x:row r="757" ht="38" customHeight="1">
      <x:c r="A757" s="28" t="n">
        <x:v>46174</x:v>
      </x:c>
      <x:c r="B757" s="2" t="str">
        <x:v>61</x:v>
      </x:c>
      <x:c r="C757" s="29" t="str">
        <x:v>Private educational services</x:v>
      </x:c>
      <x:c r="D757" s="2" t="str">
        <x:v>CES6561000001</x:v>
      </x:c>
      <x:c r="E757" s="20" t="n">
        <x:v>4045.9</x:v>
      </x:c>
      <x:c r="F757" s="7" t="b">
        <x:v>0</x:v>
      </x:c>
      <x:c r="G757" s="2" t="str">
        <x:v>2026Q2</x:v>
      </x:c>
      <x:c r="H757" s="2" t="str">
        <x:v>https://api.bls.gov/publicAPI/v2/timeseries/data/</x:v>
      </x:c>
    </x:row>
    <x:row r="758" ht="38" customHeight="1">
      <x:c r="A758" s="28" t="n">
        <x:v>46174</x:v>
      </x:c>
      <x:c r="B758" s="2" t="str">
        <x:v>62</x:v>
      </x:c>
      <x:c r="C758" s="29" t="str">
        <x:v>Health care and social assistance</x:v>
      </x:c>
      <x:c r="D758" s="2" t="str">
        <x:v>CES6562000001</x:v>
      </x:c>
      <x:c r="E758" s="20" t="n">
        <x:v>23887.2</x:v>
      </x:c>
      <x:c r="F758" s="7" t="b">
        <x:v>0</x:v>
      </x:c>
      <x:c r="G758" s="2" t="str">
        <x:v>2026Q2</x:v>
      </x:c>
      <x:c r="H758" s="2" t="str">
        <x:v>https://api.bls.gov/publicAPI/v2/timeseries/data/</x:v>
      </x:c>
    </x:row>
    <x:row r="759" ht="38" customHeight="1">
      <x:c r="A759" s="28" t="n">
        <x:v>46174</x:v>
      </x:c>
      <x:c r="B759" s="2" t="str">
        <x:v>71</x:v>
      </x:c>
      <x:c r="C759" s="29" t="str">
        <x:v>Arts, entertainment, and recreation</x:v>
      </x:c>
      <x:c r="D759" s="2" t="str">
        <x:v>CES7071000001</x:v>
      </x:c>
      <x:c r="E759" s="20" t="n">
        <x:v>2665.7</x:v>
      </x:c>
      <x:c r="F759" s="7" t="b">
        <x:v>0</x:v>
      </x:c>
      <x:c r="G759" s="2" t="str">
        <x:v>2026Q2</x:v>
      </x:c>
      <x:c r="H759" s="2" t="str">
        <x:v>https://api.bls.gov/publicAPI/v2/timeseries/data/</x:v>
      </x:c>
    </x:row>
    <x:row r="760" ht="38" customHeight="1">
      <x:c r="A760" s="28" t="n">
        <x:v>46174</x:v>
      </x:c>
      <x:c r="B760" s="2" t="str">
        <x:v>72</x:v>
      </x:c>
      <x:c r="C760" s="29" t="str">
        <x:v>Accommodation and food services</x:v>
      </x:c>
      <x:c r="D760" s="2" t="str">
        <x:v>CES7072000001</x:v>
      </x:c>
      <x:c r="E760" s="20" t="n">
        <x:v>14294.1</x:v>
      </x:c>
      <x:c r="F760" s="7" t="b">
        <x:v>0</x:v>
      </x:c>
      <x:c r="G760" s="2" t="str">
        <x:v>2026Q2</x:v>
      </x:c>
      <x:c r="H760" s="2" t="str">
        <x:v>https://api.bls.gov/publicAPI/v2/timeseries/data/</x:v>
      </x:c>
    </x:row>
    <x:row r="761" ht="38" customHeight="1">
      <x:c r="A761" s="28" t="n">
        <x:v>46174</x:v>
      </x:c>
      <x:c r="B761" s="2" t="str">
        <x:v>81</x:v>
      </x:c>
      <x:c r="C761" s="29" t="str">
        <x:v>Other services, except government</x:v>
      </x:c>
      <x:c r="D761" s="2" t="str">
        <x:v>CES8000000001</x:v>
      </x:c>
      <x:c r="E761" s="20" t="n">
        <x:v>6024</x:v>
      </x:c>
      <x:c r="F761" s="7" t="b">
        <x:v>0</x:v>
      </x:c>
      <x:c r="G761" s="2" t="str">
        <x:v>2026Q2</x:v>
      </x:c>
      <x:c r="H761" s="2" t="str">
        <x:v>https://api.bls.gov/publicAPI/v2/timeseries/data/</x:v>
      </x:c>
    </x:row>
    <x:row r="762" ht="38" customHeight="1">
      <x:c r="A762" s="28" t="n">
        <x:v>46204</x:v>
      </x:c>
      <x:c r="B762" s="2" t="str">
        <x:v>21</x:v>
      </x:c>
      <x:c r="C762" s="29" t="str">
        <x:v>Mining, quarrying, and oil and gas extraction</x:v>
      </x:c>
      <x:c r="D762" s="2" t="str">
        <x:v>CES1021000001</x:v>
      </x:c>
      <x:c r="E762" s="20" t="n">
        <x:v>566.9</x:v>
      </x:c>
      <x:c r="F762" s="7" t="b">
        <x:v>1</x:v>
      </x:c>
      <x:c r="G762" s="2" t="str">
        <x:v>2026Q3</x:v>
      </x:c>
      <x:c r="H762" s="2" t="str">
        <x:v>https://api.bls.gov/publicAPI/v2/timeseries/data/</x:v>
      </x:c>
    </x:row>
    <x:row r="763" ht="38" customHeight="1">
      <x:c r="A763" s="28" t="n">
        <x:v>46204</x:v>
      </x:c>
      <x:c r="B763" s="2" t="str">
        <x:v>22</x:v>
      </x:c>
      <x:c r="C763" s="29" t="str">
        <x:v>Utilities</x:v>
      </x:c>
      <x:c r="D763" s="2" t="str">
        <x:v>CES4422000001</x:v>
      </x:c>
      <x:c r="E763" s="20" t="n">
        <x:v>609.2</x:v>
      </x:c>
      <x:c r="F763" s="7" t="b">
        <x:v>1</x:v>
      </x:c>
      <x:c r="G763" s="2" t="str">
        <x:v>2026Q3</x:v>
      </x:c>
      <x:c r="H763" s="2" t="str">
        <x:v>https://api.bls.gov/publicAPI/v2/timeseries/data/</x:v>
      </x:c>
    </x:row>
    <x:row r="764" ht="38" customHeight="1">
      <x:c r="A764" s="28" t="n">
        <x:v>46204</x:v>
      </x:c>
      <x:c r="B764" s="2" t="str">
        <x:v>23</x:v>
      </x:c>
      <x:c r="C764" s="29" t="str">
        <x:v>Construction</x:v>
      </x:c>
      <x:c r="D764" s="2" t="str">
        <x:v>CES2000000001</x:v>
      </x:c>
      <x:c r="E764" s="20" t="n">
        <x:v>8337</x:v>
      </x:c>
      <x:c r="F764" s="7" t="b">
        <x:v>1</x:v>
      </x:c>
      <x:c r="G764" s="2" t="str">
        <x:v>2026Q3</x:v>
      </x:c>
      <x:c r="H764" s="2" t="str">
        <x:v>https://api.bls.gov/publicAPI/v2/timeseries/data/</x:v>
      </x:c>
    </x:row>
    <x:row r="765" ht="38" customHeight="1">
      <x:c r="A765" s="28" t="n">
        <x:v>46204</x:v>
      </x:c>
      <x:c r="B765" s="2" t="str">
        <x:v>31-33</x:v>
      </x:c>
      <x:c r="C765" s="29" t="str">
        <x:v>Manufacturing</x:v>
      </x:c>
      <x:c r="D765" s="2" t="str">
        <x:v>CES3000000001</x:v>
      </x:c>
      <x:c r="E765" s="20" t="n">
        <x:v>12622</x:v>
      </x:c>
      <x:c r="F765" s="7" t="b">
        <x:v>1</x:v>
      </x:c>
      <x:c r="G765" s="2" t="str">
        <x:v>2026Q3</x:v>
      </x:c>
      <x:c r="H765" s="2" t="str">
        <x:v>https://api.bls.gov/publicAPI/v2/timeseries/data/</x:v>
      </x:c>
    </x:row>
    <x:row r="766" ht="38" customHeight="1">
      <x:c r="A766" s="28" t="n">
        <x:v>46204</x:v>
      </x:c>
      <x:c r="B766" s="2" t="str">
        <x:v>42</x:v>
      </x:c>
      <x:c r="C766" s="29" t="str">
        <x:v>Wholesale trade</x:v>
      </x:c>
      <x:c r="D766" s="2" t="str">
        <x:v>CES4142000001</x:v>
      </x:c>
      <x:c r="E766" s="20" t="n">
        <x:v>6064.3</x:v>
      </x:c>
      <x:c r="F766" s="7" t="b">
        <x:v>1</x:v>
      </x:c>
      <x:c r="G766" s="2" t="str">
        <x:v>2026Q3</x:v>
      </x:c>
      <x:c r="H766" s="2" t="str">
        <x:v>https://api.bls.gov/publicAPI/v2/timeseries/data/</x:v>
      </x:c>
    </x:row>
    <x:row r="767" ht="38" customHeight="1">
      <x:c r="A767" s="28" t="n">
        <x:v>46204</x:v>
      </x:c>
      <x:c r="B767" s="2" t="str">
        <x:v>44-45</x:v>
      </x:c>
      <x:c r="C767" s="29" t="str">
        <x:v>Retail trade</x:v>
      </x:c>
      <x:c r="D767" s="2" t="str">
        <x:v>CES4200000001</x:v>
      </x:c>
      <x:c r="E767" s="20" t="n">
        <x:v>15486.8</x:v>
      </x:c>
      <x:c r="F767" s="7" t="b">
        <x:v>1</x:v>
      </x:c>
      <x:c r="G767" s="2" t="str">
        <x:v>2026Q3</x:v>
      </x:c>
      <x:c r="H767" s="2" t="str">
        <x:v>https://api.bls.gov/publicAPI/v2/timeseries/data/</x:v>
      </x:c>
    </x:row>
    <x:row r="768" ht="38" customHeight="1">
      <x:c r="A768" s="28" t="n">
        <x:v>46204</x:v>
      </x:c>
      <x:c r="B768" s="2" t="str">
        <x:v>48-49</x:v>
      </x:c>
      <x:c r="C768" s="29" t="str">
        <x:v>Transportation and warehousing</x:v>
      </x:c>
      <x:c r="D768" s="2" t="str">
        <x:v>CES4300000001</x:v>
      </x:c>
      <x:c r="E768" s="20" t="n">
        <x:v>6601.3</x:v>
      </x:c>
      <x:c r="F768" s="7" t="b">
        <x:v>1</x:v>
      </x:c>
      <x:c r="G768" s="2" t="str">
        <x:v>2026Q3</x:v>
      </x:c>
      <x:c r="H768" s="2" t="str">
        <x:v>https://api.bls.gov/publicAPI/v2/timeseries/data/</x:v>
      </x:c>
    </x:row>
    <x:row r="769" ht="38" customHeight="1">
      <x:c r="A769" s="28" t="n">
        <x:v>46204</x:v>
      </x:c>
      <x:c r="B769" s="2" t="str">
        <x:v>51</x:v>
      </x:c>
      <x:c r="C769" s="29" t="str">
        <x:v>Information</x:v>
      </x:c>
      <x:c r="D769" s="2" t="str">
        <x:v>CES5000000001</x:v>
      </x:c>
      <x:c r="E769" s="20" t="n">
        <x:v>2768</x:v>
      </x:c>
      <x:c r="F769" s="7" t="b">
        <x:v>1</x:v>
      </x:c>
      <x:c r="G769" s="2" t="str">
        <x:v>2026Q3</x:v>
      </x:c>
      <x:c r="H769" s="2" t="str">
        <x:v>https://api.bls.gov/publicAPI/v2/timeseries/data/</x:v>
      </x:c>
    </x:row>
    <x:row r="770" ht="38" customHeight="1">
      <x:c r="A770" s="28" t="n">
        <x:v>46204</x:v>
      </x:c>
      <x:c r="B770" s="2" t="str">
        <x:v>52</x:v>
      </x:c>
      <x:c r="C770" s="29" t="str">
        <x:v>Finance and insurance</x:v>
      </x:c>
      <x:c r="D770" s="2" t="str">
        <x:v>CES5552000001</x:v>
      </x:c>
      <x:c r="E770" s="20" t="n">
        <x:v>6658.5</x:v>
      </x:c>
      <x:c r="F770" s="7" t="b">
        <x:v>1</x:v>
      </x:c>
      <x:c r="G770" s="2" t="str">
        <x:v>2026Q3</x:v>
      </x:c>
      <x:c r="H770" s="2" t="str">
        <x:v>https://api.bls.gov/publicAPI/v2/timeseries/data/</x:v>
      </x:c>
    </x:row>
    <x:row r="771" ht="38" customHeight="1">
      <x:c r="A771" s="28" t="n">
        <x:v>46204</x:v>
      </x:c>
      <x:c r="B771" s="2" t="str">
        <x:v>53</x:v>
      </x:c>
      <x:c r="C771" s="29" t="str">
        <x:v>Real estate and rental and leasing</x:v>
      </x:c>
      <x:c r="D771" s="2" t="str">
        <x:v>CES5553000001</x:v>
      </x:c>
      <x:c r="E771" s="20" t="n">
        <x:v>2438.6</x:v>
      </x:c>
      <x:c r="F771" s="7" t="b">
        <x:v>1</x:v>
      </x:c>
      <x:c r="G771" s="2" t="str">
        <x:v>2026Q3</x:v>
      </x:c>
      <x:c r="H771" s="2" t="str">
        <x:v>https://api.bls.gov/publicAPI/v2/timeseries/data/</x:v>
      </x:c>
    </x:row>
    <x:row r="772" ht="38" customHeight="1">
      <x:c r="A772" s="28" t="n">
        <x:v>46204</x:v>
      </x:c>
      <x:c r="B772" s="2" t="str">
        <x:v>54</x:v>
      </x:c>
      <x:c r="C772" s="29" t="str">
        <x:v>Professional, scientific, and technical services</x:v>
      </x:c>
      <x:c r="D772" s="2" t="str">
        <x:v>CES6054000001</x:v>
      </x:c>
      <x:c r="E772" s="20" t="n">
        <x:v>10837.3</x:v>
      </x:c>
      <x:c r="F772" s="7" t="b">
        <x:v>1</x:v>
      </x:c>
      <x:c r="G772" s="2" t="str">
        <x:v>2026Q3</x:v>
      </x:c>
      <x:c r="H772" s="2" t="str">
        <x:v>https://api.bls.gov/publicAPI/v2/timeseries/data/</x:v>
      </x:c>
    </x:row>
    <x:row r="773" ht="38" customHeight="1">
      <x:c r="A773" s="28" t="n">
        <x:v>46204</x:v>
      </x:c>
      <x:c r="B773" s="2" t="str">
        <x:v>55</x:v>
      </x:c>
      <x:c r="C773" s="29" t="str">
        <x:v>Management of companies and enterprises</x:v>
      </x:c>
      <x:c r="D773" s="2" t="str">
        <x:v>CES6055000001</x:v>
      </x:c>
      <x:c r="E773" s="20" t="n">
        <x:v>2621.3</x:v>
      </x:c>
      <x:c r="F773" s="7" t="b">
        <x:v>1</x:v>
      </x:c>
      <x:c r="G773" s="2" t="str">
        <x:v>2026Q3</x:v>
      </x:c>
      <x:c r="H773" s="2" t="str">
        <x:v>https://api.bls.gov/publicAPI/v2/timeseries/data/</x:v>
      </x:c>
    </x:row>
    <x:row r="774" ht="38" customHeight="1">
      <x:c r="A774" s="28" t="n">
        <x:v>46204</x:v>
      </x:c>
      <x:c r="B774" s="2" t="str">
        <x:v>56</x:v>
      </x:c>
      <x:c r="C774" s="29" t="str">
        <x:v>Administrative, support, and waste services</x:v>
      </x:c>
      <x:c r="D774" s="2" t="str">
        <x:v>CES6056000001</x:v>
      </x:c>
      <x:c r="E774" s="20" t="n">
        <x:v>9058.3</x:v>
      </x:c>
      <x:c r="F774" s="7" t="b">
        <x:v>1</x:v>
      </x:c>
      <x:c r="G774" s="2" t="str">
        <x:v>2026Q3</x:v>
      </x:c>
      <x:c r="H774" s="2" t="str">
        <x:v>https://api.bls.gov/publicAPI/v2/timeseries/data/</x:v>
      </x:c>
    </x:row>
    <x:row r="775" ht="38" customHeight="1">
      <x:c r="A775" s="28" t="n">
        <x:v>46204</x:v>
      </x:c>
      <x:c r="B775" s="2" t="str">
        <x:v>61</x:v>
      </x:c>
      <x:c r="C775" s="29" t="str">
        <x:v>Private educational services</x:v>
      </x:c>
      <x:c r="D775" s="2" t="str">
        <x:v>CES6561000001</x:v>
      </x:c>
      <x:c r="E775" s="20" t="n">
        <x:v>4044.3</x:v>
      </x:c>
      <x:c r="F775" s="7" t="b">
        <x:v>1</x:v>
      </x:c>
      <x:c r="G775" s="2" t="str">
        <x:v>2026Q3</x:v>
      </x:c>
      <x:c r="H775" s="2" t="str">
        <x:v>https://api.bls.gov/publicAPI/v2/timeseries/data/</x:v>
      </x:c>
    </x:row>
    <x:row r="776" ht="38" customHeight="1">
      <x:c r="A776" s="28" t="n">
        <x:v>46204</x:v>
      </x:c>
      <x:c r="B776" s="2" t="str">
        <x:v>62</x:v>
      </x:c>
      <x:c r="C776" s="29" t="str">
        <x:v>Health care and social assistance</x:v>
      </x:c>
      <x:c r="D776" s="2" t="str">
        <x:v>CES6562000001</x:v>
      </x:c>
      <x:c r="E776" s="20" t="n">
        <x:v>23900.3</x:v>
      </x:c>
      <x:c r="F776" s="7" t="b">
        <x:v>1</x:v>
      </x:c>
      <x:c r="G776" s="2" t="str">
        <x:v>2026Q3</x:v>
      </x:c>
      <x:c r="H776" s="2" t="str">
        <x:v>https://api.bls.gov/publicAPI/v2/timeseries/data/</x:v>
      </x:c>
    </x:row>
    <x:row r="777" ht="38" customHeight="1">
      <x:c r="A777" s="28" t="n">
        <x:v>46204</x:v>
      </x:c>
      <x:c r="B777" s="2" t="str">
        <x:v>71</x:v>
      </x:c>
      <x:c r="C777" s="29" t="str">
        <x:v>Arts, entertainment, and recreation</x:v>
      </x:c>
      <x:c r="D777" s="2" t="str">
        <x:v>CES7071000001</x:v>
      </x:c>
      <x:c r="E777" s="20" t="n">
        <x:v>2653.7</x:v>
      </x:c>
      <x:c r="F777" s="7" t="b">
        <x:v>1</x:v>
      </x:c>
      <x:c r="G777" s="2" t="str">
        <x:v>2026Q3</x:v>
      </x:c>
      <x:c r="H777" s="2" t="str">
        <x:v>https://api.bls.gov/publicAPI/v2/timeseries/data/</x:v>
      </x:c>
    </x:row>
    <x:row r="778" ht="38" customHeight="1">
      <x:c r="A778" s="28" t="n">
        <x:v>46204</x:v>
      </x:c>
      <x:c r="B778" s="2" t="str">
        <x:v>72</x:v>
      </x:c>
      <x:c r="C778" s="29" t="str">
        <x:v>Accommodation and food services</x:v>
      </x:c>
      <x:c r="D778" s="2" t="str">
        <x:v>CES7072000001</x:v>
      </x:c>
      <x:c r="E778" s="20" t="n">
        <x:v>14285.6</x:v>
      </x:c>
      <x:c r="F778" s="7" t="b">
        <x:v>1</x:v>
      </x:c>
      <x:c r="G778" s="2" t="str">
        <x:v>2026Q3</x:v>
      </x:c>
      <x:c r="H778" s="2" t="str">
        <x:v>https://api.bls.gov/publicAPI/v2/timeseries/data/</x:v>
      </x:c>
    </x:row>
    <x:row r="779" ht="38" customHeight="1">
      <x:c r="A779" s="28" t="n">
        <x:v>46204</x:v>
      </x:c>
      <x:c r="B779" s="2" t="str">
        <x:v>81</x:v>
      </x:c>
      <x:c r="C779" s="29" t="str">
        <x:v>Other services, except government</x:v>
      </x:c>
      <x:c r="D779" s="2" t="str">
        <x:v>CES8000000001</x:v>
      </x:c>
      <x:c r="E779" s="20" t="n">
        <x:v>6032</x:v>
      </x:c>
      <x:c r="F779" s="7" t="b">
        <x:v>1</x:v>
      </x:c>
      <x:c r="G779" s="2" t="str">
        <x:v>2026Q3</x:v>
      </x:c>
      <x:c r="H779" s="2" t="str">
        <x:v>https://api.bls.gov/publicAPI/v2/timeseries/data/</x:v>
      </x:c>
    </x:row>
    <x:row r="780" ht="38" customHeight="1">
      <x:c r="A780" s="28" t="n">
        <x:v>46235</x:v>
      </x:c>
      <x:c r="B780" s="2" t="str">
        <x:v>21</x:v>
      </x:c>
      <x:c r="C780" s="29" t="str">
        <x:v>Mining, quarrying, and oil and gas extraction</x:v>
      </x:c>
      <x:c r="D780" s="2" t="str">
        <x:v>CES1021000001</x:v>
      </x:c>
      <x:c r="E780" s="20" t="n">
        <x:v>569.9</x:v>
      </x:c>
      <x:c r="F780" s="7" t="b">
        <x:v>1</x:v>
      </x:c>
      <x:c r="G780" s="2" t="str">
        <x:v>2026Q3</x:v>
      </x:c>
      <x:c r="H780" s="2" t="str">
        <x:v>https://api.bls.gov/publicAPI/v2/timeseries/data/</x:v>
      </x:c>
    </x:row>
    <x:row r="781" ht="38" customHeight="1">
      <x:c r="A781" s="28" t="n">
        <x:v>46235</x:v>
      </x:c>
      <x:c r="B781" s="2" t="str">
        <x:v>22</x:v>
      </x:c>
      <x:c r="C781" s="29" t="str">
        <x:v>Utilities</x:v>
      </x:c>
      <x:c r="D781" s="2" t="str">
        <x:v>CES4422000001</x:v>
      </x:c>
      <x:c r="E781" s="20" t="n">
        <x:v>611.7</x:v>
      </x:c>
      <x:c r="F781" s="7" t="b">
        <x:v>1</x:v>
      </x:c>
      <x:c r="G781" s="2" t="str">
        <x:v>2026Q3</x:v>
      </x:c>
      <x:c r="H781" s="2" t="str">
        <x:v>https://api.bls.gov/publicAPI/v2/timeseries/data/</x:v>
      </x:c>
    </x:row>
    <x:row r="782" ht="38" customHeight="1">
      <x:c r="A782" s="28" t="n">
        <x:v>46235</x:v>
      </x:c>
      <x:c r="B782" s="2" t="str">
        <x:v>23</x:v>
      </x:c>
      <x:c r="C782" s="29" t="str">
        <x:v>Construction</x:v>
      </x:c>
      <x:c r="D782" s="2" t="str">
        <x:v>CES2000000001</x:v>
      </x:c>
      <x:c r="E782" s="20" t="n">
        <x:v>8359</x:v>
      </x:c>
      <x:c r="F782" s="7" t="b">
        <x:v>1</x:v>
      </x:c>
      <x:c r="G782" s="2" t="str">
        <x:v>2026Q3</x:v>
      </x:c>
      <x:c r="H782" s="2" t="str">
        <x:v>https://api.bls.gov/publicAPI/v2/timeseries/data/</x:v>
      </x:c>
    </x:row>
    <x:row r="783" ht="38" customHeight="1">
      <x:c r="A783" s="28" t="n">
        <x:v>46235</x:v>
      </x:c>
      <x:c r="B783" s="2" t="str">
        <x:v>31-33</x:v>
      </x:c>
      <x:c r="C783" s="29" t="str">
        <x:v>Manufacturing</x:v>
      </x:c>
      <x:c r="D783" s="2" t="str">
        <x:v>CES3000000001</x:v>
      </x:c>
      <x:c r="E783" s="20" t="n">
        <x:v>12638</x:v>
      </x:c>
      <x:c r="F783" s="7" t="b">
        <x:v>1</x:v>
      </x:c>
      <x:c r="G783" s="2" t="str">
        <x:v>2026Q3</x:v>
      </x:c>
      <x:c r="H783" s="2" t="str">
        <x:v>https://api.bls.gov/publicAPI/v2/timeseries/data/</x:v>
      </x:c>
    </x:row>
    <x:row r="784" ht="38" customHeight="1">
      <x:c r="A784" s="28" t="n">
        <x:v>46235</x:v>
      </x:c>
      <x:c r="B784" s="2" t="str">
        <x:v>42</x:v>
      </x:c>
      <x:c r="C784" s="29" t="str">
        <x:v>Wholesale trade</x:v>
      </x:c>
      <x:c r="D784" s="2" t="str">
        <x:v>CES4142000001</x:v>
      </x:c>
      <x:c r="E784" s="20" t="n">
        <x:v>6072.1</x:v>
      </x:c>
      <x:c r="F784" s="7" t="b">
        <x:v>1</x:v>
      </x:c>
      <x:c r="G784" s="2" t="str">
        <x:v>2026Q3</x:v>
      </x:c>
      <x:c r="H784" s="2" t="str">
        <x:v>https://api.bls.gov/publicAPI/v2/timeseries/data/</x:v>
      </x:c>
    </x:row>
    <x:row r="785" ht="38" customHeight="1">
      <x:c r="A785" s="28" t="n">
        <x:v>46235</x:v>
      </x:c>
      <x:c r="B785" s="2" t="str">
        <x:v>44-45</x:v>
      </x:c>
      <x:c r="C785" s="29" t="str">
        <x:v>Retail trade</x:v>
      </x:c>
      <x:c r="D785" s="2" t="str">
        <x:v>CES4200000001</x:v>
      </x:c>
      <x:c r="E785" s="20" t="n">
        <x:v>15488.2</x:v>
      </x:c>
      <x:c r="F785" s="7" t="b">
        <x:v>1</x:v>
      </x:c>
      <x:c r="G785" s="2" t="str">
        <x:v>2026Q3</x:v>
      </x:c>
      <x:c r="H785" s="2" t="str">
        <x:v>https://api.bls.gov/publicAPI/v2/timeseries/data/</x:v>
      </x:c>
    </x:row>
    <x:row r="786" ht="38" customHeight="1">
      <x:c r="A786" s="28" t="n">
        <x:v>46235</x:v>
      </x:c>
      <x:c r="B786" s="2" t="str">
        <x:v>48-49</x:v>
      </x:c>
      <x:c r="C786" s="29" t="str">
        <x:v>Transportation and warehousing</x:v>
      </x:c>
      <x:c r="D786" s="2" t="str">
        <x:v>CES4300000001</x:v>
      </x:c>
      <x:c r="E786" s="20" t="n">
        <x:v>6606.3</x:v>
      </x:c>
      <x:c r="F786" s="7" t="b">
        <x:v>1</x:v>
      </x:c>
      <x:c r="G786" s="2" t="str">
        <x:v>2026Q3</x:v>
      </x:c>
      <x:c r="H786" s="2" t="str">
        <x:v>https://api.bls.gov/publicAPI/v2/timeseries/data/</x:v>
      </x:c>
    </x:row>
    <x:row r="787" ht="38" customHeight="1">
      <x:c r="A787" s="28" t="n">
        <x:v>46235</x:v>
      </x:c>
      <x:c r="B787" s="2" t="str">
        <x:v>51</x:v>
      </x:c>
      <x:c r="C787" s="29" t="str">
        <x:v>Information</x:v>
      </x:c>
      <x:c r="D787" s="2" t="str">
        <x:v>CES5000000001</x:v>
      </x:c>
      <x:c r="E787" s="20" t="n">
        <x:v>2745</x:v>
      </x:c>
      <x:c r="F787" s="7" t="b">
        <x:v>1</x:v>
      </x:c>
      <x:c r="G787" s="2" t="str">
        <x:v>2026Q3</x:v>
      </x:c>
      <x:c r="H787" s="2" t="str">
        <x:v>https://api.bls.gov/publicAPI/v2/timeseries/data/</x:v>
      </x:c>
    </x:row>
    <x:row r="788" ht="38" customHeight="1">
      <x:c r="A788" s="28" t="n">
        <x:v>46235</x:v>
      </x:c>
      <x:c r="B788" s="2" t="str">
        <x:v>52</x:v>
      </x:c>
      <x:c r="C788" s="29" t="str">
        <x:v>Finance and insurance</x:v>
      </x:c>
      <x:c r="D788" s="2" t="str">
        <x:v>CES5552000001</x:v>
      </x:c>
      <x:c r="E788" s="20" t="n">
        <x:v>6651.1</x:v>
      </x:c>
      <x:c r="F788" s="7" t="b">
        <x:v>1</x:v>
      </x:c>
      <x:c r="G788" s="2" t="str">
        <x:v>2026Q3</x:v>
      </x:c>
      <x:c r="H788" s="2" t="str">
        <x:v>https://api.bls.gov/publicAPI/v2/timeseries/data/</x:v>
      </x:c>
    </x:row>
    <x:row r="789" ht="38" customHeight="1">
      <x:c r="A789" s="28" t="n">
        <x:v>46235</x:v>
      </x:c>
      <x:c r="B789" s="2" t="str">
        <x:v>53</x:v>
      </x:c>
      <x:c r="C789" s="29" t="str">
        <x:v>Real estate and rental and leasing</x:v>
      </x:c>
      <x:c r="D789" s="2" t="str">
        <x:v>CES5553000001</x:v>
      </x:c>
      <x:c r="E789" s="20" t="n">
        <x:v>2435.1</x:v>
      </x:c>
      <x:c r="F789" s="7" t="b">
        <x:v>1</x:v>
      </x:c>
      <x:c r="G789" s="2" t="str">
        <x:v>2026Q3</x:v>
      </x:c>
      <x:c r="H789" s="2" t="str">
        <x:v>https://api.bls.gov/publicAPI/v2/timeseries/data/</x:v>
      </x:c>
    </x:row>
    <x:row r="790" ht="38" customHeight="1">
      <x:c r="A790" s="28" t="n">
        <x:v>46235</x:v>
      </x:c>
      <x:c r="B790" s="2" t="str">
        <x:v>54</x:v>
      </x:c>
      <x:c r="C790" s="29" t="str">
        <x:v>Professional, scientific, and technical services</x:v>
      </x:c>
      <x:c r="D790" s="2" t="str">
        <x:v>CES6054000001</x:v>
      </x:c>
      <x:c r="E790" s="20" t="n">
        <x:v>10842.3</x:v>
      </x:c>
      <x:c r="F790" s="7" t="b">
        <x:v>1</x:v>
      </x:c>
      <x:c r="G790" s="2" t="str">
        <x:v>2026Q3</x:v>
      </x:c>
      <x:c r="H790" s="2" t="str">
        <x:v>https://api.bls.gov/publicAPI/v2/timeseries/data/</x:v>
      </x:c>
    </x:row>
    <x:row r="791" ht="38" customHeight="1">
      <x:c r="A791" s="28" t="n">
        <x:v>46235</x:v>
      </x:c>
      <x:c r="B791" s="2" t="str">
        <x:v>55</x:v>
      </x:c>
      <x:c r="C791" s="29" t="str">
        <x:v>Management of companies and enterprises</x:v>
      </x:c>
      <x:c r="D791" s="2" t="str">
        <x:v>CES6055000001</x:v>
      </x:c>
      <x:c r="E791" s="20" t="n">
        <x:v>2621.9</x:v>
      </x:c>
      <x:c r="F791" s="7" t="b">
        <x:v>1</x:v>
      </x:c>
      <x:c r="G791" s="2" t="str">
        <x:v>2026Q3</x:v>
      </x:c>
      <x:c r="H791" s="2" t="str">
        <x:v>https://api.bls.gov/publicAPI/v2/timeseries/data/</x:v>
      </x:c>
    </x:row>
    <x:row r="792" ht="38" customHeight="1">
      <x:c r="A792" s="28" t="n">
        <x:v>46235</x:v>
      </x:c>
      <x:c r="B792" s="2" t="str">
        <x:v>56</x:v>
      </x:c>
      <x:c r="C792" s="29" t="str">
        <x:v>Administrative, support, and waste services</x:v>
      </x:c>
      <x:c r="D792" s="2" t="str">
        <x:v>CES6056000001</x:v>
      </x:c>
      <x:c r="E792" s="20" t="n">
        <x:v>9062.7</x:v>
      </x:c>
      <x:c r="F792" s="7" t="b">
        <x:v>1</x:v>
      </x:c>
      <x:c r="G792" s="2" t="str">
        <x:v>2026Q3</x:v>
      </x:c>
      <x:c r="H792" s="2" t="str">
        <x:v>https://api.bls.gov/publicAPI/v2/timeseries/data/</x:v>
      </x:c>
    </x:row>
    <x:row r="793" ht="38" customHeight="1">
      <x:c r="A793" s="28" t="n">
        <x:v>46235</x:v>
      </x:c>
      <x:c r="B793" s="2" t="str">
        <x:v>61</x:v>
      </x:c>
      <x:c r="C793" s="29" t="str">
        <x:v>Private educational services</x:v>
      </x:c>
      <x:c r="D793" s="2" t="str">
        <x:v>CES6561000001</x:v>
      </x:c>
      <x:c r="E793" s="20" t="n">
        <x:v>4045.4</x:v>
      </x:c>
      <x:c r="F793" s="7" t="b">
        <x:v>1</x:v>
      </x:c>
      <x:c r="G793" s="2" t="str">
        <x:v>2026Q3</x:v>
      </x:c>
      <x:c r="H793" s="2" t="str">
        <x:v>https://api.bls.gov/publicAPI/v2/timeseries/data/</x:v>
      </x:c>
    </x:row>
    <x:row r="794" ht="38" customHeight="1">
      <x:c r="A794" s="28" t="n">
        <x:v>46235</x:v>
      </x:c>
      <x:c r="B794" s="2" t="str">
        <x:v>62</x:v>
      </x:c>
      <x:c r="C794" s="29" t="str">
        <x:v>Health care and social assistance</x:v>
      </x:c>
      <x:c r="D794" s="2" t="str">
        <x:v>CES6562000001</x:v>
      </x:c>
      <x:c r="E794" s="20" t="n">
        <x:v>23928.7</x:v>
      </x:c>
      <x:c r="F794" s="7" t="b">
        <x:v>1</x:v>
      </x:c>
      <x:c r="G794" s="2" t="str">
        <x:v>2026Q3</x:v>
      </x:c>
      <x:c r="H794" s="2" t="str">
        <x:v>https://api.bls.gov/publicAPI/v2/timeseries/data/</x:v>
      </x:c>
    </x:row>
    <x:row r="795" ht="38" customHeight="1">
      <x:c r="A795" s="28" t="n">
        <x:v>46235</x:v>
      </x:c>
      <x:c r="B795" s="2" t="str">
        <x:v>71</x:v>
      </x:c>
      <x:c r="C795" s="29" t="str">
        <x:v>Arts, entertainment, and recreation</x:v>
      </x:c>
      <x:c r="D795" s="2" t="str">
        <x:v>CES7071000001</x:v>
      </x:c>
      <x:c r="E795" s="20" t="n">
        <x:v>2647.4</x:v>
      </x:c>
      <x:c r="F795" s="7" t="b">
        <x:v>1</x:v>
      </x:c>
      <x:c r="G795" s="2" t="str">
        <x:v>2026Q3</x:v>
      </x:c>
      <x:c r="H795" s="2" t="str">
        <x:v>https://api.bls.gov/publicAPI/v2/timeseries/data/</x:v>
      </x:c>
    </x:row>
    <x:row r="796" ht="38" customHeight="1">
      <x:c r="A796" s="28" t="n">
        <x:v>46235</x:v>
      </x:c>
      <x:c r="B796" s="2" t="str">
        <x:v>72</x:v>
      </x:c>
      <x:c r="C796" s="29" t="str">
        <x:v>Accommodation and food services</x:v>
      </x:c>
      <x:c r="D796" s="2" t="str">
        <x:v>CES7072000001</x:v>
      </x:c>
      <x:c r="E796" s="20" t="n">
        <x:v>14353.4</x:v>
      </x:c>
      <x:c r="F796" s="7" t="b">
        <x:v>1</x:v>
      </x:c>
      <x:c r="G796" s="2" t="str">
        <x:v>2026Q3</x:v>
      </x:c>
      <x:c r="H796" s="2" t="str">
        <x:v>https://api.bls.gov/publicAPI/v2/timeseries/data/</x:v>
      </x:c>
    </x:row>
    <x:row r="797" ht="38" customHeight="1">
      <x:c r="A797" s="28" t="n">
        <x:v>46235</x:v>
      </x:c>
      <x:c r="B797" s="2" t="str">
        <x:v>81</x:v>
      </x:c>
      <x:c r="C797" s="29" t="str">
        <x:v>Other services, except government</x:v>
      </x:c>
      <x:c r="D797" s="2" t="str">
        <x:v>CES8000000001</x:v>
      </x:c>
      <x:c r="E797" s="20" t="n">
        <x:v>6035</x:v>
      </x:c>
      <x:c r="F797" s="7" t="b">
        <x:v>1</x:v>
      </x:c>
      <x:c r="G797" s="2" t="str">
        <x:v>2026Q3</x:v>
      </x:c>
      <x:c r="H797" s="2" t="str">
        <x:v>https://api.bls.gov/publicAPI/v2/timeseries/data/</x:v>
      </x:c>
    </x:row>
  </x:sheetData>
  <x:pageMargins left="0.7" right="0.7" top="0.75" bottom="0.75" header="0.3" footer="0.3"/>
  <x:tableParts count="1">
    <x:tablePart xmlns:r="http://schemas.openxmlformats.org/officeDocument/2006/relationships" r:id="R1a4debe0b3304d38"/>
  </x:tableParts>
</x:worksheet>
</file>

<file path=xl/worksheets/sheet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6" hidden="0" customWidth="1"/>
    <x:col min="2" max="2" width="102" hidden="0" customWidth="1"/>
    <x:col min="3" max="3" width="74" hidden="0" customWidth="1"/>
  </x:cols>
  <x:sheetData>
    <x:row r="1" ht="30" customHeight="1">
      <x:c r="A1" s="4" t="str">
        <x:v>Notes and sources</x:v>
      </x:c>
      <x:c r="B1" s="5"/>
      <x:c r="C1" s="5"/>
    </x:row>
    <x:row r="2" ht="24" customHeight="1">
      <x:c r="A2" s="6" t="str">
        <x:v>Definitions, coverage and sources for the payroll employment chart data.</x:v>
      </x:c>
      <x:c r="B2" s="2"/>
      <x:c r="C2" s="2"/>
    </x:row>
    <x:row r="3" ht="24" customHeight="1">
      <x:c r="A3" s="2"/>
      <x:c r="B3" s="2"/>
      <x:c r="C3" s="2"/>
    </x:row>
    <x:row r="4" ht="24" customHeight="1">
      <x:c r="A4" s="2"/>
      <x:c r="B4" s="2"/>
      <x:c r="C4" s="2"/>
    </x:row>
    <x:row r="5" ht="44" customHeight="1">
      <x:c r="A5" s="16" t="str">
        <x:v>Topic</x:v>
      </x:c>
      <x:c r="B5" s="17" t="str">
        <x:v>Definition or method</x:v>
      </x:c>
      <x:c r="C5" s="18" t="str">
        <x:v>Source URL</x:v>
      </x:c>
    </x:row>
    <x:row r="6" ht="64" customHeight="1">
      <x:c r="A6" s="30" t="str">
        <x:v>Coverage</x:v>
      </x:c>
      <x:c r="B6" s="30" t="str">
        <x:v>Quarterly chart data: 2023 Q1–2026 Q2, 14 quarters. Monthly data: January 2023–August 2026, 44 months. There are 33 series across nine source/grouping combinations.</x:v>
      </x:c>
      <x:c r="C6" s="30" t="str"/>
    </x:row>
    <x:row r="7" ht="64" customHeight="1">
      <x:c r="A7" s="30" t="str">
        <x:v>Workbook contents</x:v>
      </x:c>
      <x:c r="B7" s="30" t="str">
        <x:v>Quarterly indexes: one row per series. Quarterly data and Monthly data: filterable detailed observations. Industry groups: assignments, adoption and weights. Industry payrolls: underlying CES observations.</x:v>
      </x:c>
      <x:c r="C7" s="30" t="str"/>
    </x:row>
    <x:row r="8" ht="64" customHeight="1">
      <x:c r="A8" s="30" t="str">
        <x:v>Base and units</x:v>
      </x:c>
      <x:c r="B8" s="30" t="str">
        <x:v>Employment indexes equal 100 in 2023 Q1. Payroll employment is measured in thousands of jobs. Growth and adoption cells store numeric fractions with percentage formats. Adoption standard errors are in percentage points.</x:v>
      </x:c>
      <x:c r="C8" s="30" t="str"/>
    </x:row>
    <x:row r="9" ht="64" customHeight="1">
      <x:c r="A9" s="30" t="str">
        <x:v>Grouping</x:v>
      </x:c>
      <x:c r="B9" s="30" t="str">
        <x:v>Rank 18 industries by each source’s adoption rate and break ties by NAICS. Quartiles contain 5/4/4/5 industries, quintiles 4/3/4/3/4, and halves 9/9. Membership remains fixed.</x:v>
      </x:c>
      <x:c r="C9" s="30" t="str"/>
    </x:row>
    <x:row r="10" ht="64" customHeight="1">
      <x:c r="A10" s="30" t="str">
        <x:v>Quarterly calculation</x:v>
      </x:c>
      <x:c r="B10" s="30" t="str">
        <x:v>Sum monthly payroll employment within each group, then average all three months of the quarter. Divide each quarterly average by its 2023 Q1 average and multiply by 100.</x:v>
      </x:c>
      <x:c r="C10" s="30" t="str"/>
    </x:row>
    <x:row r="11" ht="64" customHeight="1">
      <x:c r="A11" s="30" t="str">
        <x:v>Monthly calculation</x:v>
      </x:c>
      <x:c r="B11" s="30" t="str">
        <x:v>Divide each monthly group payroll total by the group’s 2023 Q1 quarterly average and multiply by 100. The January–March 2023 monthly indexes average 100. Individual monthly values need not equal 100.</x:v>
      </x:c>
      <x:c r="C11" s="30" t="str"/>
    </x:row>
    <x:row r="12" ht="64" customHeight="1">
      <x:c r="A12" s="30" t="str">
        <x:v>Incomplete quarter</x:v>
      </x:c>
      <x:c r="B12" s="30" t="str">
        <x:v>July and August 2026 are included in the monthly tab. 2026 Q3 is excluded from the quarterly tabs because September is unavailable. No employment observations are imputed or forecast.</x:v>
      </x:c>
      <x:c r="C12" s="30" t="str"/>
    </x:row>
    <x:row r="13" ht="64" customHeight="1">
      <x:c r="A13" s="30" t="str">
        <x:v>Formula scope</x:v>
      </x:c>
      <x:c r="B13" s="30" t="str">
        <x:v>Group payroll levels and fixed memberships are imported from the chart datasets. Workbook formulas calculate baseline references, indexes, growth and weights. Editing raw industry observations does not rerun the external aggregation or adoption ranking.</x:v>
      </x:c>
      <x:c r="C13" s="30" t="str"/>
    </x:row>
    <x:row r="14" ht="64" customHeight="1">
      <x:c r="A14" s="30" t="str">
        <x:v>Employment coverage</x:v>
      </x:c>
      <x:c r="B14" s="30" t="str">
        <x:v>Same 18 broad private nonfarm industries in all comparisons. Agriculture/forestry/fishing, logging, government and self-employment are excluded. Education and healthcare use private payroll employment.</x:v>
      </x:c>
      <x:c r="C14" s="30" t="str">
        <x:v>https://www.bls.gov/ces/</x:v>
      </x:c>
    </x:row>
    <x:row r="15" ht="64" customHeight="1">
      <x:c r="A15" s="30" t="str">
        <x:v>Preliminary flag</x:v>
      </x:c>
      <x:c r="B15" s="30" t="str">
        <x:v>TRUE means at least one underlying CES employment observation is preliminary. FALSE means the archived source did not flag the observation as preliminary.</x:v>
      </x:c>
      <x:c r="C15" s="30" t="str"/>
    </x:row>
    <x:row r="16" ht="64" customHeight="1">
      <x:c r="A16" s="30" t="str">
        <x:v>Census BTOS</x:v>
      </x:c>
      <x:c r="B16" s="30" t="str">
        <x:v>Fixed period 202618, reference August 10–23, 2026, published September 10, 2026. Share of businesses using AI in any business function during the preceding two weeks.</x:v>
      </x:c>
      <x:c r="C16" s="30" t="str">
        <x:v>https://www.census.gov/hfp/btos/downloads/Sector.xlsx</x:v>
      </x:c>
    </x:row>
    <x:row r="17" ht="64" customHeight="1">
      <x:c r="A17" s="30" t="str">
        <x:v>RPS</x:v>
      </x:c>
      <x:c r="B17" s="30" t="str">
        <x:v>Bick–Blandin–Deming Real-Time Population Survey via St. Louis Fed/FRED. May 2026 wave, represented by the 2026 Q2 timestamp. Share of employed adults aged 18–64 using generative AI for their job. This is not a Chicago Fed survey.</x:v>
      </x:c>
      <x:c r="C17" s="30" t="str">
        <x:v>https://www.genaiadoptiontracker.com/</x:v>
      </x:c>
    </x:row>
    <x:row r="18" ht="64" customHeight="1">
      <x:c r="A18" s="30" t="str">
        <x:v>RPS example series</x:v>
      </x:c>
      <x:c r="B18" s="30" t="str">
        <x:v>Each RPS industry’s FRED table URL is included in Industry groups. Cite Bick, Blandin and Deming, The Rapid Adoption of Generative AI, Management Science (2026).</x:v>
      </x:c>
      <x:c r="C18" s="30" t="str">
        <x:v>https://fred.stlouisfed.org/series/RPSGENAIUSAGESHAREIND5</x:v>
      </x:c>
    </x:row>
    <x:row r="19" ht="64" customHeight="1">
      <x:c r="A19" s="30" t="str">
        <x:v>Ramp</x:v>
      </x:c>
      <x:c r="B19" s="30" t="str">
        <x:v>Fixed April 2026 complete 18-sector public download, version 23. Paid AI adoption observed among businesses using Ramp. This preserves common sector coverage across sources.</x:v>
      </x:c>
      <x:c r="C19" s="30" t="str">
        <x:v>https://datawrapper.dwcdn.net/wQR5S/23/dataset.csv</x:v>
      </x:c>
    </x:row>
    <x:row r="20" ht="64" customHeight="1">
      <x:c r="A20" s="30" t="str">
        <x:v>Ramp methodology</x:v>
      </x:c>
      <x:c r="B20" s="30" t="str">
        <x:v>Ramp measures paid AI adoption among its business customers. Free use or payments outside Ramp may be absent.</x:v>
      </x:c>
      <x:c r="C20" s="30" t="str">
        <x:v>https://ramp.com/data/ai-index</x:v>
      </x:c>
    </x:row>
    <x:row r="21" ht="64" customHeight="1">
      <x:c r="A21" s="30" t="str">
        <x:v>Employment source</x:v>
      </x:c>
      <x:c r="B21" s="30" t="str">
        <x:v>Archived BLS CES all-employees seasonally adjusted series. The sector-to-series mapping appears in Industry groups and Industry payrolls.</x:v>
      </x:c>
      <x:c r="C21" s="30" t="str">
        <x:v>https://api.bls.gov/publicAPI/v2/timeseries/data/</x:v>
      </x:c>
    </x:row>
    <x:row r="22" ht="64" customHeight="1">
      <x:c r="A22" s="30" t="str">
        <x:v>Interpretation</x:v>
      </x:c>
      <x:c r="B22" s="30" t="str">
        <x:v>The sources differ in adoption definition, population and ranking date. Payrolls cover whole industries, not only adopting firms. Recent rankings are applied retrospectively. These descriptive comparisons do not identify a causal effect of AI.</x:v>
      </x:c>
      <x:c r="C22" s="30" t="str"/>
    </x:row>
    <x:row r="23" ht="64" customHeight="1">
      <x:c r="A23" s="30" t="str">
        <x:v>Adoption uncertainty</x:v>
      </x:c>
      <x:c r="B23" s="30" t="str">
        <x:v>BTOS standard errors are included when supplied. Blank RPS and Ramp standard-error cells mean unavailable, not zero. No confidence bands were inferred.</x:v>
      </x:c>
      <x:c r="C23" s="30" t="str"/>
    </x:row>
    <x:row r="24" ht="64" customHeight="1">
      <x:c r="A24" s="30" t="str">
        <x:v>Source vintage</x:v>
      </x:c>
      <x:c r="B24" s="30" t="str">
        <x:v>Chart dataset built 2026-09-14 from archived inputs. Values may differ from subsequently revised releases.</x:v>
      </x:c>
      <x:c r="C24" s="30" t="str"/>
    </x:row>
  </x:sheetData>
  <x:pageMargins left="0.7" right="0.7" top="0.75" bottom="0.75" header="0.3" footer="0.3"/>
  <x:tableParts count="1">
    <x:tablePart xmlns:r="http://schemas.openxmlformats.org/officeDocument/2006/relationships" r:id="Reec9aee2c32742df"/>
  </x:tableParts>
</x:worksheet>
</file>